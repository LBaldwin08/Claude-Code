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chedule Lookup" sheetId="2" state="hidden" r:id="rId2"/>
    <sheet name="Employees" sheetId="3" state="visible" r:id="rId3"/>
    <sheet name="PTO Requests" sheetId="4" state="visible" r:id="rId4"/>
    <sheet name="Coverage Rules" sheetId="5" state="visible" r:id="rId5"/>
    <sheet name="Coverage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1A3A6B"/>
      <sz val="20"/>
    </font>
    <font>
      <name val="Arial"/>
      <i val="1"/>
      <color rgb="005A6479"/>
      <sz val="11"/>
    </font>
    <font>
      <name val="Arial"/>
      <b val="1"/>
      <color rgb="001A3A6B"/>
      <sz val="12"/>
    </font>
    <font>
      <name val="Arial"/>
      <b val="1"/>
      <color rgb="00FFFFFF"/>
      <sz val="14"/>
    </font>
    <font>
      <name val="Arial"/>
      <b val="1"/>
      <color rgb="001A3A6B"/>
      <sz val="10"/>
    </font>
    <font>
      <name val="Arial"/>
      <color rgb="003A4A6B"/>
      <sz val="9"/>
    </font>
    <font>
      <name val="Arial"/>
      <b val="1"/>
      <color rgb="001A3A6B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A6479"/>
      <sz val="9"/>
    </font>
    <font>
      <name val="Arial"/>
      <b val="1"/>
      <color rgb="009AA0B0"/>
      <sz val="8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1A3A6B"/>
      <sz val="9"/>
    </font>
    <font>
      <name val="Arial"/>
      <b val="1"/>
      <color rgb="001A3A6B"/>
      <sz val="16"/>
    </font>
    <font>
      <name val="Arial"/>
      <b val="1"/>
      <color rgb="000000FF"/>
      <sz val="11"/>
    </font>
  </fonts>
  <fills count="7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F0F2F5"/>
      </patternFill>
    </fill>
    <fill>
      <patternFill patternType="solid">
        <fgColor rgb="00FFFFFF"/>
      </patternFill>
    </fill>
    <fill>
      <patternFill patternType="solid">
        <fgColor rgb="002D3A4A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DE2EC"/>
      </left>
      <right style="thin">
        <color rgb="00DDE2EC"/>
      </right>
      <top style="thin">
        <color rgb="00DDE2EC"/>
      </top>
      <bottom style="thin">
        <color rgb="00DDE2EC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 wrapText="1"/>
    </xf>
    <xf numFmtId="0" fontId="14" fillId="0" borderId="0" pivotButton="0" quotePrefix="0" xfId="0"/>
    <xf numFmtId="0" fontId="11" fillId="5" borderId="0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5" fillId="0" borderId="0" pivotButton="0" quotePrefix="0" xfId="0"/>
    <xf numFmtId="0" fontId="5" fillId="0" borderId="0" applyAlignment="1" pivotButton="0" quotePrefix="0" xfId="0">
      <alignment vertical="center"/>
    </xf>
    <xf numFmtId="0" fontId="16" fillId="6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15803D"/>
        <sz val="10"/>
      </font>
      <fill>
        <patternFill patternType="solid">
          <fgColor rgb="00DCFCE7"/>
        </patternFill>
      </fill>
    </dxf>
    <dxf>
      <font>
        <name val="Arial"/>
        <b val="1"/>
        <color rgb="00DC2626"/>
        <sz val="10"/>
      </font>
      <fill>
        <patternFill patternType="solid">
          <fgColor rgb="00FEE2E2"/>
        </patternFill>
      </fill>
    </dxf>
    <dxf>
      <font>
        <name val="Arial"/>
        <b val="1"/>
        <color rgb="00A16207"/>
        <sz val="10"/>
      </font>
      <fill>
        <patternFill patternType="solid">
          <fgColor rgb="00FEF9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3A6B"/>
    <outlinePr summaryBelow="1" summaryRight="1"/>
    <pageSetUpPr/>
  </sheetPr>
  <dimension ref="B2:F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22" customWidth="1" min="3" max="3"/>
    <col width="55" customWidth="1" min="4" max="4"/>
  </cols>
  <sheetData>
    <row r="2">
      <c r="B2" s="1" t="inlineStr">
        <is>
          <t>PTO Approval Manager</t>
        </is>
      </c>
    </row>
    <row r="3">
      <c r="B3" s="2" t="inlineStr">
        <is>
          <t>Coverage-based time off approval</t>
        </is>
      </c>
    </row>
    <row r="5">
      <c r="B5" s="3" t="inlineStr">
        <is>
          <t>Workflow</t>
        </is>
      </c>
    </row>
    <row r="7">
      <c r="B7" s="4" t="inlineStr">
        <is>
          <t>1</t>
        </is>
      </c>
      <c r="C7" s="5" t="inlineStr">
        <is>
          <t>Add Employees</t>
        </is>
      </c>
    </row>
    <row r="8" ht="30" customHeight="1">
      <c r="C8" s="6" t="inlineStr">
        <is>
          <t>Go to the Employees sheet. Enter each staff member with their shift pattern. Tag Coverage Group if applicable.</t>
        </is>
      </c>
    </row>
    <row r="10">
      <c r="B10" s="4" t="inlineStr">
        <is>
          <t>2</t>
        </is>
      </c>
      <c r="C10" s="5" t="inlineStr">
        <is>
          <t>Review Coverage Rules</t>
        </is>
      </c>
    </row>
    <row r="11" ht="30" customHeight="1">
      <c r="C11" s="6" t="inlineStr">
        <is>
          <t>Check the Coverage Rules sheet. Edit blue values if thresholds need adjusting.</t>
        </is>
      </c>
    </row>
    <row r="13">
      <c r="B13" s="4" t="inlineStr">
        <is>
          <t>3</t>
        </is>
      </c>
      <c r="C13" s="5" t="inlineStr">
        <is>
          <t>Enter a New Request</t>
        </is>
      </c>
    </row>
    <row r="14" ht="30" customHeight="1">
      <c r="C14" s="6" t="inlineStr">
        <is>
          <t>Go to PTO Requests. Fill in employee name, start date, end date, and type.</t>
        </is>
      </c>
    </row>
    <row r="16">
      <c r="B16" s="4" t="inlineStr">
        <is>
          <t>4</t>
        </is>
      </c>
      <c r="C16" s="5" t="inlineStr">
        <is>
          <t>Check Coverage</t>
        </is>
      </c>
    </row>
    <row r="17" ht="30" customHeight="1">
      <c r="C17" s="6" t="inlineStr">
        <is>
          <t>The Coverage Check column calculates automatically — OK means coverage is met, Denied means a threshold would be breached.</t>
        </is>
      </c>
    </row>
    <row r="19">
      <c r="B19" s="4" t="inlineStr">
        <is>
          <t>5</t>
        </is>
      </c>
      <c r="C19" s="5" t="inlineStr">
        <is>
          <t>Set Status</t>
        </is>
      </c>
    </row>
    <row r="20" ht="30" customHeight="1">
      <c r="C20" s="6" t="inlineStr">
        <is>
          <t>Review the result and set Status to Approved or Denied. You can override the formula result if needed.</t>
        </is>
      </c>
    </row>
    <row r="22">
      <c r="B22" s="4" t="inlineStr">
        <is>
          <t>6</t>
        </is>
      </c>
      <c r="C22" s="5" t="inlineStr">
        <is>
          <t>Import Existing</t>
        </is>
      </c>
    </row>
    <row r="23" ht="30" customHeight="1">
      <c r="C23" s="6" t="inlineStr">
        <is>
          <t>For absences already approved, enter them with Status = Approved. The formula will account for them in future checks.</t>
        </is>
      </c>
    </row>
    <row r="25">
      <c r="B25" s="7" t="inlineStr">
        <is>
          <t>Coverage Minimums (quick reference)</t>
        </is>
      </c>
    </row>
    <row r="26">
      <c r="B26" s="8" t="inlineStr">
        <is>
          <t>Shift</t>
        </is>
      </c>
      <c r="C26" s="8" t="inlineStr">
        <is>
          <t>Hours (EST)</t>
        </is>
      </c>
      <c r="D26" s="8" t="inlineStr">
        <is>
          <t>Min Managers</t>
        </is>
      </c>
      <c r="E26" s="8" t="inlineStr">
        <is>
          <t>Min Researchers</t>
        </is>
      </c>
      <c r="F26" s="8" t="inlineStr">
        <is>
          <t>Min Total</t>
        </is>
      </c>
    </row>
    <row r="27">
      <c r="B27" s="9" t="inlineStr">
        <is>
          <t>Morning</t>
        </is>
      </c>
      <c r="C27" s="9" t="inlineStr">
        <is>
          <t>Midnight – 9am</t>
        </is>
      </c>
      <c r="D27" s="9" t="n">
        <v>0</v>
      </c>
      <c r="E27" s="9" t="n">
        <v>3</v>
      </c>
      <c r="F27" s="9" t="n">
        <v>3</v>
      </c>
    </row>
    <row r="28">
      <c r="B28" s="10" t="inlineStr">
        <is>
          <t>Daytime</t>
        </is>
      </c>
      <c r="C28" s="10" t="inlineStr">
        <is>
          <t>9am – 5pm</t>
        </is>
      </c>
      <c r="D28" s="10" t="n">
        <v>2</v>
      </c>
      <c r="E28" s="10" t="n">
        <v>8</v>
      </c>
      <c r="F28" s="10" t="n">
        <v>10</v>
      </c>
    </row>
    <row r="29">
      <c r="B29" s="9" t="inlineStr">
        <is>
          <t>Evening (EST)</t>
        </is>
      </c>
      <c r="C29" s="9" t="inlineStr">
        <is>
          <t>5pm – 9pm</t>
        </is>
      </c>
      <c r="D29" s="9" t="n">
        <v>0</v>
      </c>
      <c r="E29" s="9" t="n">
        <v>1</v>
      </c>
      <c r="F29" s="9" t="n">
        <v>1</v>
      </c>
    </row>
    <row r="30">
      <c r="B30" s="10" t="inlineStr">
        <is>
          <t>Evening (PST)</t>
        </is>
      </c>
      <c r="C30" s="10" t="inlineStr">
        <is>
          <t>5pm – Midnight</t>
        </is>
      </c>
      <c r="D30" s="10" t="n">
        <v>0</v>
      </c>
      <c r="E30" s="10" t="n">
        <v>2</v>
      </c>
      <c r="F30" s="10" t="n">
        <v>2</v>
      </c>
    </row>
    <row r="31">
      <c r="B31" s="9" t="inlineStr">
        <is>
          <t>Saturday</t>
        </is>
      </c>
      <c r="C31" s="9" t="inlineStr">
        <is>
          <t>Any</t>
        </is>
      </c>
      <c r="D31" s="9" t="inlineStr">
        <is>
          <t>—</t>
        </is>
      </c>
      <c r="E31" s="9" t="inlineStr">
        <is>
          <t>—</t>
        </is>
      </c>
      <c r="F31" s="9" t="inlineStr">
        <is>
          <t>Max 1 off</t>
        </is>
      </c>
    </row>
    <row r="32">
      <c r="B32" s="10" t="inlineStr">
        <is>
          <t>Sunday</t>
        </is>
      </c>
      <c r="C32" s="10" t="inlineStr">
        <is>
          <t>Any</t>
        </is>
      </c>
      <c r="D32" s="10" t="inlineStr">
        <is>
          <t>—</t>
        </is>
      </c>
      <c r="E32" s="10" t="inlineStr">
        <is>
          <t>—</t>
        </is>
      </c>
      <c r="F32" s="10" t="inlineStr">
        <is>
          <t>Max 1 off</t>
        </is>
      </c>
    </row>
  </sheetData>
  <mergeCells count="6">
    <mergeCell ref="B13:B14"/>
    <mergeCell ref="B22:B23"/>
    <mergeCell ref="B7:B8"/>
    <mergeCell ref="B16:B17"/>
    <mergeCell ref="B10:B11"/>
    <mergeCell ref="B19:B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Pattern</t>
        </is>
      </c>
      <c r="B1" s="8" t="inlineStr">
        <is>
          <t>Mon</t>
        </is>
      </c>
      <c r="C1" s="8" t="inlineStr">
        <is>
          <t>Tue</t>
        </is>
      </c>
      <c r="D1" s="8" t="inlineStr">
        <is>
          <t>Wed</t>
        </is>
      </c>
      <c r="E1" s="8" t="inlineStr">
        <is>
          <t>Thu</t>
        </is>
      </c>
      <c r="F1" s="8" t="inlineStr">
        <is>
          <t>Fri</t>
        </is>
      </c>
      <c r="G1" s="8" t="inlineStr">
        <is>
          <t>Sat</t>
        </is>
      </c>
      <c r="H1" s="8" t="inlineStr">
        <is>
          <t>Sun</t>
        </is>
      </c>
    </row>
    <row r="2">
      <c r="A2" t="inlineStr">
        <is>
          <t>Mon-Fri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0</v>
      </c>
      <c r="H2" t="n">
        <v>0</v>
      </c>
    </row>
    <row r="3">
      <c r="A3" t="inlineStr">
        <is>
          <t>Mon-Thu</t>
        </is>
      </c>
      <c r="B3" t="n">
        <v>1</v>
      </c>
      <c r="C3" t="n">
        <v>1</v>
      </c>
      <c r="D3" t="n">
        <v>1</v>
      </c>
      <c r="E3" t="n">
        <v>1</v>
      </c>
      <c r="F3" t="n">
        <v>0</v>
      </c>
      <c r="G3" t="n">
        <v>0</v>
      </c>
      <c r="H3" t="n">
        <v>0</v>
      </c>
    </row>
    <row r="4">
      <c r="A4" t="inlineStr">
        <is>
          <t>Mon-Sat</t>
        </is>
      </c>
      <c r="B4" t="n">
        <v>1</v>
      </c>
      <c r="C4" t="n">
        <v>1</v>
      </c>
      <c r="D4" t="n">
        <v>1</v>
      </c>
      <c r="E4" t="n">
        <v>1</v>
      </c>
      <c r="F4" t="n">
        <v>1</v>
      </c>
      <c r="G4" t="n">
        <v>1</v>
      </c>
      <c r="H4" t="n">
        <v>0</v>
      </c>
    </row>
    <row r="5">
      <c r="A5" t="inlineStr">
        <is>
          <t>Mon-Sun</t>
        </is>
      </c>
      <c r="B5" t="n">
        <v>1</v>
      </c>
      <c r="C5" t="n">
        <v>1</v>
      </c>
      <c r="D5" t="n">
        <v>1</v>
      </c>
      <c r="E5" t="n">
        <v>1</v>
      </c>
      <c r="F5" t="n">
        <v>1</v>
      </c>
      <c r="G5" t="n">
        <v>1</v>
      </c>
      <c r="H5" t="n">
        <v>1</v>
      </c>
    </row>
    <row r="6">
      <c r="A6" t="inlineStr">
        <is>
          <t>Tue-Sat</t>
        </is>
      </c>
      <c r="B6" t="n">
        <v>0</v>
      </c>
      <c r="C6" t="n">
        <v>1</v>
      </c>
      <c r="D6" t="n">
        <v>1</v>
      </c>
      <c r="E6" t="n">
        <v>1</v>
      </c>
      <c r="F6" t="n">
        <v>1</v>
      </c>
      <c r="G6" t="n">
        <v>1</v>
      </c>
      <c r="H6" t="n">
        <v>0</v>
      </c>
    </row>
    <row r="7">
      <c r="A7" t="inlineStr">
        <is>
          <t>Tue-Sun</t>
        </is>
      </c>
      <c r="B7" t="n">
        <v>0</v>
      </c>
      <c r="C7" t="n">
        <v>1</v>
      </c>
      <c r="D7" t="n">
        <v>1</v>
      </c>
      <c r="E7" t="n">
        <v>1</v>
      </c>
      <c r="F7" t="n">
        <v>1</v>
      </c>
      <c r="G7" t="n">
        <v>1</v>
      </c>
      <c r="H7" t="n">
        <v>1</v>
      </c>
    </row>
    <row r="8">
      <c r="A8" t="inlineStr">
        <is>
          <t>Wed-Sun</t>
        </is>
      </c>
      <c r="B8" t="n">
        <v>0</v>
      </c>
      <c r="C8" t="n">
        <v>0</v>
      </c>
      <c r="D8" t="n">
        <v>1</v>
      </c>
      <c r="E8" t="n">
        <v>1</v>
      </c>
      <c r="F8" t="n">
        <v>1</v>
      </c>
      <c r="G8" t="n">
        <v>1</v>
      </c>
      <c r="H8" t="n">
        <v>1</v>
      </c>
    </row>
    <row r="9">
      <c r="A9" t="inlineStr">
        <is>
          <t>Thu-Sun</t>
        </is>
      </c>
      <c r="B9" t="n">
        <v>0</v>
      </c>
      <c r="C9" t="n">
        <v>0</v>
      </c>
      <c r="D9" t="n">
        <v>0</v>
      </c>
      <c r="E9" t="n">
        <v>1</v>
      </c>
      <c r="F9" t="n">
        <v>1</v>
      </c>
      <c r="G9" t="n">
        <v>1</v>
      </c>
      <c r="H9" t="n">
        <v>1</v>
      </c>
    </row>
    <row r="10">
      <c r="A10" t="inlineStr">
        <is>
          <t>Sat-Sun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</v>
      </c>
      <c r="H10" t="n">
        <v>1</v>
      </c>
    </row>
    <row r="11">
      <c r="A11" t="inlineStr">
        <is>
          <t>Mon only</t>
        </is>
      </c>
      <c r="B11" t="n">
        <v>1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t="inlineStr">
        <is>
          <t>Tue only</t>
        </is>
      </c>
      <c r="B12" t="n">
        <v>0</v>
      </c>
      <c r="C12" t="n">
        <v>1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t="inlineStr">
        <is>
          <t>Wed only</t>
        </is>
      </c>
      <c r="B13" t="n">
        <v>0</v>
      </c>
      <c r="C13" t="n">
        <v>0</v>
      </c>
      <c r="D13" t="n">
        <v>1</v>
      </c>
      <c r="E13" t="n">
        <v>0</v>
      </c>
      <c r="F13" t="n">
        <v>0</v>
      </c>
      <c r="G13" t="n">
        <v>0</v>
      </c>
      <c r="H13" t="n">
        <v>0</v>
      </c>
    </row>
    <row r="14">
      <c r="A14" t="inlineStr">
        <is>
          <t>Thu only</t>
        </is>
      </c>
      <c r="B14" t="n">
        <v>0</v>
      </c>
      <c r="C14" t="n">
        <v>0</v>
      </c>
      <c r="D14" t="n">
        <v>0</v>
      </c>
      <c r="E14" t="n">
        <v>1</v>
      </c>
      <c r="F14" t="n">
        <v>0</v>
      </c>
      <c r="G14" t="n">
        <v>0</v>
      </c>
      <c r="H14" t="n">
        <v>0</v>
      </c>
    </row>
    <row r="15">
      <c r="A15" t="inlineStr">
        <is>
          <t>Fri only</t>
        </is>
      </c>
      <c r="B15" t="n">
        <v>0</v>
      </c>
      <c r="C15" t="n">
        <v>0</v>
      </c>
      <c r="D15" t="n">
        <v>0</v>
      </c>
      <c r="E15" t="n">
        <v>0</v>
      </c>
      <c r="F15" t="n">
        <v>1</v>
      </c>
      <c r="G15" t="n">
        <v>0</v>
      </c>
      <c r="H15" t="n">
        <v>0</v>
      </c>
    </row>
    <row r="16">
      <c r="A16" t="inlineStr">
        <is>
          <t>Sat only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1</v>
      </c>
      <c r="H16" t="n">
        <v>0</v>
      </c>
    </row>
    <row r="17">
      <c r="A17" t="inlineStr">
        <is>
          <t>Sun only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W5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6" customWidth="1" min="7" max="7"/>
    <col width="24" customWidth="1" min="8" max="8"/>
    <col hidden="1" width="13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32" customHeight="1">
      <c r="A1" s="11" t="inlineStr">
        <is>
          <t>Enter each employee with their shift. Use one row per shift pattern. Tag Coverage Group for staff with group-based rules. All times in EST. Columns I–P are hidden helper columns used by the Coverage Check formula — do not delete.</t>
        </is>
      </c>
      <c r="J1" s="12" t="inlineStr">
        <is>
          <t>Working Days formats</t>
        </is>
      </c>
    </row>
    <row r="2" ht="32" customHeight="1">
      <c r="A2" s="8" t="inlineStr">
        <is>
          <t>Name</t>
        </is>
      </c>
      <c r="B2" s="8" t="inlineStr">
        <is>
          <t>Role</t>
        </is>
      </c>
      <c r="C2" s="8" t="inlineStr">
        <is>
          <t>Office</t>
        </is>
      </c>
      <c r="D2" s="8" t="inlineStr">
        <is>
          <t>Working Days</t>
        </is>
      </c>
      <c r="E2" s="8" t="inlineStr">
        <is>
          <t>Start Time
(EST)</t>
        </is>
      </c>
      <c r="F2" s="8" t="inlineStr">
        <is>
          <t>End Time
(EST)</t>
        </is>
      </c>
      <c r="G2" s="8" t="inlineStr">
        <is>
          <t>Coverage
Group</t>
        </is>
      </c>
      <c r="H2" s="8" t="inlineStr">
        <is>
          <t>Notes</t>
        </is>
      </c>
      <c r="I2" s="13" t="inlineStr">
        <is>
          <t>Mon</t>
        </is>
      </c>
      <c r="J2" s="13" t="inlineStr">
        <is>
          <t>Tue</t>
        </is>
      </c>
      <c r="K2" s="13" t="inlineStr">
        <is>
          <t>Wed</t>
        </is>
      </c>
      <c r="L2" s="13" t="inlineStr">
        <is>
          <t>Thu</t>
        </is>
      </c>
      <c r="M2" s="13" t="inlineStr">
        <is>
          <t>Fri</t>
        </is>
      </c>
      <c r="N2" s="13" t="inlineStr">
        <is>
          <t>Sat</t>
        </is>
      </c>
      <c r="O2" s="13" t="inlineStr">
        <is>
          <t>Sun</t>
        </is>
      </c>
      <c r="P2" s="13" t="inlineStr">
        <is>
          <t>Morning
(0–9am)</t>
        </is>
      </c>
      <c r="Q2" s="13" t="inlineStr">
        <is>
          <t>Daytime
(9am–5pm)</t>
        </is>
      </c>
      <c r="R2" s="13" t="inlineStr">
        <is>
          <t>Eve EST
(5–9pm)</t>
        </is>
      </c>
      <c r="S2" s="13" t="inlineStr">
        <is>
          <t>Eve PST
(5pm–mid)</t>
        </is>
      </c>
    </row>
    <row r="3" ht="20" customHeight="1">
      <c r="A3" s="14" t="inlineStr">
        <is>
          <t>John Smith</t>
        </is>
      </c>
      <c r="B3" s="15" t="inlineStr">
        <is>
          <t>Researcher</t>
        </is>
      </c>
      <c r="C3" s="15" t="inlineStr">
        <is>
          <t>New York</t>
        </is>
      </c>
      <c r="D3" s="15" t="inlineStr">
        <is>
          <t>Mon-Fri</t>
        </is>
      </c>
      <c r="E3" s="15" t="inlineStr">
        <is>
          <t>10:00</t>
        </is>
      </c>
      <c r="F3" s="15" t="inlineStr">
        <is>
          <t>18:00</t>
        </is>
      </c>
      <c r="G3" s="16" t="inlineStr"/>
      <c r="H3" s="17" t="inlineStr"/>
      <c r="I3">
        <f>IFERROR(VLOOKUP(D3,'Schedule Lookup'!$A:$H,2,0),0)</f>
        <v/>
      </c>
      <c r="J3">
        <f>IFERROR(VLOOKUP(D3,'Schedule Lookup'!$A:$H,3,0),0)</f>
        <v/>
      </c>
      <c r="K3">
        <f>IFERROR(VLOOKUP(D3,'Schedule Lookup'!$A:$H,4,0),0)</f>
        <v/>
      </c>
      <c r="L3">
        <f>IFERROR(VLOOKUP(D3,'Schedule Lookup'!$A:$H,5,0),0)</f>
        <v/>
      </c>
      <c r="M3">
        <f>IFERROR(VLOOKUP(D3,'Schedule Lookup'!$A:$H,6,0),0)</f>
        <v/>
      </c>
      <c r="N3">
        <f>IFERROR(VLOOKUP(D3,'Schedule Lookup'!$A:$H,7,0),0)</f>
        <v/>
      </c>
      <c r="O3">
        <f>IFERROR(VLOOKUP(D3,'Schedule Lookup'!$A:$H,8,0),0)</f>
        <v/>
      </c>
      <c r="T3">
        <f>IF(AND(E3&lt;TIME(9,0,0),F3&gt;TIME(0,0,1)),1,0)</f>
        <v/>
      </c>
      <c r="U3">
        <f>IF(AND(E3&lt;TIME(17,0,0),F3&gt;TIME(9,0,0)),1,0)</f>
        <v/>
      </c>
      <c r="V3">
        <f>IF(AND(E3&lt;TIME(21,0,0),F3&gt;TIME(17,0,0)),1,0)</f>
        <v/>
      </c>
      <c r="W3">
        <f>IF(F3&gt;TIME(17,0,0),1,0)</f>
        <v/>
      </c>
    </row>
    <row r="4" ht="20" customHeight="1">
      <c r="A4" s="18" t="inlineStr">
        <is>
          <t>Sarah Chen</t>
        </is>
      </c>
      <c r="B4" s="19" t="inlineStr">
        <is>
          <t>Manager</t>
        </is>
      </c>
      <c r="C4" s="19" t="inlineStr">
        <is>
          <t>Boston</t>
        </is>
      </c>
      <c r="D4" s="19" t="inlineStr">
        <is>
          <t>Mon-Fri</t>
        </is>
      </c>
      <c r="E4" s="19" t="inlineStr">
        <is>
          <t>09:00</t>
        </is>
      </c>
      <c r="F4" s="19" t="inlineStr">
        <is>
          <t>17:00</t>
        </is>
      </c>
      <c r="G4" s="20" t="inlineStr"/>
      <c r="H4" s="21" t="inlineStr"/>
      <c r="I4">
        <f>IFERROR(VLOOKUP(D4,'Schedule Lookup'!$A:$H,2,0),0)</f>
        <v/>
      </c>
      <c r="J4">
        <f>IFERROR(VLOOKUP(D4,'Schedule Lookup'!$A:$H,3,0),0)</f>
        <v/>
      </c>
      <c r="K4">
        <f>IFERROR(VLOOKUP(D4,'Schedule Lookup'!$A:$H,4,0),0)</f>
        <v/>
      </c>
      <c r="L4">
        <f>IFERROR(VLOOKUP(D4,'Schedule Lookup'!$A:$H,5,0),0)</f>
        <v/>
      </c>
      <c r="M4">
        <f>IFERROR(VLOOKUP(D4,'Schedule Lookup'!$A:$H,6,0),0)</f>
        <v/>
      </c>
      <c r="N4">
        <f>IFERROR(VLOOKUP(D4,'Schedule Lookup'!$A:$H,7,0),0)</f>
        <v/>
      </c>
      <c r="O4">
        <f>IFERROR(VLOOKUP(D4,'Schedule Lookup'!$A:$H,8,0),0)</f>
        <v/>
      </c>
      <c r="T4">
        <f>IF(AND(E4&lt;TIME(9,0,0),F4&gt;TIME(0,0,1)),1,0)</f>
        <v/>
      </c>
      <c r="U4">
        <f>IF(AND(E4&lt;TIME(17,0,0),F4&gt;TIME(9,0,0)),1,0)</f>
        <v/>
      </c>
      <c r="V4">
        <f>IF(AND(E4&lt;TIME(21,0,0),F4&gt;TIME(17,0,0)),1,0)</f>
        <v/>
      </c>
      <c r="W4">
        <f>IF(F4&gt;TIME(17,0,0),1,0)</f>
        <v/>
      </c>
    </row>
    <row r="5" ht="20" customHeight="1">
      <c r="A5" s="14" t="inlineStr">
        <is>
          <t>James Liu</t>
        </is>
      </c>
      <c r="B5" s="15" t="inlineStr">
        <is>
          <t>Researcher</t>
        </is>
      </c>
      <c r="C5" s="15" t="inlineStr">
        <is>
          <t>Hong Kong</t>
        </is>
      </c>
      <c r="D5" s="15" t="inlineStr">
        <is>
          <t>Mon-Fri</t>
        </is>
      </c>
      <c r="E5" s="15" t="inlineStr">
        <is>
          <t>00:00</t>
        </is>
      </c>
      <c r="F5" s="15" t="inlineStr">
        <is>
          <t>08:00</t>
        </is>
      </c>
      <c r="G5" s="16" t="inlineStr"/>
      <c r="H5" s="17" t="inlineStr">
        <is>
          <t>Enter 00:01 for midnight start</t>
        </is>
      </c>
      <c r="I5">
        <f>IFERROR(VLOOKUP(D5,'Schedule Lookup'!$A:$H,2,0),0)</f>
        <v/>
      </c>
      <c r="J5">
        <f>IFERROR(VLOOKUP(D5,'Schedule Lookup'!$A:$H,3,0),0)</f>
        <v/>
      </c>
      <c r="K5">
        <f>IFERROR(VLOOKUP(D5,'Schedule Lookup'!$A:$H,4,0),0)</f>
        <v/>
      </c>
      <c r="L5">
        <f>IFERROR(VLOOKUP(D5,'Schedule Lookup'!$A:$H,5,0),0)</f>
        <v/>
      </c>
      <c r="M5">
        <f>IFERROR(VLOOKUP(D5,'Schedule Lookup'!$A:$H,6,0),0)</f>
        <v/>
      </c>
      <c r="N5">
        <f>IFERROR(VLOOKUP(D5,'Schedule Lookup'!$A:$H,7,0),0)</f>
        <v/>
      </c>
      <c r="O5">
        <f>IFERROR(VLOOKUP(D5,'Schedule Lookup'!$A:$H,8,0),0)</f>
        <v/>
      </c>
      <c r="T5">
        <f>IF(AND(E5&lt;TIME(9,0,0),F5&gt;TIME(0,0,1)),1,0)</f>
        <v/>
      </c>
      <c r="U5">
        <f>IF(AND(E5&lt;TIME(17,0,0),F5&gt;TIME(9,0,0)),1,0)</f>
        <v/>
      </c>
      <c r="V5">
        <f>IF(AND(E5&lt;TIME(21,0,0),F5&gt;TIME(17,0,0)),1,0)</f>
        <v/>
      </c>
      <c r="W5">
        <f>IF(F5&gt;TIME(17,0,0),1,0)</f>
        <v/>
      </c>
    </row>
    <row r="6" ht="20" customHeight="1">
      <c r="A6" s="18" t="inlineStr">
        <is>
          <t>Emma Clarke</t>
        </is>
      </c>
      <c r="B6" s="19" t="inlineStr">
        <is>
          <t>Researcher</t>
        </is>
      </c>
      <c r="C6" s="19" t="inlineStr">
        <is>
          <t>London</t>
        </is>
      </c>
      <c r="D6" s="19" t="inlineStr">
        <is>
          <t>Mon-Fri</t>
        </is>
      </c>
      <c r="E6" s="19" t="inlineStr">
        <is>
          <t>04:00</t>
        </is>
      </c>
      <c r="F6" s="19" t="inlineStr">
        <is>
          <t>12:00</t>
        </is>
      </c>
      <c r="G6" s="20" t="inlineStr"/>
      <c r="H6" s="21" t="inlineStr"/>
      <c r="I6">
        <f>IFERROR(VLOOKUP(D6,'Schedule Lookup'!$A:$H,2,0),0)</f>
        <v/>
      </c>
      <c r="J6">
        <f>IFERROR(VLOOKUP(D6,'Schedule Lookup'!$A:$H,3,0),0)</f>
        <v/>
      </c>
      <c r="K6">
        <f>IFERROR(VLOOKUP(D6,'Schedule Lookup'!$A:$H,4,0),0)</f>
        <v/>
      </c>
      <c r="L6">
        <f>IFERROR(VLOOKUP(D6,'Schedule Lookup'!$A:$H,5,0),0)</f>
        <v/>
      </c>
      <c r="M6">
        <f>IFERROR(VLOOKUP(D6,'Schedule Lookup'!$A:$H,6,0),0)</f>
        <v/>
      </c>
      <c r="N6">
        <f>IFERROR(VLOOKUP(D6,'Schedule Lookup'!$A:$H,7,0),0)</f>
        <v/>
      </c>
      <c r="O6">
        <f>IFERROR(VLOOKUP(D6,'Schedule Lookup'!$A:$H,8,0),0)</f>
        <v/>
      </c>
      <c r="T6">
        <f>IF(AND(E6&lt;TIME(9,0,0),F6&gt;TIME(0,0,1)),1,0)</f>
        <v/>
      </c>
      <c r="U6">
        <f>IF(AND(E6&lt;TIME(17,0,0),F6&gt;TIME(9,0,0)),1,0)</f>
        <v/>
      </c>
      <c r="V6">
        <f>IF(AND(E6&lt;TIME(21,0,0),F6&gt;TIME(17,0,0)),1,0)</f>
        <v/>
      </c>
      <c r="W6">
        <f>IF(F6&gt;TIME(17,0,0),1,0)</f>
        <v/>
      </c>
    </row>
    <row r="7" ht="20" customHeight="1">
      <c r="A7" s="14" t="inlineStr">
        <is>
          <t>Mike Torres</t>
        </is>
      </c>
      <c r="B7" s="15" t="inlineStr">
        <is>
          <t>Manager</t>
        </is>
      </c>
      <c r="C7" s="15" t="inlineStr">
        <is>
          <t>Los Angeles</t>
        </is>
      </c>
      <c r="D7" s="15" t="inlineStr">
        <is>
          <t>Mon-Fri</t>
        </is>
      </c>
      <c r="E7" s="15" t="inlineStr">
        <is>
          <t>12:00</t>
        </is>
      </c>
      <c r="F7" s="15" t="inlineStr">
        <is>
          <t>20:00</t>
        </is>
      </c>
      <c r="G7" s="16" t="inlineStr"/>
      <c r="H7" s="17" t="inlineStr"/>
      <c r="I7">
        <f>IFERROR(VLOOKUP(D7,'Schedule Lookup'!$A:$H,2,0),0)</f>
        <v/>
      </c>
      <c r="J7">
        <f>IFERROR(VLOOKUP(D7,'Schedule Lookup'!$A:$H,3,0),0)</f>
        <v/>
      </c>
      <c r="K7">
        <f>IFERROR(VLOOKUP(D7,'Schedule Lookup'!$A:$H,4,0),0)</f>
        <v/>
      </c>
      <c r="L7">
        <f>IFERROR(VLOOKUP(D7,'Schedule Lookup'!$A:$H,5,0),0)</f>
        <v/>
      </c>
      <c r="M7">
        <f>IFERROR(VLOOKUP(D7,'Schedule Lookup'!$A:$H,6,0),0)</f>
        <v/>
      </c>
      <c r="N7">
        <f>IFERROR(VLOOKUP(D7,'Schedule Lookup'!$A:$H,7,0),0)</f>
        <v/>
      </c>
      <c r="O7">
        <f>IFERROR(VLOOKUP(D7,'Schedule Lookup'!$A:$H,8,0),0)</f>
        <v/>
      </c>
      <c r="T7">
        <f>IF(AND(E7&lt;TIME(9,0,0),F7&gt;TIME(0,0,1)),1,0)</f>
        <v/>
      </c>
      <c r="U7">
        <f>IF(AND(E7&lt;TIME(17,0,0),F7&gt;TIME(9,0,0)),1,0)</f>
        <v/>
      </c>
      <c r="V7">
        <f>IF(AND(E7&lt;TIME(21,0,0),F7&gt;TIME(17,0,0)),1,0)</f>
        <v/>
      </c>
      <c r="W7">
        <f>IF(F7&gt;TIME(17,0,0),1,0)</f>
        <v/>
      </c>
    </row>
    <row r="8" ht="20" customHeight="1">
      <c r="A8" s="18" t="inlineStr">
        <is>
          <t>Priya Sharma</t>
        </is>
      </c>
      <c r="B8" s="19" t="inlineStr">
        <is>
          <t>Researcher</t>
        </is>
      </c>
      <c r="C8" s="19" t="inlineStr">
        <is>
          <t>Washington DC</t>
        </is>
      </c>
      <c r="D8" s="19" t="inlineStr">
        <is>
          <t>Mon-Fri</t>
        </is>
      </c>
      <c r="E8" s="19" t="inlineStr">
        <is>
          <t>09:00</t>
        </is>
      </c>
      <c r="F8" s="19" t="inlineStr">
        <is>
          <t>17:00</t>
        </is>
      </c>
      <c r="G8" s="20" t="inlineStr"/>
      <c r="H8" s="21" t="inlineStr"/>
      <c r="I8">
        <f>IFERROR(VLOOKUP(D8,'Schedule Lookup'!$A:$H,2,0),0)</f>
        <v/>
      </c>
      <c r="J8">
        <f>IFERROR(VLOOKUP(D8,'Schedule Lookup'!$A:$H,3,0),0)</f>
        <v/>
      </c>
      <c r="K8">
        <f>IFERROR(VLOOKUP(D8,'Schedule Lookup'!$A:$H,4,0),0)</f>
        <v/>
      </c>
      <c r="L8">
        <f>IFERROR(VLOOKUP(D8,'Schedule Lookup'!$A:$H,5,0),0)</f>
        <v/>
      </c>
      <c r="M8">
        <f>IFERROR(VLOOKUP(D8,'Schedule Lookup'!$A:$H,6,0),0)</f>
        <v/>
      </c>
      <c r="N8">
        <f>IFERROR(VLOOKUP(D8,'Schedule Lookup'!$A:$H,7,0),0)</f>
        <v/>
      </c>
      <c r="O8">
        <f>IFERROR(VLOOKUP(D8,'Schedule Lookup'!$A:$H,8,0),0)</f>
        <v/>
      </c>
      <c r="T8">
        <f>IF(AND(E8&lt;TIME(9,0,0),F8&gt;TIME(0,0,1)),1,0)</f>
        <v/>
      </c>
      <c r="U8">
        <f>IF(AND(E8&lt;TIME(17,0,0),F8&gt;TIME(9,0,0)),1,0)</f>
        <v/>
      </c>
      <c r="V8">
        <f>IF(AND(E8&lt;TIME(21,0,0),F8&gt;TIME(17,0,0)),1,0)</f>
        <v/>
      </c>
      <c r="W8">
        <f>IF(F8&gt;TIME(17,0,0),1,0)</f>
        <v/>
      </c>
    </row>
    <row r="9" ht="20" customHeight="1">
      <c r="A9" s="14" t="inlineStr">
        <is>
          <t>Priya Sharma</t>
        </is>
      </c>
      <c r="B9" s="15" t="inlineStr">
        <is>
          <t>Researcher</t>
        </is>
      </c>
      <c r="C9" s="15" t="inlineStr">
        <is>
          <t>Washington DC</t>
        </is>
      </c>
      <c r="D9" s="15" t="inlineStr">
        <is>
          <t>Sat-Sun</t>
        </is>
      </c>
      <c r="E9" s="15" t="inlineStr">
        <is>
          <t>10:00</t>
        </is>
      </c>
      <c r="F9" s="15" t="inlineStr">
        <is>
          <t>14:00</t>
        </is>
      </c>
      <c r="G9" s="16" t="inlineStr"/>
      <c r="H9" s="17" t="inlineStr">
        <is>
          <t>Weekend schedule</t>
        </is>
      </c>
      <c r="I9">
        <f>IFERROR(VLOOKUP(D9,'Schedule Lookup'!$A:$H,2,0),0)</f>
        <v/>
      </c>
      <c r="J9">
        <f>IFERROR(VLOOKUP(D9,'Schedule Lookup'!$A:$H,3,0),0)</f>
        <v/>
      </c>
      <c r="K9">
        <f>IFERROR(VLOOKUP(D9,'Schedule Lookup'!$A:$H,4,0),0)</f>
        <v/>
      </c>
      <c r="L9">
        <f>IFERROR(VLOOKUP(D9,'Schedule Lookup'!$A:$H,5,0),0)</f>
        <v/>
      </c>
      <c r="M9">
        <f>IFERROR(VLOOKUP(D9,'Schedule Lookup'!$A:$H,6,0),0)</f>
        <v/>
      </c>
      <c r="N9">
        <f>IFERROR(VLOOKUP(D9,'Schedule Lookup'!$A:$H,7,0),0)</f>
        <v/>
      </c>
      <c r="O9">
        <f>IFERROR(VLOOKUP(D9,'Schedule Lookup'!$A:$H,8,0),0)</f>
        <v/>
      </c>
      <c r="T9">
        <f>IF(AND(E9&lt;TIME(9,0,0),F9&gt;TIME(0,0,1)),1,0)</f>
        <v/>
      </c>
      <c r="U9">
        <f>IF(AND(E9&lt;TIME(17,0,0),F9&gt;TIME(9,0,0)),1,0)</f>
        <v/>
      </c>
      <c r="V9">
        <f>IF(AND(E9&lt;TIME(21,0,0),F9&gt;TIME(17,0,0)),1,0)</f>
        <v/>
      </c>
      <c r="W9">
        <f>IF(F9&gt;TIME(17,0,0),1,0)</f>
        <v/>
      </c>
    </row>
    <row r="10" ht="20" customHeight="1">
      <c r="A10" s="18" t="inlineStr">
        <is>
          <t>Alex Kim</t>
        </is>
      </c>
      <c r="B10" s="19" t="inlineStr">
        <is>
          <t>Researcher</t>
        </is>
      </c>
      <c r="C10" s="19" t="inlineStr">
        <is>
          <t>New York</t>
        </is>
      </c>
      <c r="D10" s="19" t="inlineStr">
        <is>
          <t>Mon-Fri</t>
        </is>
      </c>
      <c r="E10" s="19" t="inlineStr">
        <is>
          <t>05:00</t>
        </is>
      </c>
      <c r="F10" s="19" t="inlineStr">
        <is>
          <t>13:00</t>
        </is>
      </c>
      <c r="G10" s="19" t="inlineStr">
        <is>
          <t>Early Morning</t>
        </is>
      </c>
      <c r="H10" s="21" t="inlineStr"/>
      <c r="I10">
        <f>IFERROR(VLOOKUP(D10,'Schedule Lookup'!$A:$H,2,0),0)</f>
        <v/>
      </c>
      <c r="J10">
        <f>IFERROR(VLOOKUP(D10,'Schedule Lookup'!$A:$H,3,0),0)</f>
        <v/>
      </c>
      <c r="K10">
        <f>IFERROR(VLOOKUP(D10,'Schedule Lookup'!$A:$H,4,0),0)</f>
        <v/>
      </c>
      <c r="L10">
        <f>IFERROR(VLOOKUP(D10,'Schedule Lookup'!$A:$H,5,0),0)</f>
        <v/>
      </c>
      <c r="M10">
        <f>IFERROR(VLOOKUP(D10,'Schedule Lookup'!$A:$H,6,0),0)</f>
        <v/>
      </c>
      <c r="N10">
        <f>IFERROR(VLOOKUP(D10,'Schedule Lookup'!$A:$H,7,0),0)</f>
        <v/>
      </c>
      <c r="O10">
        <f>IFERROR(VLOOKUP(D10,'Schedule Lookup'!$A:$H,8,0),0)</f>
        <v/>
      </c>
      <c r="T10">
        <f>IF(AND(E10&lt;TIME(9,0,0),F10&gt;TIME(0,0,1)),1,0)</f>
        <v/>
      </c>
      <c r="U10">
        <f>IF(AND(E10&lt;TIME(17,0,0),F10&gt;TIME(9,0,0)),1,0)</f>
        <v/>
      </c>
      <c r="V10">
        <f>IF(AND(E10&lt;TIME(21,0,0),F10&gt;TIME(17,0,0)),1,0)</f>
        <v/>
      </c>
      <c r="W10">
        <f>IF(F10&gt;TIME(17,0,0),1,0)</f>
        <v/>
      </c>
    </row>
    <row r="11" ht="20" customHeight="1">
      <c r="A11" s="14" t="inlineStr">
        <is>
          <t>Dana Walsh</t>
        </is>
      </c>
      <c r="B11" s="15" t="inlineStr">
        <is>
          <t>Researcher</t>
        </is>
      </c>
      <c r="C11" s="15" t="inlineStr">
        <is>
          <t>London</t>
        </is>
      </c>
      <c r="D11" s="15" t="inlineStr">
        <is>
          <t>Mon-Fri</t>
        </is>
      </c>
      <c r="E11" s="15" t="inlineStr">
        <is>
          <t>07:00</t>
        </is>
      </c>
      <c r="F11" s="15" t="inlineStr">
        <is>
          <t>15:00</t>
        </is>
      </c>
      <c r="G11" s="15" t="inlineStr">
        <is>
          <t>Early Morning</t>
        </is>
      </c>
      <c r="H11" s="17" t="inlineStr"/>
      <c r="I11">
        <f>IFERROR(VLOOKUP(D11,'Schedule Lookup'!$A:$H,2,0),0)</f>
        <v/>
      </c>
      <c r="J11">
        <f>IFERROR(VLOOKUP(D11,'Schedule Lookup'!$A:$H,3,0),0)</f>
        <v/>
      </c>
      <c r="K11">
        <f>IFERROR(VLOOKUP(D11,'Schedule Lookup'!$A:$H,4,0),0)</f>
        <v/>
      </c>
      <c r="L11">
        <f>IFERROR(VLOOKUP(D11,'Schedule Lookup'!$A:$H,5,0),0)</f>
        <v/>
      </c>
      <c r="M11">
        <f>IFERROR(VLOOKUP(D11,'Schedule Lookup'!$A:$H,6,0),0)</f>
        <v/>
      </c>
      <c r="N11">
        <f>IFERROR(VLOOKUP(D11,'Schedule Lookup'!$A:$H,7,0),0)</f>
        <v/>
      </c>
      <c r="O11">
        <f>IFERROR(VLOOKUP(D11,'Schedule Lookup'!$A:$H,8,0),0)</f>
        <v/>
      </c>
      <c r="T11">
        <f>IF(AND(E11&lt;TIME(9,0,0),F11&gt;TIME(0,0,1)),1,0)</f>
        <v/>
      </c>
      <c r="U11">
        <f>IF(AND(E11&lt;TIME(17,0,0),F11&gt;TIME(9,0,0)),1,0)</f>
        <v/>
      </c>
      <c r="V11">
        <f>IF(AND(E11&lt;TIME(21,0,0),F11&gt;TIME(17,0,0)),1,0)</f>
        <v/>
      </c>
      <c r="W11">
        <f>IF(F11&gt;TIME(17,0,0),1,0)</f>
        <v/>
      </c>
    </row>
    <row r="12" ht="20" customHeight="1">
      <c r="A12" s="18" t="inlineStr">
        <is>
          <t>Chris Park</t>
        </is>
      </c>
      <c r="B12" s="19" t="inlineStr">
        <is>
          <t>Researcher</t>
        </is>
      </c>
      <c r="C12" s="19" t="inlineStr">
        <is>
          <t>New York</t>
        </is>
      </c>
      <c r="D12" s="19" t="inlineStr">
        <is>
          <t>Mon-Fri</t>
        </is>
      </c>
      <c r="E12" s="19" t="inlineStr">
        <is>
          <t>07:30</t>
        </is>
      </c>
      <c r="F12" s="19" t="inlineStr">
        <is>
          <t>15:30</t>
        </is>
      </c>
      <c r="G12" s="19" t="inlineStr">
        <is>
          <t>Early Morning</t>
        </is>
      </c>
      <c r="H12" s="21" t="inlineStr"/>
      <c r="I12">
        <f>IFERROR(VLOOKUP(D12,'Schedule Lookup'!$A:$H,2,0),0)</f>
        <v/>
      </c>
      <c r="J12">
        <f>IFERROR(VLOOKUP(D12,'Schedule Lookup'!$A:$H,3,0),0)</f>
        <v/>
      </c>
      <c r="K12">
        <f>IFERROR(VLOOKUP(D12,'Schedule Lookup'!$A:$H,4,0),0)</f>
        <v/>
      </c>
      <c r="L12">
        <f>IFERROR(VLOOKUP(D12,'Schedule Lookup'!$A:$H,5,0),0)</f>
        <v/>
      </c>
      <c r="M12">
        <f>IFERROR(VLOOKUP(D12,'Schedule Lookup'!$A:$H,6,0),0)</f>
        <v/>
      </c>
      <c r="N12">
        <f>IFERROR(VLOOKUP(D12,'Schedule Lookup'!$A:$H,7,0),0)</f>
        <v/>
      </c>
      <c r="O12">
        <f>IFERROR(VLOOKUP(D12,'Schedule Lookup'!$A:$H,8,0),0)</f>
        <v/>
      </c>
      <c r="T12">
        <f>IF(AND(E12&lt;TIME(9,0,0),F12&gt;TIME(0,0,1)),1,0)</f>
        <v/>
      </c>
      <c r="U12">
        <f>IF(AND(E12&lt;TIME(17,0,0),F12&gt;TIME(9,0,0)),1,0)</f>
        <v/>
      </c>
      <c r="V12">
        <f>IF(AND(E12&lt;TIME(21,0,0),F12&gt;TIME(17,0,0)),1,0)</f>
        <v/>
      </c>
      <c r="W12">
        <f>IF(F12&gt;TIME(17,0,0),1,0)</f>
        <v/>
      </c>
    </row>
    <row r="13" ht="20" customHeight="1">
      <c r="A13" s="14" t="inlineStr">
        <is>
          <t>Lisa Wang</t>
        </is>
      </c>
      <c r="B13" s="15" t="inlineStr">
        <is>
          <t>Manager</t>
        </is>
      </c>
      <c r="C13" s="15" t="inlineStr">
        <is>
          <t>Chicago</t>
        </is>
      </c>
      <c r="D13" s="15" t="inlineStr">
        <is>
          <t>Mon-Fri</t>
        </is>
      </c>
      <c r="E13" s="15" t="inlineStr">
        <is>
          <t>08:00</t>
        </is>
      </c>
      <c r="F13" s="15" t="inlineStr">
        <is>
          <t>16:00</t>
        </is>
      </c>
      <c r="G13" s="16" t="inlineStr"/>
      <c r="H13" s="17" t="inlineStr"/>
      <c r="I13">
        <f>IFERROR(VLOOKUP(D13,'Schedule Lookup'!$A:$H,2,0),0)</f>
        <v/>
      </c>
      <c r="J13">
        <f>IFERROR(VLOOKUP(D13,'Schedule Lookup'!$A:$H,3,0),0)</f>
        <v/>
      </c>
      <c r="K13">
        <f>IFERROR(VLOOKUP(D13,'Schedule Lookup'!$A:$H,4,0),0)</f>
        <v/>
      </c>
      <c r="L13">
        <f>IFERROR(VLOOKUP(D13,'Schedule Lookup'!$A:$H,5,0),0)</f>
        <v/>
      </c>
      <c r="M13">
        <f>IFERROR(VLOOKUP(D13,'Schedule Lookup'!$A:$H,6,0),0)</f>
        <v/>
      </c>
      <c r="N13">
        <f>IFERROR(VLOOKUP(D13,'Schedule Lookup'!$A:$H,7,0),0)</f>
        <v/>
      </c>
      <c r="O13">
        <f>IFERROR(VLOOKUP(D13,'Schedule Lookup'!$A:$H,8,0),0)</f>
        <v/>
      </c>
      <c r="T13">
        <f>IF(AND(E13&lt;TIME(9,0,0),F13&gt;TIME(0,0,1)),1,0)</f>
        <v/>
      </c>
      <c r="U13">
        <f>IF(AND(E13&lt;TIME(17,0,0),F13&gt;TIME(9,0,0)),1,0)</f>
        <v/>
      </c>
      <c r="V13">
        <f>IF(AND(E13&lt;TIME(21,0,0),F13&gt;TIME(17,0,0)),1,0)</f>
        <v/>
      </c>
      <c r="W13">
        <f>IF(F13&gt;TIME(17,0,0),1,0)</f>
        <v/>
      </c>
    </row>
    <row r="14">
      <c r="I14">
        <f>IFERROR(VLOOKUP(D14,'Schedule Lookup'!$A:$H,2,0),0)</f>
        <v/>
      </c>
      <c r="J14">
        <f>IFERROR(VLOOKUP(D14,'Schedule Lookup'!$A:$H,3,0),0)</f>
        <v/>
      </c>
      <c r="K14">
        <f>IFERROR(VLOOKUP(D14,'Schedule Lookup'!$A:$H,4,0),0)</f>
        <v/>
      </c>
      <c r="L14">
        <f>IFERROR(VLOOKUP(D14,'Schedule Lookup'!$A:$H,5,0),0)</f>
        <v/>
      </c>
      <c r="M14">
        <f>IFERROR(VLOOKUP(D14,'Schedule Lookup'!$A:$H,6,0),0)</f>
        <v/>
      </c>
      <c r="N14">
        <f>IFERROR(VLOOKUP(D14,'Schedule Lookup'!$A:$H,7,0),0)</f>
        <v/>
      </c>
      <c r="O14">
        <f>IFERROR(VLOOKUP(D14,'Schedule Lookup'!$A:$H,8,0),0)</f>
        <v/>
      </c>
      <c r="T14">
        <f>IF(AND(E14&lt;TIME(9,0,0),F14&gt;TIME(0,0,1)),1,0)</f>
        <v/>
      </c>
      <c r="U14">
        <f>IF(AND(E14&lt;TIME(17,0,0),F14&gt;TIME(9,0,0)),1,0)</f>
        <v/>
      </c>
      <c r="V14">
        <f>IF(AND(E14&lt;TIME(21,0,0),F14&gt;TIME(17,0,0)),1,0)</f>
        <v/>
      </c>
      <c r="W14">
        <f>IF(F14&gt;TIME(17,0,0),1,0)</f>
        <v/>
      </c>
    </row>
    <row r="15">
      <c r="I15">
        <f>IFERROR(VLOOKUP(D15,'Schedule Lookup'!$A:$H,2,0),0)</f>
        <v/>
      </c>
      <c r="J15">
        <f>IFERROR(VLOOKUP(D15,'Schedule Lookup'!$A:$H,3,0),0)</f>
        <v/>
      </c>
      <c r="K15">
        <f>IFERROR(VLOOKUP(D15,'Schedule Lookup'!$A:$H,4,0),0)</f>
        <v/>
      </c>
      <c r="L15">
        <f>IFERROR(VLOOKUP(D15,'Schedule Lookup'!$A:$H,5,0),0)</f>
        <v/>
      </c>
      <c r="M15">
        <f>IFERROR(VLOOKUP(D15,'Schedule Lookup'!$A:$H,6,0),0)</f>
        <v/>
      </c>
      <c r="N15">
        <f>IFERROR(VLOOKUP(D15,'Schedule Lookup'!$A:$H,7,0),0)</f>
        <v/>
      </c>
      <c r="O15">
        <f>IFERROR(VLOOKUP(D15,'Schedule Lookup'!$A:$H,8,0),0)</f>
        <v/>
      </c>
      <c r="T15">
        <f>IF(AND(E15&lt;TIME(9,0,0),F15&gt;TIME(0,0,1)),1,0)</f>
        <v/>
      </c>
      <c r="U15">
        <f>IF(AND(E15&lt;TIME(17,0,0),F15&gt;TIME(9,0,0)),1,0)</f>
        <v/>
      </c>
      <c r="V15">
        <f>IF(AND(E15&lt;TIME(21,0,0),F15&gt;TIME(17,0,0)),1,0)</f>
        <v/>
      </c>
      <c r="W15">
        <f>IF(F15&gt;TIME(17,0,0),1,0)</f>
        <v/>
      </c>
    </row>
    <row r="16">
      <c r="I16">
        <f>IFERROR(VLOOKUP(D16,'Schedule Lookup'!$A:$H,2,0),0)</f>
        <v/>
      </c>
      <c r="J16">
        <f>IFERROR(VLOOKUP(D16,'Schedule Lookup'!$A:$H,3,0),0)</f>
        <v/>
      </c>
      <c r="K16">
        <f>IFERROR(VLOOKUP(D16,'Schedule Lookup'!$A:$H,4,0),0)</f>
        <v/>
      </c>
      <c r="L16">
        <f>IFERROR(VLOOKUP(D16,'Schedule Lookup'!$A:$H,5,0),0)</f>
        <v/>
      </c>
      <c r="M16">
        <f>IFERROR(VLOOKUP(D16,'Schedule Lookup'!$A:$H,6,0),0)</f>
        <v/>
      </c>
      <c r="N16">
        <f>IFERROR(VLOOKUP(D16,'Schedule Lookup'!$A:$H,7,0),0)</f>
        <v/>
      </c>
      <c r="O16">
        <f>IFERROR(VLOOKUP(D16,'Schedule Lookup'!$A:$H,8,0),0)</f>
        <v/>
      </c>
      <c r="T16">
        <f>IF(AND(E16&lt;TIME(9,0,0),F16&gt;TIME(0,0,1)),1,0)</f>
        <v/>
      </c>
      <c r="U16">
        <f>IF(AND(E16&lt;TIME(17,0,0),F16&gt;TIME(9,0,0)),1,0)</f>
        <v/>
      </c>
      <c r="V16">
        <f>IF(AND(E16&lt;TIME(21,0,0),F16&gt;TIME(17,0,0)),1,0)</f>
        <v/>
      </c>
      <c r="W16">
        <f>IF(F16&gt;TIME(17,0,0),1,0)</f>
        <v/>
      </c>
    </row>
    <row r="17">
      <c r="I17">
        <f>IFERROR(VLOOKUP(D17,'Schedule Lookup'!$A:$H,2,0),0)</f>
        <v/>
      </c>
      <c r="J17">
        <f>IFERROR(VLOOKUP(D17,'Schedule Lookup'!$A:$H,3,0),0)</f>
        <v/>
      </c>
      <c r="K17">
        <f>IFERROR(VLOOKUP(D17,'Schedule Lookup'!$A:$H,4,0),0)</f>
        <v/>
      </c>
      <c r="L17">
        <f>IFERROR(VLOOKUP(D17,'Schedule Lookup'!$A:$H,5,0),0)</f>
        <v/>
      </c>
      <c r="M17">
        <f>IFERROR(VLOOKUP(D17,'Schedule Lookup'!$A:$H,6,0),0)</f>
        <v/>
      </c>
      <c r="N17">
        <f>IFERROR(VLOOKUP(D17,'Schedule Lookup'!$A:$H,7,0),0)</f>
        <v/>
      </c>
      <c r="O17">
        <f>IFERROR(VLOOKUP(D17,'Schedule Lookup'!$A:$H,8,0),0)</f>
        <v/>
      </c>
      <c r="T17">
        <f>IF(AND(E17&lt;TIME(9,0,0),F17&gt;TIME(0,0,1)),1,0)</f>
        <v/>
      </c>
      <c r="U17">
        <f>IF(AND(E17&lt;TIME(17,0,0),F17&gt;TIME(9,0,0)),1,0)</f>
        <v/>
      </c>
      <c r="V17">
        <f>IF(AND(E17&lt;TIME(21,0,0),F17&gt;TIME(17,0,0)),1,0)</f>
        <v/>
      </c>
      <c r="W17">
        <f>IF(F17&gt;TIME(17,0,0),1,0)</f>
        <v/>
      </c>
    </row>
    <row r="18">
      <c r="I18">
        <f>IFERROR(VLOOKUP(D18,'Schedule Lookup'!$A:$H,2,0),0)</f>
        <v/>
      </c>
      <c r="J18">
        <f>IFERROR(VLOOKUP(D18,'Schedule Lookup'!$A:$H,3,0),0)</f>
        <v/>
      </c>
      <c r="K18">
        <f>IFERROR(VLOOKUP(D18,'Schedule Lookup'!$A:$H,4,0),0)</f>
        <v/>
      </c>
      <c r="L18">
        <f>IFERROR(VLOOKUP(D18,'Schedule Lookup'!$A:$H,5,0),0)</f>
        <v/>
      </c>
      <c r="M18">
        <f>IFERROR(VLOOKUP(D18,'Schedule Lookup'!$A:$H,6,0),0)</f>
        <v/>
      </c>
      <c r="N18">
        <f>IFERROR(VLOOKUP(D18,'Schedule Lookup'!$A:$H,7,0),0)</f>
        <v/>
      </c>
      <c r="O18">
        <f>IFERROR(VLOOKUP(D18,'Schedule Lookup'!$A:$H,8,0),0)</f>
        <v/>
      </c>
      <c r="T18">
        <f>IF(AND(E18&lt;TIME(9,0,0),F18&gt;TIME(0,0,1)),1,0)</f>
        <v/>
      </c>
      <c r="U18">
        <f>IF(AND(E18&lt;TIME(17,0,0),F18&gt;TIME(9,0,0)),1,0)</f>
        <v/>
      </c>
      <c r="V18">
        <f>IF(AND(E18&lt;TIME(21,0,0),F18&gt;TIME(17,0,0)),1,0)</f>
        <v/>
      </c>
      <c r="W18">
        <f>IF(F18&gt;TIME(17,0,0),1,0)</f>
        <v/>
      </c>
    </row>
    <row r="19">
      <c r="I19">
        <f>IFERROR(VLOOKUP(D19,'Schedule Lookup'!$A:$H,2,0),0)</f>
        <v/>
      </c>
      <c r="J19">
        <f>IFERROR(VLOOKUP(D19,'Schedule Lookup'!$A:$H,3,0),0)</f>
        <v/>
      </c>
      <c r="K19">
        <f>IFERROR(VLOOKUP(D19,'Schedule Lookup'!$A:$H,4,0),0)</f>
        <v/>
      </c>
      <c r="L19">
        <f>IFERROR(VLOOKUP(D19,'Schedule Lookup'!$A:$H,5,0),0)</f>
        <v/>
      </c>
      <c r="M19">
        <f>IFERROR(VLOOKUP(D19,'Schedule Lookup'!$A:$H,6,0),0)</f>
        <v/>
      </c>
      <c r="N19">
        <f>IFERROR(VLOOKUP(D19,'Schedule Lookup'!$A:$H,7,0),0)</f>
        <v/>
      </c>
      <c r="O19">
        <f>IFERROR(VLOOKUP(D19,'Schedule Lookup'!$A:$H,8,0),0)</f>
        <v/>
      </c>
      <c r="T19">
        <f>IF(AND(E19&lt;TIME(9,0,0),F19&gt;TIME(0,0,1)),1,0)</f>
        <v/>
      </c>
      <c r="U19">
        <f>IF(AND(E19&lt;TIME(17,0,0),F19&gt;TIME(9,0,0)),1,0)</f>
        <v/>
      </c>
      <c r="V19">
        <f>IF(AND(E19&lt;TIME(21,0,0),F19&gt;TIME(17,0,0)),1,0)</f>
        <v/>
      </c>
      <c r="W19">
        <f>IF(F19&gt;TIME(17,0,0),1,0)</f>
        <v/>
      </c>
    </row>
    <row r="20">
      <c r="I20">
        <f>IFERROR(VLOOKUP(D20,'Schedule Lookup'!$A:$H,2,0),0)</f>
        <v/>
      </c>
      <c r="J20">
        <f>IFERROR(VLOOKUP(D20,'Schedule Lookup'!$A:$H,3,0),0)</f>
        <v/>
      </c>
      <c r="K20">
        <f>IFERROR(VLOOKUP(D20,'Schedule Lookup'!$A:$H,4,0),0)</f>
        <v/>
      </c>
      <c r="L20">
        <f>IFERROR(VLOOKUP(D20,'Schedule Lookup'!$A:$H,5,0),0)</f>
        <v/>
      </c>
      <c r="M20">
        <f>IFERROR(VLOOKUP(D20,'Schedule Lookup'!$A:$H,6,0),0)</f>
        <v/>
      </c>
      <c r="N20">
        <f>IFERROR(VLOOKUP(D20,'Schedule Lookup'!$A:$H,7,0),0)</f>
        <v/>
      </c>
      <c r="O20">
        <f>IFERROR(VLOOKUP(D20,'Schedule Lookup'!$A:$H,8,0),0)</f>
        <v/>
      </c>
      <c r="T20">
        <f>IF(AND(E20&lt;TIME(9,0,0),F20&gt;TIME(0,0,1)),1,0)</f>
        <v/>
      </c>
      <c r="U20">
        <f>IF(AND(E20&lt;TIME(17,0,0),F20&gt;TIME(9,0,0)),1,0)</f>
        <v/>
      </c>
      <c r="V20">
        <f>IF(AND(E20&lt;TIME(21,0,0),F20&gt;TIME(17,0,0)),1,0)</f>
        <v/>
      </c>
      <c r="W20">
        <f>IF(F20&gt;TIME(17,0,0),1,0)</f>
        <v/>
      </c>
    </row>
    <row r="21">
      <c r="I21">
        <f>IFERROR(VLOOKUP(D21,'Schedule Lookup'!$A:$H,2,0),0)</f>
        <v/>
      </c>
      <c r="J21">
        <f>IFERROR(VLOOKUP(D21,'Schedule Lookup'!$A:$H,3,0),0)</f>
        <v/>
      </c>
      <c r="K21">
        <f>IFERROR(VLOOKUP(D21,'Schedule Lookup'!$A:$H,4,0),0)</f>
        <v/>
      </c>
      <c r="L21">
        <f>IFERROR(VLOOKUP(D21,'Schedule Lookup'!$A:$H,5,0),0)</f>
        <v/>
      </c>
      <c r="M21">
        <f>IFERROR(VLOOKUP(D21,'Schedule Lookup'!$A:$H,6,0),0)</f>
        <v/>
      </c>
      <c r="N21">
        <f>IFERROR(VLOOKUP(D21,'Schedule Lookup'!$A:$H,7,0),0)</f>
        <v/>
      </c>
      <c r="O21">
        <f>IFERROR(VLOOKUP(D21,'Schedule Lookup'!$A:$H,8,0),0)</f>
        <v/>
      </c>
      <c r="T21">
        <f>IF(AND(E21&lt;TIME(9,0,0),F21&gt;TIME(0,0,1)),1,0)</f>
        <v/>
      </c>
      <c r="U21">
        <f>IF(AND(E21&lt;TIME(17,0,0),F21&gt;TIME(9,0,0)),1,0)</f>
        <v/>
      </c>
      <c r="V21">
        <f>IF(AND(E21&lt;TIME(21,0,0),F21&gt;TIME(17,0,0)),1,0)</f>
        <v/>
      </c>
      <c r="W21">
        <f>IF(F21&gt;TIME(17,0,0),1,0)</f>
        <v/>
      </c>
    </row>
    <row r="22">
      <c r="I22">
        <f>IFERROR(VLOOKUP(D22,'Schedule Lookup'!$A:$H,2,0),0)</f>
        <v/>
      </c>
      <c r="J22">
        <f>IFERROR(VLOOKUP(D22,'Schedule Lookup'!$A:$H,3,0),0)</f>
        <v/>
      </c>
      <c r="K22">
        <f>IFERROR(VLOOKUP(D22,'Schedule Lookup'!$A:$H,4,0),0)</f>
        <v/>
      </c>
      <c r="L22">
        <f>IFERROR(VLOOKUP(D22,'Schedule Lookup'!$A:$H,5,0),0)</f>
        <v/>
      </c>
      <c r="M22">
        <f>IFERROR(VLOOKUP(D22,'Schedule Lookup'!$A:$H,6,0),0)</f>
        <v/>
      </c>
      <c r="N22">
        <f>IFERROR(VLOOKUP(D22,'Schedule Lookup'!$A:$H,7,0),0)</f>
        <v/>
      </c>
      <c r="O22">
        <f>IFERROR(VLOOKUP(D22,'Schedule Lookup'!$A:$H,8,0),0)</f>
        <v/>
      </c>
      <c r="T22">
        <f>IF(AND(E22&lt;TIME(9,0,0),F22&gt;TIME(0,0,1)),1,0)</f>
        <v/>
      </c>
      <c r="U22">
        <f>IF(AND(E22&lt;TIME(17,0,0),F22&gt;TIME(9,0,0)),1,0)</f>
        <v/>
      </c>
      <c r="V22">
        <f>IF(AND(E22&lt;TIME(21,0,0),F22&gt;TIME(17,0,0)),1,0)</f>
        <v/>
      </c>
      <c r="W22">
        <f>IF(F22&gt;TIME(17,0,0),1,0)</f>
        <v/>
      </c>
    </row>
    <row r="23">
      <c r="I23">
        <f>IFERROR(VLOOKUP(D23,'Schedule Lookup'!$A:$H,2,0),0)</f>
        <v/>
      </c>
      <c r="J23">
        <f>IFERROR(VLOOKUP(D23,'Schedule Lookup'!$A:$H,3,0),0)</f>
        <v/>
      </c>
      <c r="K23">
        <f>IFERROR(VLOOKUP(D23,'Schedule Lookup'!$A:$H,4,0),0)</f>
        <v/>
      </c>
      <c r="L23">
        <f>IFERROR(VLOOKUP(D23,'Schedule Lookup'!$A:$H,5,0),0)</f>
        <v/>
      </c>
      <c r="M23">
        <f>IFERROR(VLOOKUP(D23,'Schedule Lookup'!$A:$H,6,0),0)</f>
        <v/>
      </c>
      <c r="N23">
        <f>IFERROR(VLOOKUP(D23,'Schedule Lookup'!$A:$H,7,0),0)</f>
        <v/>
      </c>
      <c r="O23">
        <f>IFERROR(VLOOKUP(D23,'Schedule Lookup'!$A:$H,8,0),0)</f>
        <v/>
      </c>
      <c r="T23">
        <f>IF(AND(E23&lt;TIME(9,0,0),F23&gt;TIME(0,0,1)),1,0)</f>
        <v/>
      </c>
      <c r="U23">
        <f>IF(AND(E23&lt;TIME(17,0,0),F23&gt;TIME(9,0,0)),1,0)</f>
        <v/>
      </c>
      <c r="V23">
        <f>IF(AND(E23&lt;TIME(21,0,0),F23&gt;TIME(17,0,0)),1,0)</f>
        <v/>
      </c>
      <c r="W23">
        <f>IF(F23&gt;TIME(17,0,0),1,0)</f>
        <v/>
      </c>
    </row>
    <row r="24">
      <c r="I24">
        <f>IFERROR(VLOOKUP(D24,'Schedule Lookup'!$A:$H,2,0),0)</f>
        <v/>
      </c>
      <c r="J24">
        <f>IFERROR(VLOOKUP(D24,'Schedule Lookup'!$A:$H,3,0),0)</f>
        <v/>
      </c>
      <c r="K24">
        <f>IFERROR(VLOOKUP(D24,'Schedule Lookup'!$A:$H,4,0),0)</f>
        <v/>
      </c>
      <c r="L24">
        <f>IFERROR(VLOOKUP(D24,'Schedule Lookup'!$A:$H,5,0),0)</f>
        <v/>
      </c>
      <c r="M24">
        <f>IFERROR(VLOOKUP(D24,'Schedule Lookup'!$A:$H,6,0),0)</f>
        <v/>
      </c>
      <c r="N24">
        <f>IFERROR(VLOOKUP(D24,'Schedule Lookup'!$A:$H,7,0),0)</f>
        <v/>
      </c>
      <c r="O24">
        <f>IFERROR(VLOOKUP(D24,'Schedule Lookup'!$A:$H,8,0),0)</f>
        <v/>
      </c>
      <c r="T24">
        <f>IF(AND(E24&lt;TIME(9,0,0),F24&gt;TIME(0,0,1)),1,0)</f>
        <v/>
      </c>
      <c r="U24">
        <f>IF(AND(E24&lt;TIME(17,0,0),F24&gt;TIME(9,0,0)),1,0)</f>
        <v/>
      </c>
      <c r="V24">
        <f>IF(AND(E24&lt;TIME(21,0,0),F24&gt;TIME(17,0,0)),1,0)</f>
        <v/>
      </c>
      <c r="W24">
        <f>IF(F24&gt;TIME(17,0,0),1,0)</f>
        <v/>
      </c>
    </row>
    <row r="25">
      <c r="I25">
        <f>IFERROR(VLOOKUP(D25,'Schedule Lookup'!$A:$H,2,0),0)</f>
        <v/>
      </c>
      <c r="J25">
        <f>IFERROR(VLOOKUP(D25,'Schedule Lookup'!$A:$H,3,0),0)</f>
        <v/>
      </c>
      <c r="K25">
        <f>IFERROR(VLOOKUP(D25,'Schedule Lookup'!$A:$H,4,0),0)</f>
        <v/>
      </c>
      <c r="L25">
        <f>IFERROR(VLOOKUP(D25,'Schedule Lookup'!$A:$H,5,0),0)</f>
        <v/>
      </c>
      <c r="M25">
        <f>IFERROR(VLOOKUP(D25,'Schedule Lookup'!$A:$H,6,0),0)</f>
        <v/>
      </c>
      <c r="N25">
        <f>IFERROR(VLOOKUP(D25,'Schedule Lookup'!$A:$H,7,0),0)</f>
        <v/>
      </c>
      <c r="O25">
        <f>IFERROR(VLOOKUP(D25,'Schedule Lookup'!$A:$H,8,0),0)</f>
        <v/>
      </c>
      <c r="T25">
        <f>IF(AND(E25&lt;TIME(9,0,0),F25&gt;TIME(0,0,1)),1,0)</f>
        <v/>
      </c>
      <c r="U25">
        <f>IF(AND(E25&lt;TIME(17,0,0),F25&gt;TIME(9,0,0)),1,0)</f>
        <v/>
      </c>
      <c r="V25">
        <f>IF(AND(E25&lt;TIME(21,0,0),F25&gt;TIME(17,0,0)),1,0)</f>
        <v/>
      </c>
      <c r="W25">
        <f>IF(F25&gt;TIME(17,0,0),1,0)</f>
        <v/>
      </c>
    </row>
    <row r="26">
      <c r="I26">
        <f>IFERROR(VLOOKUP(D26,'Schedule Lookup'!$A:$H,2,0),0)</f>
        <v/>
      </c>
      <c r="J26">
        <f>IFERROR(VLOOKUP(D26,'Schedule Lookup'!$A:$H,3,0),0)</f>
        <v/>
      </c>
      <c r="K26">
        <f>IFERROR(VLOOKUP(D26,'Schedule Lookup'!$A:$H,4,0),0)</f>
        <v/>
      </c>
      <c r="L26">
        <f>IFERROR(VLOOKUP(D26,'Schedule Lookup'!$A:$H,5,0),0)</f>
        <v/>
      </c>
      <c r="M26">
        <f>IFERROR(VLOOKUP(D26,'Schedule Lookup'!$A:$H,6,0),0)</f>
        <v/>
      </c>
      <c r="N26">
        <f>IFERROR(VLOOKUP(D26,'Schedule Lookup'!$A:$H,7,0),0)</f>
        <v/>
      </c>
      <c r="O26">
        <f>IFERROR(VLOOKUP(D26,'Schedule Lookup'!$A:$H,8,0),0)</f>
        <v/>
      </c>
      <c r="T26">
        <f>IF(AND(E26&lt;TIME(9,0,0),F26&gt;TIME(0,0,1)),1,0)</f>
        <v/>
      </c>
      <c r="U26">
        <f>IF(AND(E26&lt;TIME(17,0,0),F26&gt;TIME(9,0,0)),1,0)</f>
        <v/>
      </c>
      <c r="V26">
        <f>IF(AND(E26&lt;TIME(21,0,0),F26&gt;TIME(17,0,0)),1,0)</f>
        <v/>
      </c>
      <c r="W26">
        <f>IF(F26&gt;TIME(17,0,0),1,0)</f>
        <v/>
      </c>
    </row>
    <row r="27">
      <c r="I27">
        <f>IFERROR(VLOOKUP(D27,'Schedule Lookup'!$A:$H,2,0),0)</f>
        <v/>
      </c>
      <c r="J27">
        <f>IFERROR(VLOOKUP(D27,'Schedule Lookup'!$A:$H,3,0),0)</f>
        <v/>
      </c>
      <c r="K27">
        <f>IFERROR(VLOOKUP(D27,'Schedule Lookup'!$A:$H,4,0),0)</f>
        <v/>
      </c>
      <c r="L27">
        <f>IFERROR(VLOOKUP(D27,'Schedule Lookup'!$A:$H,5,0),0)</f>
        <v/>
      </c>
      <c r="M27">
        <f>IFERROR(VLOOKUP(D27,'Schedule Lookup'!$A:$H,6,0),0)</f>
        <v/>
      </c>
      <c r="N27">
        <f>IFERROR(VLOOKUP(D27,'Schedule Lookup'!$A:$H,7,0),0)</f>
        <v/>
      </c>
      <c r="O27">
        <f>IFERROR(VLOOKUP(D27,'Schedule Lookup'!$A:$H,8,0),0)</f>
        <v/>
      </c>
      <c r="T27">
        <f>IF(AND(E27&lt;TIME(9,0,0),F27&gt;TIME(0,0,1)),1,0)</f>
        <v/>
      </c>
      <c r="U27">
        <f>IF(AND(E27&lt;TIME(17,0,0),F27&gt;TIME(9,0,0)),1,0)</f>
        <v/>
      </c>
      <c r="V27">
        <f>IF(AND(E27&lt;TIME(21,0,0),F27&gt;TIME(17,0,0)),1,0)</f>
        <v/>
      </c>
      <c r="W27">
        <f>IF(F27&gt;TIME(17,0,0),1,0)</f>
        <v/>
      </c>
    </row>
    <row r="28">
      <c r="I28">
        <f>IFERROR(VLOOKUP(D28,'Schedule Lookup'!$A:$H,2,0),0)</f>
        <v/>
      </c>
      <c r="J28">
        <f>IFERROR(VLOOKUP(D28,'Schedule Lookup'!$A:$H,3,0),0)</f>
        <v/>
      </c>
      <c r="K28">
        <f>IFERROR(VLOOKUP(D28,'Schedule Lookup'!$A:$H,4,0),0)</f>
        <v/>
      </c>
      <c r="L28">
        <f>IFERROR(VLOOKUP(D28,'Schedule Lookup'!$A:$H,5,0),0)</f>
        <v/>
      </c>
      <c r="M28">
        <f>IFERROR(VLOOKUP(D28,'Schedule Lookup'!$A:$H,6,0),0)</f>
        <v/>
      </c>
      <c r="N28">
        <f>IFERROR(VLOOKUP(D28,'Schedule Lookup'!$A:$H,7,0),0)</f>
        <v/>
      </c>
      <c r="O28">
        <f>IFERROR(VLOOKUP(D28,'Schedule Lookup'!$A:$H,8,0),0)</f>
        <v/>
      </c>
      <c r="T28">
        <f>IF(AND(E28&lt;TIME(9,0,0),F28&gt;TIME(0,0,1)),1,0)</f>
        <v/>
      </c>
      <c r="U28">
        <f>IF(AND(E28&lt;TIME(17,0,0),F28&gt;TIME(9,0,0)),1,0)</f>
        <v/>
      </c>
      <c r="V28">
        <f>IF(AND(E28&lt;TIME(21,0,0),F28&gt;TIME(17,0,0)),1,0)</f>
        <v/>
      </c>
      <c r="W28">
        <f>IF(F28&gt;TIME(17,0,0),1,0)</f>
        <v/>
      </c>
    </row>
    <row r="29">
      <c r="I29">
        <f>IFERROR(VLOOKUP(D29,'Schedule Lookup'!$A:$H,2,0),0)</f>
        <v/>
      </c>
      <c r="J29">
        <f>IFERROR(VLOOKUP(D29,'Schedule Lookup'!$A:$H,3,0),0)</f>
        <v/>
      </c>
      <c r="K29">
        <f>IFERROR(VLOOKUP(D29,'Schedule Lookup'!$A:$H,4,0),0)</f>
        <v/>
      </c>
      <c r="L29">
        <f>IFERROR(VLOOKUP(D29,'Schedule Lookup'!$A:$H,5,0),0)</f>
        <v/>
      </c>
      <c r="M29">
        <f>IFERROR(VLOOKUP(D29,'Schedule Lookup'!$A:$H,6,0),0)</f>
        <v/>
      </c>
      <c r="N29">
        <f>IFERROR(VLOOKUP(D29,'Schedule Lookup'!$A:$H,7,0),0)</f>
        <v/>
      </c>
      <c r="O29">
        <f>IFERROR(VLOOKUP(D29,'Schedule Lookup'!$A:$H,8,0),0)</f>
        <v/>
      </c>
      <c r="T29">
        <f>IF(AND(E29&lt;TIME(9,0,0),F29&gt;TIME(0,0,1)),1,0)</f>
        <v/>
      </c>
      <c r="U29">
        <f>IF(AND(E29&lt;TIME(17,0,0),F29&gt;TIME(9,0,0)),1,0)</f>
        <v/>
      </c>
      <c r="V29">
        <f>IF(AND(E29&lt;TIME(21,0,0),F29&gt;TIME(17,0,0)),1,0)</f>
        <v/>
      </c>
      <c r="W29">
        <f>IF(F29&gt;TIME(17,0,0),1,0)</f>
        <v/>
      </c>
    </row>
    <row r="30">
      <c r="I30">
        <f>IFERROR(VLOOKUP(D30,'Schedule Lookup'!$A:$H,2,0),0)</f>
        <v/>
      </c>
      <c r="J30">
        <f>IFERROR(VLOOKUP(D30,'Schedule Lookup'!$A:$H,3,0),0)</f>
        <v/>
      </c>
      <c r="K30">
        <f>IFERROR(VLOOKUP(D30,'Schedule Lookup'!$A:$H,4,0),0)</f>
        <v/>
      </c>
      <c r="L30">
        <f>IFERROR(VLOOKUP(D30,'Schedule Lookup'!$A:$H,5,0),0)</f>
        <v/>
      </c>
      <c r="M30">
        <f>IFERROR(VLOOKUP(D30,'Schedule Lookup'!$A:$H,6,0),0)</f>
        <v/>
      </c>
      <c r="N30">
        <f>IFERROR(VLOOKUP(D30,'Schedule Lookup'!$A:$H,7,0),0)</f>
        <v/>
      </c>
      <c r="O30">
        <f>IFERROR(VLOOKUP(D30,'Schedule Lookup'!$A:$H,8,0),0)</f>
        <v/>
      </c>
      <c r="T30">
        <f>IF(AND(E30&lt;TIME(9,0,0),F30&gt;TIME(0,0,1)),1,0)</f>
        <v/>
      </c>
      <c r="U30">
        <f>IF(AND(E30&lt;TIME(17,0,0),F30&gt;TIME(9,0,0)),1,0)</f>
        <v/>
      </c>
      <c r="V30">
        <f>IF(AND(E30&lt;TIME(21,0,0),F30&gt;TIME(17,0,0)),1,0)</f>
        <v/>
      </c>
      <c r="W30">
        <f>IF(F30&gt;TIME(17,0,0),1,0)</f>
        <v/>
      </c>
    </row>
    <row r="31">
      <c r="I31">
        <f>IFERROR(VLOOKUP(D31,'Schedule Lookup'!$A:$H,2,0),0)</f>
        <v/>
      </c>
      <c r="J31">
        <f>IFERROR(VLOOKUP(D31,'Schedule Lookup'!$A:$H,3,0),0)</f>
        <v/>
      </c>
      <c r="K31">
        <f>IFERROR(VLOOKUP(D31,'Schedule Lookup'!$A:$H,4,0),0)</f>
        <v/>
      </c>
      <c r="L31">
        <f>IFERROR(VLOOKUP(D31,'Schedule Lookup'!$A:$H,5,0),0)</f>
        <v/>
      </c>
      <c r="M31">
        <f>IFERROR(VLOOKUP(D31,'Schedule Lookup'!$A:$H,6,0),0)</f>
        <v/>
      </c>
      <c r="N31">
        <f>IFERROR(VLOOKUP(D31,'Schedule Lookup'!$A:$H,7,0),0)</f>
        <v/>
      </c>
      <c r="O31">
        <f>IFERROR(VLOOKUP(D31,'Schedule Lookup'!$A:$H,8,0),0)</f>
        <v/>
      </c>
      <c r="T31">
        <f>IF(AND(E31&lt;TIME(9,0,0),F31&gt;TIME(0,0,1)),1,0)</f>
        <v/>
      </c>
      <c r="U31">
        <f>IF(AND(E31&lt;TIME(17,0,0),F31&gt;TIME(9,0,0)),1,0)</f>
        <v/>
      </c>
      <c r="V31">
        <f>IF(AND(E31&lt;TIME(21,0,0),F31&gt;TIME(17,0,0)),1,0)</f>
        <v/>
      </c>
      <c r="W31">
        <f>IF(F31&gt;TIME(17,0,0),1,0)</f>
        <v/>
      </c>
    </row>
    <row r="32">
      <c r="I32">
        <f>IFERROR(VLOOKUP(D32,'Schedule Lookup'!$A:$H,2,0),0)</f>
        <v/>
      </c>
      <c r="J32">
        <f>IFERROR(VLOOKUP(D32,'Schedule Lookup'!$A:$H,3,0),0)</f>
        <v/>
      </c>
      <c r="K32">
        <f>IFERROR(VLOOKUP(D32,'Schedule Lookup'!$A:$H,4,0),0)</f>
        <v/>
      </c>
      <c r="L32">
        <f>IFERROR(VLOOKUP(D32,'Schedule Lookup'!$A:$H,5,0),0)</f>
        <v/>
      </c>
      <c r="M32">
        <f>IFERROR(VLOOKUP(D32,'Schedule Lookup'!$A:$H,6,0),0)</f>
        <v/>
      </c>
      <c r="N32">
        <f>IFERROR(VLOOKUP(D32,'Schedule Lookup'!$A:$H,7,0),0)</f>
        <v/>
      </c>
      <c r="O32">
        <f>IFERROR(VLOOKUP(D32,'Schedule Lookup'!$A:$H,8,0),0)</f>
        <v/>
      </c>
      <c r="T32">
        <f>IF(AND(E32&lt;TIME(9,0,0),F32&gt;TIME(0,0,1)),1,0)</f>
        <v/>
      </c>
      <c r="U32">
        <f>IF(AND(E32&lt;TIME(17,0,0),F32&gt;TIME(9,0,0)),1,0)</f>
        <v/>
      </c>
      <c r="V32">
        <f>IF(AND(E32&lt;TIME(21,0,0),F32&gt;TIME(17,0,0)),1,0)</f>
        <v/>
      </c>
      <c r="W32">
        <f>IF(F32&gt;TIME(17,0,0),1,0)</f>
        <v/>
      </c>
    </row>
    <row r="33">
      <c r="I33">
        <f>IFERROR(VLOOKUP(D33,'Schedule Lookup'!$A:$H,2,0),0)</f>
        <v/>
      </c>
      <c r="J33">
        <f>IFERROR(VLOOKUP(D33,'Schedule Lookup'!$A:$H,3,0),0)</f>
        <v/>
      </c>
      <c r="K33">
        <f>IFERROR(VLOOKUP(D33,'Schedule Lookup'!$A:$H,4,0),0)</f>
        <v/>
      </c>
      <c r="L33">
        <f>IFERROR(VLOOKUP(D33,'Schedule Lookup'!$A:$H,5,0),0)</f>
        <v/>
      </c>
      <c r="M33">
        <f>IFERROR(VLOOKUP(D33,'Schedule Lookup'!$A:$H,6,0),0)</f>
        <v/>
      </c>
      <c r="N33">
        <f>IFERROR(VLOOKUP(D33,'Schedule Lookup'!$A:$H,7,0),0)</f>
        <v/>
      </c>
      <c r="O33">
        <f>IFERROR(VLOOKUP(D33,'Schedule Lookup'!$A:$H,8,0),0)</f>
        <v/>
      </c>
      <c r="T33">
        <f>IF(AND(E33&lt;TIME(9,0,0),F33&gt;TIME(0,0,1)),1,0)</f>
        <v/>
      </c>
      <c r="U33">
        <f>IF(AND(E33&lt;TIME(17,0,0),F33&gt;TIME(9,0,0)),1,0)</f>
        <v/>
      </c>
      <c r="V33">
        <f>IF(AND(E33&lt;TIME(21,0,0),F33&gt;TIME(17,0,0)),1,0)</f>
        <v/>
      </c>
      <c r="W33">
        <f>IF(F33&gt;TIME(17,0,0),1,0)</f>
        <v/>
      </c>
    </row>
    <row r="34">
      <c r="I34">
        <f>IFERROR(VLOOKUP(D34,'Schedule Lookup'!$A:$H,2,0),0)</f>
        <v/>
      </c>
      <c r="J34">
        <f>IFERROR(VLOOKUP(D34,'Schedule Lookup'!$A:$H,3,0),0)</f>
        <v/>
      </c>
      <c r="K34">
        <f>IFERROR(VLOOKUP(D34,'Schedule Lookup'!$A:$H,4,0),0)</f>
        <v/>
      </c>
      <c r="L34">
        <f>IFERROR(VLOOKUP(D34,'Schedule Lookup'!$A:$H,5,0),0)</f>
        <v/>
      </c>
      <c r="M34">
        <f>IFERROR(VLOOKUP(D34,'Schedule Lookup'!$A:$H,6,0),0)</f>
        <v/>
      </c>
      <c r="N34">
        <f>IFERROR(VLOOKUP(D34,'Schedule Lookup'!$A:$H,7,0),0)</f>
        <v/>
      </c>
      <c r="O34">
        <f>IFERROR(VLOOKUP(D34,'Schedule Lookup'!$A:$H,8,0),0)</f>
        <v/>
      </c>
      <c r="T34">
        <f>IF(AND(E34&lt;TIME(9,0,0),F34&gt;TIME(0,0,1)),1,0)</f>
        <v/>
      </c>
      <c r="U34">
        <f>IF(AND(E34&lt;TIME(17,0,0),F34&gt;TIME(9,0,0)),1,0)</f>
        <v/>
      </c>
      <c r="V34">
        <f>IF(AND(E34&lt;TIME(21,0,0),F34&gt;TIME(17,0,0)),1,0)</f>
        <v/>
      </c>
      <c r="W34">
        <f>IF(F34&gt;TIME(17,0,0),1,0)</f>
        <v/>
      </c>
    </row>
    <row r="35">
      <c r="I35">
        <f>IFERROR(VLOOKUP(D35,'Schedule Lookup'!$A:$H,2,0),0)</f>
        <v/>
      </c>
      <c r="J35">
        <f>IFERROR(VLOOKUP(D35,'Schedule Lookup'!$A:$H,3,0),0)</f>
        <v/>
      </c>
      <c r="K35">
        <f>IFERROR(VLOOKUP(D35,'Schedule Lookup'!$A:$H,4,0),0)</f>
        <v/>
      </c>
      <c r="L35">
        <f>IFERROR(VLOOKUP(D35,'Schedule Lookup'!$A:$H,5,0),0)</f>
        <v/>
      </c>
      <c r="M35">
        <f>IFERROR(VLOOKUP(D35,'Schedule Lookup'!$A:$H,6,0),0)</f>
        <v/>
      </c>
      <c r="N35">
        <f>IFERROR(VLOOKUP(D35,'Schedule Lookup'!$A:$H,7,0),0)</f>
        <v/>
      </c>
      <c r="O35">
        <f>IFERROR(VLOOKUP(D35,'Schedule Lookup'!$A:$H,8,0),0)</f>
        <v/>
      </c>
      <c r="T35">
        <f>IF(AND(E35&lt;TIME(9,0,0),F35&gt;TIME(0,0,1)),1,0)</f>
        <v/>
      </c>
      <c r="U35">
        <f>IF(AND(E35&lt;TIME(17,0,0),F35&gt;TIME(9,0,0)),1,0)</f>
        <v/>
      </c>
      <c r="V35">
        <f>IF(AND(E35&lt;TIME(21,0,0),F35&gt;TIME(17,0,0)),1,0)</f>
        <v/>
      </c>
      <c r="W35">
        <f>IF(F35&gt;TIME(17,0,0),1,0)</f>
        <v/>
      </c>
    </row>
    <row r="36">
      <c r="I36">
        <f>IFERROR(VLOOKUP(D36,'Schedule Lookup'!$A:$H,2,0),0)</f>
        <v/>
      </c>
      <c r="J36">
        <f>IFERROR(VLOOKUP(D36,'Schedule Lookup'!$A:$H,3,0),0)</f>
        <v/>
      </c>
      <c r="K36">
        <f>IFERROR(VLOOKUP(D36,'Schedule Lookup'!$A:$H,4,0),0)</f>
        <v/>
      </c>
      <c r="L36">
        <f>IFERROR(VLOOKUP(D36,'Schedule Lookup'!$A:$H,5,0),0)</f>
        <v/>
      </c>
      <c r="M36">
        <f>IFERROR(VLOOKUP(D36,'Schedule Lookup'!$A:$H,6,0),0)</f>
        <v/>
      </c>
      <c r="N36">
        <f>IFERROR(VLOOKUP(D36,'Schedule Lookup'!$A:$H,7,0),0)</f>
        <v/>
      </c>
      <c r="O36">
        <f>IFERROR(VLOOKUP(D36,'Schedule Lookup'!$A:$H,8,0),0)</f>
        <v/>
      </c>
      <c r="T36">
        <f>IF(AND(E36&lt;TIME(9,0,0),F36&gt;TIME(0,0,1)),1,0)</f>
        <v/>
      </c>
      <c r="U36">
        <f>IF(AND(E36&lt;TIME(17,0,0),F36&gt;TIME(9,0,0)),1,0)</f>
        <v/>
      </c>
      <c r="V36">
        <f>IF(AND(E36&lt;TIME(21,0,0),F36&gt;TIME(17,0,0)),1,0)</f>
        <v/>
      </c>
      <c r="W36">
        <f>IF(F36&gt;TIME(17,0,0),1,0)</f>
        <v/>
      </c>
    </row>
    <row r="37">
      <c r="I37">
        <f>IFERROR(VLOOKUP(D37,'Schedule Lookup'!$A:$H,2,0),0)</f>
        <v/>
      </c>
      <c r="J37">
        <f>IFERROR(VLOOKUP(D37,'Schedule Lookup'!$A:$H,3,0),0)</f>
        <v/>
      </c>
      <c r="K37">
        <f>IFERROR(VLOOKUP(D37,'Schedule Lookup'!$A:$H,4,0),0)</f>
        <v/>
      </c>
      <c r="L37">
        <f>IFERROR(VLOOKUP(D37,'Schedule Lookup'!$A:$H,5,0),0)</f>
        <v/>
      </c>
      <c r="M37">
        <f>IFERROR(VLOOKUP(D37,'Schedule Lookup'!$A:$H,6,0),0)</f>
        <v/>
      </c>
      <c r="N37">
        <f>IFERROR(VLOOKUP(D37,'Schedule Lookup'!$A:$H,7,0),0)</f>
        <v/>
      </c>
      <c r="O37">
        <f>IFERROR(VLOOKUP(D37,'Schedule Lookup'!$A:$H,8,0),0)</f>
        <v/>
      </c>
      <c r="T37">
        <f>IF(AND(E37&lt;TIME(9,0,0),F37&gt;TIME(0,0,1)),1,0)</f>
        <v/>
      </c>
      <c r="U37">
        <f>IF(AND(E37&lt;TIME(17,0,0),F37&gt;TIME(9,0,0)),1,0)</f>
        <v/>
      </c>
      <c r="V37">
        <f>IF(AND(E37&lt;TIME(21,0,0),F37&gt;TIME(17,0,0)),1,0)</f>
        <v/>
      </c>
      <c r="W37">
        <f>IF(F37&gt;TIME(17,0,0),1,0)</f>
        <v/>
      </c>
    </row>
    <row r="38">
      <c r="I38">
        <f>IFERROR(VLOOKUP(D38,'Schedule Lookup'!$A:$H,2,0),0)</f>
        <v/>
      </c>
      <c r="J38">
        <f>IFERROR(VLOOKUP(D38,'Schedule Lookup'!$A:$H,3,0),0)</f>
        <v/>
      </c>
      <c r="K38">
        <f>IFERROR(VLOOKUP(D38,'Schedule Lookup'!$A:$H,4,0),0)</f>
        <v/>
      </c>
      <c r="L38">
        <f>IFERROR(VLOOKUP(D38,'Schedule Lookup'!$A:$H,5,0),0)</f>
        <v/>
      </c>
      <c r="M38">
        <f>IFERROR(VLOOKUP(D38,'Schedule Lookup'!$A:$H,6,0),0)</f>
        <v/>
      </c>
      <c r="N38">
        <f>IFERROR(VLOOKUP(D38,'Schedule Lookup'!$A:$H,7,0),0)</f>
        <v/>
      </c>
      <c r="O38">
        <f>IFERROR(VLOOKUP(D38,'Schedule Lookup'!$A:$H,8,0),0)</f>
        <v/>
      </c>
      <c r="T38">
        <f>IF(AND(E38&lt;TIME(9,0,0),F38&gt;TIME(0,0,1)),1,0)</f>
        <v/>
      </c>
      <c r="U38">
        <f>IF(AND(E38&lt;TIME(17,0,0),F38&gt;TIME(9,0,0)),1,0)</f>
        <v/>
      </c>
      <c r="V38">
        <f>IF(AND(E38&lt;TIME(21,0,0),F38&gt;TIME(17,0,0)),1,0)</f>
        <v/>
      </c>
      <c r="W38">
        <f>IF(F38&gt;TIME(17,0,0),1,0)</f>
        <v/>
      </c>
    </row>
    <row r="39">
      <c r="I39">
        <f>IFERROR(VLOOKUP(D39,'Schedule Lookup'!$A:$H,2,0),0)</f>
        <v/>
      </c>
      <c r="J39">
        <f>IFERROR(VLOOKUP(D39,'Schedule Lookup'!$A:$H,3,0),0)</f>
        <v/>
      </c>
      <c r="K39">
        <f>IFERROR(VLOOKUP(D39,'Schedule Lookup'!$A:$H,4,0),0)</f>
        <v/>
      </c>
      <c r="L39">
        <f>IFERROR(VLOOKUP(D39,'Schedule Lookup'!$A:$H,5,0),0)</f>
        <v/>
      </c>
      <c r="M39">
        <f>IFERROR(VLOOKUP(D39,'Schedule Lookup'!$A:$H,6,0),0)</f>
        <v/>
      </c>
      <c r="N39">
        <f>IFERROR(VLOOKUP(D39,'Schedule Lookup'!$A:$H,7,0),0)</f>
        <v/>
      </c>
      <c r="O39">
        <f>IFERROR(VLOOKUP(D39,'Schedule Lookup'!$A:$H,8,0),0)</f>
        <v/>
      </c>
      <c r="T39">
        <f>IF(AND(E39&lt;TIME(9,0,0),F39&gt;TIME(0,0,1)),1,0)</f>
        <v/>
      </c>
      <c r="U39">
        <f>IF(AND(E39&lt;TIME(17,0,0),F39&gt;TIME(9,0,0)),1,0)</f>
        <v/>
      </c>
      <c r="V39">
        <f>IF(AND(E39&lt;TIME(21,0,0),F39&gt;TIME(17,0,0)),1,0)</f>
        <v/>
      </c>
      <c r="W39">
        <f>IF(F39&gt;TIME(17,0,0),1,0)</f>
        <v/>
      </c>
    </row>
    <row r="40">
      <c r="I40">
        <f>IFERROR(VLOOKUP(D40,'Schedule Lookup'!$A:$H,2,0),0)</f>
        <v/>
      </c>
      <c r="J40">
        <f>IFERROR(VLOOKUP(D40,'Schedule Lookup'!$A:$H,3,0),0)</f>
        <v/>
      </c>
      <c r="K40">
        <f>IFERROR(VLOOKUP(D40,'Schedule Lookup'!$A:$H,4,0),0)</f>
        <v/>
      </c>
      <c r="L40">
        <f>IFERROR(VLOOKUP(D40,'Schedule Lookup'!$A:$H,5,0),0)</f>
        <v/>
      </c>
      <c r="M40">
        <f>IFERROR(VLOOKUP(D40,'Schedule Lookup'!$A:$H,6,0),0)</f>
        <v/>
      </c>
      <c r="N40">
        <f>IFERROR(VLOOKUP(D40,'Schedule Lookup'!$A:$H,7,0),0)</f>
        <v/>
      </c>
      <c r="O40">
        <f>IFERROR(VLOOKUP(D40,'Schedule Lookup'!$A:$H,8,0),0)</f>
        <v/>
      </c>
      <c r="T40">
        <f>IF(AND(E40&lt;TIME(9,0,0),F40&gt;TIME(0,0,1)),1,0)</f>
        <v/>
      </c>
      <c r="U40">
        <f>IF(AND(E40&lt;TIME(17,0,0),F40&gt;TIME(9,0,0)),1,0)</f>
        <v/>
      </c>
      <c r="V40">
        <f>IF(AND(E40&lt;TIME(21,0,0),F40&gt;TIME(17,0,0)),1,0)</f>
        <v/>
      </c>
      <c r="W40">
        <f>IF(F40&gt;TIME(17,0,0),1,0)</f>
        <v/>
      </c>
    </row>
    <row r="41">
      <c r="I41">
        <f>IFERROR(VLOOKUP(D41,'Schedule Lookup'!$A:$H,2,0),0)</f>
        <v/>
      </c>
      <c r="J41">
        <f>IFERROR(VLOOKUP(D41,'Schedule Lookup'!$A:$H,3,0),0)</f>
        <v/>
      </c>
      <c r="K41">
        <f>IFERROR(VLOOKUP(D41,'Schedule Lookup'!$A:$H,4,0),0)</f>
        <v/>
      </c>
      <c r="L41">
        <f>IFERROR(VLOOKUP(D41,'Schedule Lookup'!$A:$H,5,0),0)</f>
        <v/>
      </c>
      <c r="M41">
        <f>IFERROR(VLOOKUP(D41,'Schedule Lookup'!$A:$H,6,0),0)</f>
        <v/>
      </c>
      <c r="N41">
        <f>IFERROR(VLOOKUP(D41,'Schedule Lookup'!$A:$H,7,0),0)</f>
        <v/>
      </c>
      <c r="O41">
        <f>IFERROR(VLOOKUP(D41,'Schedule Lookup'!$A:$H,8,0),0)</f>
        <v/>
      </c>
      <c r="T41">
        <f>IF(AND(E41&lt;TIME(9,0,0),F41&gt;TIME(0,0,1)),1,0)</f>
        <v/>
      </c>
      <c r="U41">
        <f>IF(AND(E41&lt;TIME(17,0,0),F41&gt;TIME(9,0,0)),1,0)</f>
        <v/>
      </c>
      <c r="V41">
        <f>IF(AND(E41&lt;TIME(21,0,0),F41&gt;TIME(17,0,0)),1,0)</f>
        <v/>
      </c>
      <c r="W41">
        <f>IF(F41&gt;TIME(17,0,0),1,0)</f>
        <v/>
      </c>
    </row>
    <row r="42">
      <c r="I42">
        <f>IFERROR(VLOOKUP(D42,'Schedule Lookup'!$A:$H,2,0),0)</f>
        <v/>
      </c>
      <c r="J42">
        <f>IFERROR(VLOOKUP(D42,'Schedule Lookup'!$A:$H,3,0),0)</f>
        <v/>
      </c>
      <c r="K42">
        <f>IFERROR(VLOOKUP(D42,'Schedule Lookup'!$A:$H,4,0),0)</f>
        <v/>
      </c>
      <c r="L42">
        <f>IFERROR(VLOOKUP(D42,'Schedule Lookup'!$A:$H,5,0),0)</f>
        <v/>
      </c>
      <c r="M42">
        <f>IFERROR(VLOOKUP(D42,'Schedule Lookup'!$A:$H,6,0),0)</f>
        <v/>
      </c>
      <c r="N42">
        <f>IFERROR(VLOOKUP(D42,'Schedule Lookup'!$A:$H,7,0),0)</f>
        <v/>
      </c>
      <c r="O42">
        <f>IFERROR(VLOOKUP(D42,'Schedule Lookup'!$A:$H,8,0),0)</f>
        <v/>
      </c>
      <c r="T42">
        <f>IF(AND(E42&lt;TIME(9,0,0),F42&gt;TIME(0,0,1)),1,0)</f>
        <v/>
      </c>
      <c r="U42">
        <f>IF(AND(E42&lt;TIME(17,0,0),F42&gt;TIME(9,0,0)),1,0)</f>
        <v/>
      </c>
      <c r="V42">
        <f>IF(AND(E42&lt;TIME(21,0,0),F42&gt;TIME(17,0,0)),1,0)</f>
        <v/>
      </c>
      <c r="W42">
        <f>IF(F42&gt;TIME(17,0,0),1,0)</f>
        <v/>
      </c>
    </row>
    <row r="43">
      <c r="I43">
        <f>IFERROR(VLOOKUP(D43,'Schedule Lookup'!$A:$H,2,0),0)</f>
        <v/>
      </c>
      <c r="J43">
        <f>IFERROR(VLOOKUP(D43,'Schedule Lookup'!$A:$H,3,0),0)</f>
        <v/>
      </c>
      <c r="K43">
        <f>IFERROR(VLOOKUP(D43,'Schedule Lookup'!$A:$H,4,0),0)</f>
        <v/>
      </c>
      <c r="L43">
        <f>IFERROR(VLOOKUP(D43,'Schedule Lookup'!$A:$H,5,0),0)</f>
        <v/>
      </c>
      <c r="M43">
        <f>IFERROR(VLOOKUP(D43,'Schedule Lookup'!$A:$H,6,0),0)</f>
        <v/>
      </c>
      <c r="N43">
        <f>IFERROR(VLOOKUP(D43,'Schedule Lookup'!$A:$H,7,0),0)</f>
        <v/>
      </c>
      <c r="O43">
        <f>IFERROR(VLOOKUP(D43,'Schedule Lookup'!$A:$H,8,0),0)</f>
        <v/>
      </c>
      <c r="T43">
        <f>IF(AND(E43&lt;TIME(9,0,0),F43&gt;TIME(0,0,1)),1,0)</f>
        <v/>
      </c>
      <c r="U43">
        <f>IF(AND(E43&lt;TIME(17,0,0),F43&gt;TIME(9,0,0)),1,0)</f>
        <v/>
      </c>
      <c r="V43">
        <f>IF(AND(E43&lt;TIME(21,0,0),F43&gt;TIME(17,0,0)),1,0)</f>
        <v/>
      </c>
      <c r="W43">
        <f>IF(F43&gt;TIME(17,0,0),1,0)</f>
        <v/>
      </c>
    </row>
    <row r="44">
      <c r="I44">
        <f>IFERROR(VLOOKUP(D44,'Schedule Lookup'!$A:$H,2,0),0)</f>
        <v/>
      </c>
      <c r="J44">
        <f>IFERROR(VLOOKUP(D44,'Schedule Lookup'!$A:$H,3,0),0)</f>
        <v/>
      </c>
      <c r="K44">
        <f>IFERROR(VLOOKUP(D44,'Schedule Lookup'!$A:$H,4,0),0)</f>
        <v/>
      </c>
      <c r="L44">
        <f>IFERROR(VLOOKUP(D44,'Schedule Lookup'!$A:$H,5,0),0)</f>
        <v/>
      </c>
      <c r="M44">
        <f>IFERROR(VLOOKUP(D44,'Schedule Lookup'!$A:$H,6,0),0)</f>
        <v/>
      </c>
      <c r="N44">
        <f>IFERROR(VLOOKUP(D44,'Schedule Lookup'!$A:$H,7,0),0)</f>
        <v/>
      </c>
      <c r="O44">
        <f>IFERROR(VLOOKUP(D44,'Schedule Lookup'!$A:$H,8,0),0)</f>
        <v/>
      </c>
      <c r="T44">
        <f>IF(AND(E44&lt;TIME(9,0,0),F44&gt;TIME(0,0,1)),1,0)</f>
        <v/>
      </c>
      <c r="U44">
        <f>IF(AND(E44&lt;TIME(17,0,0),F44&gt;TIME(9,0,0)),1,0)</f>
        <v/>
      </c>
      <c r="V44">
        <f>IF(AND(E44&lt;TIME(21,0,0),F44&gt;TIME(17,0,0)),1,0)</f>
        <v/>
      </c>
      <c r="W44">
        <f>IF(F44&gt;TIME(17,0,0),1,0)</f>
        <v/>
      </c>
    </row>
    <row r="45">
      <c r="I45">
        <f>IFERROR(VLOOKUP(D45,'Schedule Lookup'!$A:$H,2,0),0)</f>
        <v/>
      </c>
      <c r="J45">
        <f>IFERROR(VLOOKUP(D45,'Schedule Lookup'!$A:$H,3,0),0)</f>
        <v/>
      </c>
      <c r="K45">
        <f>IFERROR(VLOOKUP(D45,'Schedule Lookup'!$A:$H,4,0),0)</f>
        <v/>
      </c>
      <c r="L45">
        <f>IFERROR(VLOOKUP(D45,'Schedule Lookup'!$A:$H,5,0),0)</f>
        <v/>
      </c>
      <c r="M45">
        <f>IFERROR(VLOOKUP(D45,'Schedule Lookup'!$A:$H,6,0),0)</f>
        <v/>
      </c>
      <c r="N45">
        <f>IFERROR(VLOOKUP(D45,'Schedule Lookup'!$A:$H,7,0),0)</f>
        <v/>
      </c>
      <c r="O45">
        <f>IFERROR(VLOOKUP(D45,'Schedule Lookup'!$A:$H,8,0),0)</f>
        <v/>
      </c>
      <c r="T45">
        <f>IF(AND(E45&lt;TIME(9,0,0),F45&gt;TIME(0,0,1)),1,0)</f>
        <v/>
      </c>
      <c r="U45">
        <f>IF(AND(E45&lt;TIME(17,0,0),F45&gt;TIME(9,0,0)),1,0)</f>
        <v/>
      </c>
      <c r="V45">
        <f>IF(AND(E45&lt;TIME(21,0,0),F45&gt;TIME(17,0,0)),1,0)</f>
        <v/>
      </c>
      <c r="W45">
        <f>IF(F45&gt;TIME(17,0,0),1,0)</f>
        <v/>
      </c>
    </row>
    <row r="46">
      <c r="I46">
        <f>IFERROR(VLOOKUP(D46,'Schedule Lookup'!$A:$H,2,0),0)</f>
        <v/>
      </c>
      <c r="J46">
        <f>IFERROR(VLOOKUP(D46,'Schedule Lookup'!$A:$H,3,0),0)</f>
        <v/>
      </c>
      <c r="K46">
        <f>IFERROR(VLOOKUP(D46,'Schedule Lookup'!$A:$H,4,0),0)</f>
        <v/>
      </c>
      <c r="L46">
        <f>IFERROR(VLOOKUP(D46,'Schedule Lookup'!$A:$H,5,0),0)</f>
        <v/>
      </c>
      <c r="M46">
        <f>IFERROR(VLOOKUP(D46,'Schedule Lookup'!$A:$H,6,0),0)</f>
        <v/>
      </c>
      <c r="N46">
        <f>IFERROR(VLOOKUP(D46,'Schedule Lookup'!$A:$H,7,0),0)</f>
        <v/>
      </c>
      <c r="O46">
        <f>IFERROR(VLOOKUP(D46,'Schedule Lookup'!$A:$H,8,0),0)</f>
        <v/>
      </c>
      <c r="T46">
        <f>IF(AND(E46&lt;TIME(9,0,0),F46&gt;TIME(0,0,1)),1,0)</f>
        <v/>
      </c>
      <c r="U46">
        <f>IF(AND(E46&lt;TIME(17,0,0),F46&gt;TIME(9,0,0)),1,0)</f>
        <v/>
      </c>
      <c r="V46">
        <f>IF(AND(E46&lt;TIME(21,0,0),F46&gt;TIME(17,0,0)),1,0)</f>
        <v/>
      </c>
      <c r="W46">
        <f>IF(F46&gt;TIME(17,0,0),1,0)</f>
        <v/>
      </c>
    </row>
    <row r="47">
      <c r="I47">
        <f>IFERROR(VLOOKUP(D47,'Schedule Lookup'!$A:$H,2,0),0)</f>
        <v/>
      </c>
      <c r="J47">
        <f>IFERROR(VLOOKUP(D47,'Schedule Lookup'!$A:$H,3,0),0)</f>
        <v/>
      </c>
      <c r="K47">
        <f>IFERROR(VLOOKUP(D47,'Schedule Lookup'!$A:$H,4,0),0)</f>
        <v/>
      </c>
      <c r="L47">
        <f>IFERROR(VLOOKUP(D47,'Schedule Lookup'!$A:$H,5,0),0)</f>
        <v/>
      </c>
      <c r="M47">
        <f>IFERROR(VLOOKUP(D47,'Schedule Lookup'!$A:$H,6,0),0)</f>
        <v/>
      </c>
      <c r="N47">
        <f>IFERROR(VLOOKUP(D47,'Schedule Lookup'!$A:$H,7,0),0)</f>
        <v/>
      </c>
      <c r="O47">
        <f>IFERROR(VLOOKUP(D47,'Schedule Lookup'!$A:$H,8,0),0)</f>
        <v/>
      </c>
      <c r="T47">
        <f>IF(AND(E47&lt;TIME(9,0,0),F47&gt;TIME(0,0,1)),1,0)</f>
        <v/>
      </c>
      <c r="U47">
        <f>IF(AND(E47&lt;TIME(17,0,0),F47&gt;TIME(9,0,0)),1,0)</f>
        <v/>
      </c>
      <c r="V47">
        <f>IF(AND(E47&lt;TIME(21,0,0),F47&gt;TIME(17,0,0)),1,0)</f>
        <v/>
      </c>
      <c r="W47">
        <f>IF(F47&gt;TIME(17,0,0),1,0)</f>
        <v/>
      </c>
    </row>
    <row r="48">
      <c r="I48">
        <f>IFERROR(VLOOKUP(D48,'Schedule Lookup'!$A:$H,2,0),0)</f>
        <v/>
      </c>
      <c r="J48">
        <f>IFERROR(VLOOKUP(D48,'Schedule Lookup'!$A:$H,3,0),0)</f>
        <v/>
      </c>
      <c r="K48">
        <f>IFERROR(VLOOKUP(D48,'Schedule Lookup'!$A:$H,4,0),0)</f>
        <v/>
      </c>
      <c r="L48">
        <f>IFERROR(VLOOKUP(D48,'Schedule Lookup'!$A:$H,5,0),0)</f>
        <v/>
      </c>
      <c r="M48">
        <f>IFERROR(VLOOKUP(D48,'Schedule Lookup'!$A:$H,6,0),0)</f>
        <v/>
      </c>
      <c r="N48">
        <f>IFERROR(VLOOKUP(D48,'Schedule Lookup'!$A:$H,7,0),0)</f>
        <v/>
      </c>
      <c r="O48">
        <f>IFERROR(VLOOKUP(D48,'Schedule Lookup'!$A:$H,8,0),0)</f>
        <v/>
      </c>
      <c r="T48">
        <f>IF(AND(E48&lt;TIME(9,0,0),F48&gt;TIME(0,0,1)),1,0)</f>
        <v/>
      </c>
      <c r="U48">
        <f>IF(AND(E48&lt;TIME(17,0,0),F48&gt;TIME(9,0,0)),1,0)</f>
        <v/>
      </c>
      <c r="V48">
        <f>IF(AND(E48&lt;TIME(21,0,0),F48&gt;TIME(17,0,0)),1,0)</f>
        <v/>
      </c>
      <c r="W48">
        <f>IF(F48&gt;TIME(17,0,0),1,0)</f>
        <v/>
      </c>
    </row>
    <row r="49">
      <c r="I49">
        <f>IFERROR(VLOOKUP(D49,'Schedule Lookup'!$A:$H,2,0),0)</f>
        <v/>
      </c>
      <c r="J49">
        <f>IFERROR(VLOOKUP(D49,'Schedule Lookup'!$A:$H,3,0),0)</f>
        <v/>
      </c>
      <c r="K49">
        <f>IFERROR(VLOOKUP(D49,'Schedule Lookup'!$A:$H,4,0),0)</f>
        <v/>
      </c>
      <c r="L49">
        <f>IFERROR(VLOOKUP(D49,'Schedule Lookup'!$A:$H,5,0),0)</f>
        <v/>
      </c>
      <c r="M49">
        <f>IFERROR(VLOOKUP(D49,'Schedule Lookup'!$A:$H,6,0),0)</f>
        <v/>
      </c>
      <c r="N49">
        <f>IFERROR(VLOOKUP(D49,'Schedule Lookup'!$A:$H,7,0),0)</f>
        <v/>
      </c>
      <c r="O49">
        <f>IFERROR(VLOOKUP(D49,'Schedule Lookup'!$A:$H,8,0),0)</f>
        <v/>
      </c>
      <c r="T49">
        <f>IF(AND(E49&lt;TIME(9,0,0),F49&gt;TIME(0,0,1)),1,0)</f>
        <v/>
      </c>
      <c r="U49">
        <f>IF(AND(E49&lt;TIME(17,0,0),F49&gt;TIME(9,0,0)),1,0)</f>
        <v/>
      </c>
      <c r="V49">
        <f>IF(AND(E49&lt;TIME(21,0,0),F49&gt;TIME(17,0,0)),1,0)</f>
        <v/>
      </c>
      <c r="W49">
        <f>IF(F49&gt;TIME(17,0,0),1,0)</f>
        <v/>
      </c>
    </row>
    <row r="50">
      <c r="I50">
        <f>IFERROR(VLOOKUP(D50,'Schedule Lookup'!$A:$H,2,0),0)</f>
        <v/>
      </c>
      <c r="J50">
        <f>IFERROR(VLOOKUP(D50,'Schedule Lookup'!$A:$H,3,0),0)</f>
        <v/>
      </c>
      <c r="K50">
        <f>IFERROR(VLOOKUP(D50,'Schedule Lookup'!$A:$H,4,0),0)</f>
        <v/>
      </c>
      <c r="L50">
        <f>IFERROR(VLOOKUP(D50,'Schedule Lookup'!$A:$H,5,0),0)</f>
        <v/>
      </c>
      <c r="M50">
        <f>IFERROR(VLOOKUP(D50,'Schedule Lookup'!$A:$H,6,0),0)</f>
        <v/>
      </c>
      <c r="N50">
        <f>IFERROR(VLOOKUP(D50,'Schedule Lookup'!$A:$H,7,0),0)</f>
        <v/>
      </c>
      <c r="O50">
        <f>IFERROR(VLOOKUP(D50,'Schedule Lookup'!$A:$H,8,0),0)</f>
        <v/>
      </c>
      <c r="T50">
        <f>IF(AND(E50&lt;TIME(9,0,0),F50&gt;TIME(0,0,1)),1,0)</f>
        <v/>
      </c>
      <c r="U50">
        <f>IF(AND(E50&lt;TIME(17,0,0),F50&gt;TIME(9,0,0)),1,0)</f>
        <v/>
      </c>
      <c r="V50">
        <f>IF(AND(E50&lt;TIME(21,0,0),F50&gt;TIME(17,0,0)),1,0)</f>
        <v/>
      </c>
      <c r="W50">
        <f>IF(F50&gt;TIME(17,0,0),1,0)</f>
        <v/>
      </c>
    </row>
    <row r="51">
      <c r="I51">
        <f>IFERROR(VLOOKUP(D51,'Schedule Lookup'!$A:$H,2,0),0)</f>
        <v/>
      </c>
      <c r="J51">
        <f>IFERROR(VLOOKUP(D51,'Schedule Lookup'!$A:$H,3,0),0)</f>
        <v/>
      </c>
      <c r="K51">
        <f>IFERROR(VLOOKUP(D51,'Schedule Lookup'!$A:$H,4,0),0)</f>
        <v/>
      </c>
      <c r="L51">
        <f>IFERROR(VLOOKUP(D51,'Schedule Lookup'!$A:$H,5,0),0)</f>
        <v/>
      </c>
      <c r="M51">
        <f>IFERROR(VLOOKUP(D51,'Schedule Lookup'!$A:$H,6,0),0)</f>
        <v/>
      </c>
      <c r="N51">
        <f>IFERROR(VLOOKUP(D51,'Schedule Lookup'!$A:$H,7,0),0)</f>
        <v/>
      </c>
      <c r="O51">
        <f>IFERROR(VLOOKUP(D51,'Schedule Lookup'!$A:$H,8,0),0)</f>
        <v/>
      </c>
      <c r="T51">
        <f>IF(AND(E51&lt;TIME(9,0,0),F51&gt;TIME(0,0,1)),1,0)</f>
        <v/>
      </c>
      <c r="U51">
        <f>IF(AND(E51&lt;TIME(17,0,0),F51&gt;TIME(9,0,0)),1,0)</f>
        <v/>
      </c>
      <c r="V51">
        <f>IF(AND(E51&lt;TIME(21,0,0),F51&gt;TIME(17,0,0)),1,0)</f>
        <v/>
      </c>
      <c r="W51">
        <f>IF(F51&gt;TIME(17,0,0),1,0)</f>
        <v/>
      </c>
    </row>
    <row r="52">
      <c r="I52">
        <f>IFERROR(VLOOKUP(D52,'Schedule Lookup'!$A:$H,2,0),0)</f>
        <v/>
      </c>
      <c r="J52">
        <f>IFERROR(VLOOKUP(D52,'Schedule Lookup'!$A:$H,3,0),0)</f>
        <v/>
      </c>
      <c r="K52">
        <f>IFERROR(VLOOKUP(D52,'Schedule Lookup'!$A:$H,4,0),0)</f>
        <v/>
      </c>
      <c r="L52">
        <f>IFERROR(VLOOKUP(D52,'Schedule Lookup'!$A:$H,5,0),0)</f>
        <v/>
      </c>
      <c r="M52">
        <f>IFERROR(VLOOKUP(D52,'Schedule Lookup'!$A:$H,6,0),0)</f>
        <v/>
      </c>
      <c r="N52">
        <f>IFERROR(VLOOKUP(D52,'Schedule Lookup'!$A:$H,7,0),0)</f>
        <v/>
      </c>
      <c r="O52">
        <f>IFERROR(VLOOKUP(D52,'Schedule Lookup'!$A:$H,8,0),0)</f>
        <v/>
      </c>
      <c r="T52">
        <f>IF(AND(E52&lt;TIME(9,0,0),F52&gt;TIME(0,0,1)),1,0)</f>
        <v/>
      </c>
      <c r="U52">
        <f>IF(AND(E52&lt;TIME(17,0,0),F52&gt;TIME(9,0,0)),1,0)</f>
        <v/>
      </c>
      <c r="V52">
        <f>IF(AND(E52&lt;TIME(21,0,0),F52&gt;TIME(17,0,0)),1,0)</f>
        <v/>
      </c>
      <c r="W52">
        <f>IF(F52&gt;TIME(17,0,0),1,0)</f>
        <v/>
      </c>
    </row>
    <row r="53">
      <c r="I53">
        <f>IFERROR(VLOOKUP(D53,'Schedule Lookup'!$A:$H,2,0),0)</f>
        <v/>
      </c>
      <c r="J53">
        <f>IFERROR(VLOOKUP(D53,'Schedule Lookup'!$A:$H,3,0),0)</f>
        <v/>
      </c>
      <c r="K53">
        <f>IFERROR(VLOOKUP(D53,'Schedule Lookup'!$A:$H,4,0),0)</f>
        <v/>
      </c>
      <c r="L53">
        <f>IFERROR(VLOOKUP(D53,'Schedule Lookup'!$A:$H,5,0),0)</f>
        <v/>
      </c>
      <c r="M53">
        <f>IFERROR(VLOOKUP(D53,'Schedule Lookup'!$A:$H,6,0),0)</f>
        <v/>
      </c>
      <c r="N53">
        <f>IFERROR(VLOOKUP(D53,'Schedule Lookup'!$A:$H,7,0),0)</f>
        <v/>
      </c>
      <c r="O53">
        <f>IFERROR(VLOOKUP(D53,'Schedule Lookup'!$A:$H,8,0),0)</f>
        <v/>
      </c>
      <c r="T53">
        <f>IF(AND(E53&lt;TIME(9,0,0),F53&gt;TIME(0,0,1)),1,0)</f>
        <v/>
      </c>
      <c r="U53">
        <f>IF(AND(E53&lt;TIME(17,0,0),F53&gt;TIME(9,0,0)),1,0)</f>
        <v/>
      </c>
      <c r="V53">
        <f>IF(AND(E53&lt;TIME(21,0,0),F53&gt;TIME(17,0,0)),1,0)</f>
        <v/>
      </c>
      <c r="W53">
        <f>IF(F53&gt;TIME(17,0,0),1,0)</f>
        <v/>
      </c>
    </row>
    <row r="54">
      <c r="I54">
        <f>IFERROR(VLOOKUP(D54,'Schedule Lookup'!$A:$H,2,0),0)</f>
        <v/>
      </c>
      <c r="J54">
        <f>IFERROR(VLOOKUP(D54,'Schedule Lookup'!$A:$H,3,0),0)</f>
        <v/>
      </c>
      <c r="K54">
        <f>IFERROR(VLOOKUP(D54,'Schedule Lookup'!$A:$H,4,0),0)</f>
        <v/>
      </c>
      <c r="L54">
        <f>IFERROR(VLOOKUP(D54,'Schedule Lookup'!$A:$H,5,0),0)</f>
        <v/>
      </c>
      <c r="M54">
        <f>IFERROR(VLOOKUP(D54,'Schedule Lookup'!$A:$H,6,0),0)</f>
        <v/>
      </c>
      <c r="N54">
        <f>IFERROR(VLOOKUP(D54,'Schedule Lookup'!$A:$H,7,0),0)</f>
        <v/>
      </c>
      <c r="O54">
        <f>IFERROR(VLOOKUP(D54,'Schedule Lookup'!$A:$H,8,0),0)</f>
        <v/>
      </c>
      <c r="T54">
        <f>IF(AND(E54&lt;TIME(9,0,0),F54&gt;TIME(0,0,1)),1,0)</f>
        <v/>
      </c>
      <c r="U54">
        <f>IF(AND(E54&lt;TIME(17,0,0),F54&gt;TIME(9,0,0)),1,0)</f>
        <v/>
      </c>
      <c r="V54">
        <f>IF(AND(E54&lt;TIME(21,0,0),F54&gt;TIME(17,0,0)),1,0)</f>
        <v/>
      </c>
      <c r="W54">
        <f>IF(F54&gt;TIME(17,0,0),1,0)</f>
        <v/>
      </c>
    </row>
    <row r="55">
      <c r="I55">
        <f>IFERROR(VLOOKUP(D55,'Schedule Lookup'!$A:$H,2,0),0)</f>
        <v/>
      </c>
      <c r="J55">
        <f>IFERROR(VLOOKUP(D55,'Schedule Lookup'!$A:$H,3,0),0)</f>
        <v/>
      </c>
      <c r="K55">
        <f>IFERROR(VLOOKUP(D55,'Schedule Lookup'!$A:$H,4,0),0)</f>
        <v/>
      </c>
      <c r="L55">
        <f>IFERROR(VLOOKUP(D55,'Schedule Lookup'!$A:$H,5,0),0)</f>
        <v/>
      </c>
      <c r="M55">
        <f>IFERROR(VLOOKUP(D55,'Schedule Lookup'!$A:$H,6,0),0)</f>
        <v/>
      </c>
      <c r="N55">
        <f>IFERROR(VLOOKUP(D55,'Schedule Lookup'!$A:$H,7,0),0)</f>
        <v/>
      </c>
      <c r="O55">
        <f>IFERROR(VLOOKUP(D55,'Schedule Lookup'!$A:$H,8,0),0)</f>
        <v/>
      </c>
      <c r="T55">
        <f>IF(AND(E55&lt;TIME(9,0,0),F55&gt;TIME(0,0,1)),1,0)</f>
        <v/>
      </c>
      <c r="U55">
        <f>IF(AND(E55&lt;TIME(17,0,0),F55&gt;TIME(9,0,0)),1,0)</f>
        <v/>
      </c>
      <c r="V55">
        <f>IF(AND(E55&lt;TIME(21,0,0),F55&gt;TIME(17,0,0)),1,0)</f>
        <v/>
      </c>
      <c r="W55">
        <f>IF(F55&gt;TIME(17,0,0),1,0)</f>
        <v/>
      </c>
    </row>
    <row r="56">
      <c r="I56">
        <f>IFERROR(VLOOKUP(D56,'Schedule Lookup'!$A:$H,2,0),0)</f>
        <v/>
      </c>
      <c r="J56">
        <f>IFERROR(VLOOKUP(D56,'Schedule Lookup'!$A:$H,3,0),0)</f>
        <v/>
      </c>
      <c r="K56">
        <f>IFERROR(VLOOKUP(D56,'Schedule Lookup'!$A:$H,4,0),0)</f>
        <v/>
      </c>
      <c r="L56">
        <f>IFERROR(VLOOKUP(D56,'Schedule Lookup'!$A:$H,5,0),0)</f>
        <v/>
      </c>
      <c r="M56">
        <f>IFERROR(VLOOKUP(D56,'Schedule Lookup'!$A:$H,6,0),0)</f>
        <v/>
      </c>
      <c r="N56">
        <f>IFERROR(VLOOKUP(D56,'Schedule Lookup'!$A:$H,7,0),0)</f>
        <v/>
      </c>
      <c r="O56">
        <f>IFERROR(VLOOKUP(D56,'Schedule Lookup'!$A:$H,8,0),0)</f>
        <v/>
      </c>
      <c r="T56">
        <f>IF(AND(E56&lt;TIME(9,0,0),F56&gt;TIME(0,0,1)),1,0)</f>
        <v/>
      </c>
      <c r="U56">
        <f>IF(AND(E56&lt;TIME(17,0,0),F56&gt;TIME(9,0,0)),1,0)</f>
        <v/>
      </c>
      <c r="V56">
        <f>IF(AND(E56&lt;TIME(21,0,0),F56&gt;TIME(17,0,0)),1,0)</f>
        <v/>
      </c>
      <c r="W56">
        <f>IF(F56&gt;TIME(17,0,0),1,0)</f>
        <v/>
      </c>
    </row>
    <row r="57">
      <c r="I57">
        <f>IFERROR(VLOOKUP(D57,'Schedule Lookup'!$A:$H,2,0),0)</f>
        <v/>
      </c>
      <c r="J57">
        <f>IFERROR(VLOOKUP(D57,'Schedule Lookup'!$A:$H,3,0),0)</f>
        <v/>
      </c>
      <c r="K57">
        <f>IFERROR(VLOOKUP(D57,'Schedule Lookup'!$A:$H,4,0),0)</f>
        <v/>
      </c>
      <c r="L57">
        <f>IFERROR(VLOOKUP(D57,'Schedule Lookup'!$A:$H,5,0),0)</f>
        <v/>
      </c>
      <c r="M57">
        <f>IFERROR(VLOOKUP(D57,'Schedule Lookup'!$A:$H,6,0),0)</f>
        <v/>
      </c>
      <c r="N57">
        <f>IFERROR(VLOOKUP(D57,'Schedule Lookup'!$A:$H,7,0),0)</f>
        <v/>
      </c>
      <c r="O57">
        <f>IFERROR(VLOOKUP(D57,'Schedule Lookup'!$A:$H,8,0),0)</f>
        <v/>
      </c>
      <c r="T57">
        <f>IF(AND(E57&lt;TIME(9,0,0),F57&gt;TIME(0,0,1)),1,0)</f>
        <v/>
      </c>
      <c r="U57">
        <f>IF(AND(E57&lt;TIME(17,0,0),F57&gt;TIME(9,0,0)),1,0)</f>
        <v/>
      </c>
      <c r="V57">
        <f>IF(AND(E57&lt;TIME(21,0,0),F57&gt;TIME(17,0,0)),1,0)</f>
        <v/>
      </c>
      <c r="W57">
        <f>IF(F57&gt;TIME(17,0,0),1,0)</f>
        <v/>
      </c>
    </row>
    <row r="58">
      <c r="I58">
        <f>IFERROR(VLOOKUP(D58,'Schedule Lookup'!$A:$H,2,0),0)</f>
        <v/>
      </c>
      <c r="J58">
        <f>IFERROR(VLOOKUP(D58,'Schedule Lookup'!$A:$H,3,0),0)</f>
        <v/>
      </c>
      <c r="K58">
        <f>IFERROR(VLOOKUP(D58,'Schedule Lookup'!$A:$H,4,0),0)</f>
        <v/>
      </c>
      <c r="L58">
        <f>IFERROR(VLOOKUP(D58,'Schedule Lookup'!$A:$H,5,0),0)</f>
        <v/>
      </c>
      <c r="M58">
        <f>IFERROR(VLOOKUP(D58,'Schedule Lookup'!$A:$H,6,0),0)</f>
        <v/>
      </c>
      <c r="N58">
        <f>IFERROR(VLOOKUP(D58,'Schedule Lookup'!$A:$H,7,0),0)</f>
        <v/>
      </c>
      <c r="O58">
        <f>IFERROR(VLOOKUP(D58,'Schedule Lookup'!$A:$H,8,0),0)</f>
        <v/>
      </c>
      <c r="T58">
        <f>IF(AND(E58&lt;TIME(9,0,0),F58&gt;TIME(0,0,1)),1,0)</f>
        <v/>
      </c>
      <c r="U58">
        <f>IF(AND(E58&lt;TIME(17,0,0),F58&gt;TIME(9,0,0)),1,0)</f>
        <v/>
      </c>
      <c r="V58">
        <f>IF(AND(E58&lt;TIME(21,0,0),F58&gt;TIME(17,0,0)),1,0)</f>
        <v/>
      </c>
      <c r="W58">
        <f>IF(F58&gt;TIME(17,0,0),1,0)</f>
        <v/>
      </c>
    </row>
    <row r="59">
      <c r="I59">
        <f>IFERROR(VLOOKUP(D59,'Schedule Lookup'!$A:$H,2,0),0)</f>
        <v/>
      </c>
      <c r="J59">
        <f>IFERROR(VLOOKUP(D59,'Schedule Lookup'!$A:$H,3,0),0)</f>
        <v/>
      </c>
      <c r="K59">
        <f>IFERROR(VLOOKUP(D59,'Schedule Lookup'!$A:$H,4,0),0)</f>
        <v/>
      </c>
      <c r="L59">
        <f>IFERROR(VLOOKUP(D59,'Schedule Lookup'!$A:$H,5,0),0)</f>
        <v/>
      </c>
      <c r="M59">
        <f>IFERROR(VLOOKUP(D59,'Schedule Lookup'!$A:$H,6,0),0)</f>
        <v/>
      </c>
      <c r="N59">
        <f>IFERROR(VLOOKUP(D59,'Schedule Lookup'!$A:$H,7,0),0)</f>
        <v/>
      </c>
      <c r="O59">
        <f>IFERROR(VLOOKUP(D59,'Schedule Lookup'!$A:$H,8,0),0)</f>
        <v/>
      </c>
      <c r="T59">
        <f>IF(AND(E59&lt;TIME(9,0,0),F59&gt;TIME(0,0,1)),1,0)</f>
        <v/>
      </c>
      <c r="U59">
        <f>IF(AND(E59&lt;TIME(17,0,0),F59&gt;TIME(9,0,0)),1,0)</f>
        <v/>
      </c>
      <c r="V59">
        <f>IF(AND(E59&lt;TIME(21,0,0),F59&gt;TIME(17,0,0)),1,0)</f>
        <v/>
      </c>
      <c r="W59">
        <f>IF(F59&gt;TIME(17,0,0),1,0)</f>
        <v/>
      </c>
    </row>
    <row r="60">
      <c r="I60">
        <f>IFERROR(VLOOKUP(D60,'Schedule Lookup'!$A:$H,2,0),0)</f>
        <v/>
      </c>
      <c r="J60">
        <f>IFERROR(VLOOKUP(D60,'Schedule Lookup'!$A:$H,3,0),0)</f>
        <v/>
      </c>
      <c r="K60">
        <f>IFERROR(VLOOKUP(D60,'Schedule Lookup'!$A:$H,4,0),0)</f>
        <v/>
      </c>
      <c r="L60">
        <f>IFERROR(VLOOKUP(D60,'Schedule Lookup'!$A:$H,5,0),0)</f>
        <v/>
      </c>
      <c r="M60">
        <f>IFERROR(VLOOKUP(D60,'Schedule Lookup'!$A:$H,6,0),0)</f>
        <v/>
      </c>
      <c r="N60">
        <f>IFERROR(VLOOKUP(D60,'Schedule Lookup'!$A:$H,7,0),0)</f>
        <v/>
      </c>
      <c r="O60">
        <f>IFERROR(VLOOKUP(D60,'Schedule Lookup'!$A:$H,8,0),0)</f>
        <v/>
      </c>
      <c r="T60">
        <f>IF(AND(E60&lt;TIME(9,0,0),F60&gt;TIME(0,0,1)),1,0)</f>
        <v/>
      </c>
      <c r="U60">
        <f>IF(AND(E60&lt;TIME(17,0,0),F60&gt;TIME(9,0,0)),1,0)</f>
        <v/>
      </c>
      <c r="V60">
        <f>IF(AND(E60&lt;TIME(21,0,0),F60&gt;TIME(17,0,0)),1,0)</f>
        <v/>
      </c>
      <c r="W60">
        <f>IF(F60&gt;TIME(17,0,0),1,0)</f>
        <v/>
      </c>
    </row>
    <row r="61">
      <c r="I61">
        <f>IFERROR(VLOOKUP(D61,'Schedule Lookup'!$A:$H,2,0),0)</f>
        <v/>
      </c>
      <c r="J61">
        <f>IFERROR(VLOOKUP(D61,'Schedule Lookup'!$A:$H,3,0),0)</f>
        <v/>
      </c>
      <c r="K61">
        <f>IFERROR(VLOOKUP(D61,'Schedule Lookup'!$A:$H,4,0),0)</f>
        <v/>
      </c>
      <c r="L61">
        <f>IFERROR(VLOOKUP(D61,'Schedule Lookup'!$A:$H,5,0),0)</f>
        <v/>
      </c>
      <c r="M61">
        <f>IFERROR(VLOOKUP(D61,'Schedule Lookup'!$A:$H,6,0),0)</f>
        <v/>
      </c>
      <c r="N61">
        <f>IFERROR(VLOOKUP(D61,'Schedule Lookup'!$A:$H,7,0),0)</f>
        <v/>
      </c>
      <c r="O61">
        <f>IFERROR(VLOOKUP(D61,'Schedule Lookup'!$A:$H,8,0),0)</f>
        <v/>
      </c>
      <c r="T61">
        <f>IF(AND(E61&lt;TIME(9,0,0),F61&gt;TIME(0,0,1)),1,0)</f>
        <v/>
      </c>
      <c r="U61">
        <f>IF(AND(E61&lt;TIME(17,0,0),F61&gt;TIME(9,0,0)),1,0)</f>
        <v/>
      </c>
      <c r="V61">
        <f>IF(AND(E61&lt;TIME(21,0,0),F61&gt;TIME(17,0,0)),1,0)</f>
        <v/>
      </c>
      <c r="W61">
        <f>IF(F61&gt;TIME(17,0,0),1,0)</f>
        <v/>
      </c>
    </row>
    <row r="62">
      <c r="I62">
        <f>IFERROR(VLOOKUP(D62,'Schedule Lookup'!$A:$H,2,0),0)</f>
        <v/>
      </c>
      <c r="J62">
        <f>IFERROR(VLOOKUP(D62,'Schedule Lookup'!$A:$H,3,0),0)</f>
        <v/>
      </c>
      <c r="K62">
        <f>IFERROR(VLOOKUP(D62,'Schedule Lookup'!$A:$H,4,0),0)</f>
        <v/>
      </c>
      <c r="L62">
        <f>IFERROR(VLOOKUP(D62,'Schedule Lookup'!$A:$H,5,0),0)</f>
        <v/>
      </c>
      <c r="M62">
        <f>IFERROR(VLOOKUP(D62,'Schedule Lookup'!$A:$H,6,0),0)</f>
        <v/>
      </c>
      <c r="N62">
        <f>IFERROR(VLOOKUP(D62,'Schedule Lookup'!$A:$H,7,0),0)</f>
        <v/>
      </c>
      <c r="O62">
        <f>IFERROR(VLOOKUP(D62,'Schedule Lookup'!$A:$H,8,0),0)</f>
        <v/>
      </c>
      <c r="T62">
        <f>IF(AND(E62&lt;TIME(9,0,0),F62&gt;TIME(0,0,1)),1,0)</f>
        <v/>
      </c>
      <c r="U62">
        <f>IF(AND(E62&lt;TIME(17,0,0),F62&gt;TIME(9,0,0)),1,0)</f>
        <v/>
      </c>
      <c r="V62">
        <f>IF(AND(E62&lt;TIME(21,0,0),F62&gt;TIME(17,0,0)),1,0)</f>
        <v/>
      </c>
      <c r="W62">
        <f>IF(F62&gt;TIME(17,0,0),1,0)</f>
        <v/>
      </c>
    </row>
    <row r="63">
      <c r="I63">
        <f>IFERROR(VLOOKUP(D63,'Schedule Lookup'!$A:$H,2,0),0)</f>
        <v/>
      </c>
      <c r="J63">
        <f>IFERROR(VLOOKUP(D63,'Schedule Lookup'!$A:$H,3,0),0)</f>
        <v/>
      </c>
      <c r="K63">
        <f>IFERROR(VLOOKUP(D63,'Schedule Lookup'!$A:$H,4,0),0)</f>
        <v/>
      </c>
      <c r="L63">
        <f>IFERROR(VLOOKUP(D63,'Schedule Lookup'!$A:$H,5,0),0)</f>
        <v/>
      </c>
      <c r="M63">
        <f>IFERROR(VLOOKUP(D63,'Schedule Lookup'!$A:$H,6,0),0)</f>
        <v/>
      </c>
      <c r="N63">
        <f>IFERROR(VLOOKUP(D63,'Schedule Lookup'!$A:$H,7,0),0)</f>
        <v/>
      </c>
      <c r="O63">
        <f>IFERROR(VLOOKUP(D63,'Schedule Lookup'!$A:$H,8,0),0)</f>
        <v/>
      </c>
      <c r="T63">
        <f>IF(AND(E63&lt;TIME(9,0,0),F63&gt;TIME(0,0,1)),1,0)</f>
        <v/>
      </c>
      <c r="U63">
        <f>IF(AND(E63&lt;TIME(17,0,0),F63&gt;TIME(9,0,0)),1,0)</f>
        <v/>
      </c>
      <c r="V63">
        <f>IF(AND(E63&lt;TIME(21,0,0),F63&gt;TIME(17,0,0)),1,0)</f>
        <v/>
      </c>
      <c r="W63">
        <f>IF(F63&gt;TIME(17,0,0),1,0)</f>
        <v/>
      </c>
    </row>
    <row r="64">
      <c r="I64">
        <f>IFERROR(VLOOKUP(D64,'Schedule Lookup'!$A:$H,2,0),0)</f>
        <v/>
      </c>
      <c r="J64">
        <f>IFERROR(VLOOKUP(D64,'Schedule Lookup'!$A:$H,3,0),0)</f>
        <v/>
      </c>
      <c r="K64">
        <f>IFERROR(VLOOKUP(D64,'Schedule Lookup'!$A:$H,4,0),0)</f>
        <v/>
      </c>
      <c r="L64">
        <f>IFERROR(VLOOKUP(D64,'Schedule Lookup'!$A:$H,5,0),0)</f>
        <v/>
      </c>
      <c r="M64">
        <f>IFERROR(VLOOKUP(D64,'Schedule Lookup'!$A:$H,6,0),0)</f>
        <v/>
      </c>
      <c r="N64">
        <f>IFERROR(VLOOKUP(D64,'Schedule Lookup'!$A:$H,7,0),0)</f>
        <v/>
      </c>
      <c r="O64">
        <f>IFERROR(VLOOKUP(D64,'Schedule Lookup'!$A:$H,8,0),0)</f>
        <v/>
      </c>
      <c r="T64">
        <f>IF(AND(E64&lt;TIME(9,0,0),F64&gt;TIME(0,0,1)),1,0)</f>
        <v/>
      </c>
      <c r="U64">
        <f>IF(AND(E64&lt;TIME(17,0,0),F64&gt;TIME(9,0,0)),1,0)</f>
        <v/>
      </c>
      <c r="V64">
        <f>IF(AND(E64&lt;TIME(21,0,0),F64&gt;TIME(17,0,0)),1,0)</f>
        <v/>
      </c>
      <c r="W64">
        <f>IF(F64&gt;TIME(17,0,0),1,0)</f>
        <v/>
      </c>
    </row>
    <row r="65">
      <c r="I65">
        <f>IFERROR(VLOOKUP(D65,'Schedule Lookup'!$A:$H,2,0),0)</f>
        <v/>
      </c>
      <c r="J65">
        <f>IFERROR(VLOOKUP(D65,'Schedule Lookup'!$A:$H,3,0),0)</f>
        <v/>
      </c>
      <c r="K65">
        <f>IFERROR(VLOOKUP(D65,'Schedule Lookup'!$A:$H,4,0),0)</f>
        <v/>
      </c>
      <c r="L65">
        <f>IFERROR(VLOOKUP(D65,'Schedule Lookup'!$A:$H,5,0),0)</f>
        <v/>
      </c>
      <c r="M65">
        <f>IFERROR(VLOOKUP(D65,'Schedule Lookup'!$A:$H,6,0),0)</f>
        <v/>
      </c>
      <c r="N65">
        <f>IFERROR(VLOOKUP(D65,'Schedule Lookup'!$A:$H,7,0),0)</f>
        <v/>
      </c>
      <c r="O65">
        <f>IFERROR(VLOOKUP(D65,'Schedule Lookup'!$A:$H,8,0),0)</f>
        <v/>
      </c>
      <c r="T65">
        <f>IF(AND(E65&lt;TIME(9,0,0),F65&gt;TIME(0,0,1)),1,0)</f>
        <v/>
      </c>
      <c r="U65">
        <f>IF(AND(E65&lt;TIME(17,0,0),F65&gt;TIME(9,0,0)),1,0)</f>
        <v/>
      </c>
      <c r="V65">
        <f>IF(AND(E65&lt;TIME(21,0,0),F65&gt;TIME(17,0,0)),1,0)</f>
        <v/>
      </c>
      <c r="W65">
        <f>IF(F65&gt;TIME(17,0,0),1,0)</f>
        <v/>
      </c>
    </row>
    <row r="66">
      <c r="I66">
        <f>IFERROR(VLOOKUP(D66,'Schedule Lookup'!$A:$H,2,0),0)</f>
        <v/>
      </c>
      <c r="J66">
        <f>IFERROR(VLOOKUP(D66,'Schedule Lookup'!$A:$H,3,0),0)</f>
        <v/>
      </c>
      <c r="K66">
        <f>IFERROR(VLOOKUP(D66,'Schedule Lookup'!$A:$H,4,0),0)</f>
        <v/>
      </c>
      <c r="L66">
        <f>IFERROR(VLOOKUP(D66,'Schedule Lookup'!$A:$H,5,0),0)</f>
        <v/>
      </c>
      <c r="M66">
        <f>IFERROR(VLOOKUP(D66,'Schedule Lookup'!$A:$H,6,0),0)</f>
        <v/>
      </c>
      <c r="N66">
        <f>IFERROR(VLOOKUP(D66,'Schedule Lookup'!$A:$H,7,0),0)</f>
        <v/>
      </c>
      <c r="O66">
        <f>IFERROR(VLOOKUP(D66,'Schedule Lookup'!$A:$H,8,0),0)</f>
        <v/>
      </c>
      <c r="T66">
        <f>IF(AND(E66&lt;TIME(9,0,0),F66&gt;TIME(0,0,1)),1,0)</f>
        <v/>
      </c>
      <c r="U66">
        <f>IF(AND(E66&lt;TIME(17,0,0),F66&gt;TIME(9,0,0)),1,0)</f>
        <v/>
      </c>
      <c r="V66">
        <f>IF(AND(E66&lt;TIME(21,0,0),F66&gt;TIME(17,0,0)),1,0)</f>
        <v/>
      </c>
      <c r="W66">
        <f>IF(F66&gt;TIME(17,0,0),1,0)</f>
        <v/>
      </c>
    </row>
    <row r="67">
      <c r="I67">
        <f>IFERROR(VLOOKUP(D67,'Schedule Lookup'!$A:$H,2,0),0)</f>
        <v/>
      </c>
      <c r="J67">
        <f>IFERROR(VLOOKUP(D67,'Schedule Lookup'!$A:$H,3,0),0)</f>
        <v/>
      </c>
      <c r="K67">
        <f>IFERROR(VLOOKUP(D67,'Schedule Lookup'!$A:$H,4,0),0)</f>
        <v/>
      </c>
      <c r="L67">
        <f>IFERROR(VLOOKUP(D67,'Schedule Lookup'!$A:$H,5,0),0)</f>
        <v/>
      </c>
      <c r="M67">
        <f>IFERROR(VLOOKUP(D67,'Schedule Lookup'!$A:$H,6,0),0)</f>
        <v/>
      </c>
      <c r="N67">
        <f>IFERROR(VLOOKUP(D67,'Schedule Lookup'!$A:$H,7,0),0)</f>
        <v/>
      </c>
      <c r="O67">
        <f>IFERROR(VLOOKUP(D67,'Schedule Lookup'!$A:$H,8,0),0)</f>
        <v/>
      </c>
      <c r="T67">
        <f>IF(AND(E67&lt;TIME(9,0,0),F67&gt;TIME(0,0,1)),1,0)</f>
        <v/>
      </c>
      <c r="U67">
        <f>IF(AND(E67&lt;TIME(17,0,0),F67&gt;TIME(9,0,0)),1,0)</f>
        <v/>
      </c>
      <c r="V67">
        <f>IF(AND(E67&lt;TIME(21,0,0),F67&gt;TIME(17,0,0)),1,0)</f>
        <v/>
      </c>
      <c r="W67">
        <f>IF(F67&gt;TIME(17,0,0),1,0)</f>
        <v/>
      </c>
    </row>
    <row r="68">
      <c r="I68">
        <f>IFERROR(VLOOKUP(D68,'Schedule Lookup'!$A:$H,2,0),0)</f>
        <v/>
      </c>
      <c r="J68">
        <f>IFERROR(VLOOKUP(D68,'Schedule Lookup'!$A:$H,3,0),0)</f>
        <v/>
      </c>
      <c r="K68">
        <f>IFERROR(VLOOKUP(D68,'Schedule Lookup'!$A:$H,4,0),0)</f>
        <v/>
      </c>
      <c r="L68">
        <f>IFERROR(VLOOKUP(D68,'Schedule Lookup'!$A:$H,5,0),0)</f>
        <v/>
      </c>
      <c r="M68">
        <f>IFERROR(VLOOKUP(D68,'Schedule Lookup'!$A:$H,6,0),0)</f>
        <v/>
      </c>
      <c r="N68">
        <f>IFERROR(VLOOKUP(D68,'Schedule Lookup'!$A:$H,7,0),0)</f>
        <v/>
      </c>
      <c r="O68">
        <f>IFERROR(VLOOKUP(D68,'Schedule Lookup'!$A:$H,8,0),0)</f>
        <v/>
      </c>
      <c r="T68">
        <f>IF(AND(E68&lt;TIME(9,0,0),F68&gt;TIME(0,0,1)),1,0)</f>
        <v/>
      </c>
      <c r="U68">
        <f>IF(AND(E68&lt;TIME(17,0,0),F68&gt;TIME(9,0,0)),1,0)</f>
        <v/>
      </c>
      <c r="V68">
        <f>IF(AND(E68&lt;TIME(21,0,0),F68&gt;TIME(17,0,0)),1,0)</f>
        <v/>
      </c>
      <c r="W68">
        <f>IF(F68&gt;TIME(17,0,0),1,0)</f>
        <v/>
      </c>
    </row>
    <row r="69">
      <c r="I69">
        <f>IFERROR(VLOOKUP(D69,'Schedule Lookup'!$A:$H,2,0),0)</f>
        <v/>
      </c>
      <c r="J69">
        <f>IFERROR(VLOOKUP(D69,'Schedule Lookup'!$A:$H,3,0),0)</f>
        <v/>
      </c>
      <c r="K69">
        <f>IFERROR(VLOOKUP(D69,'Schedule Lookup'!$A:$H,4,0),0)</f>
        <v/>
      </c>
      <c r="L69">
        <f>IFERROR(VLOOKUP(D69,'Schedule Lookup'!$A:$H,5,0),0)</f>
        <v/>
      </c>
      <c r="M69">
        <f>IFERROR(VLOOKUP(D69,'Schedule Lookup'!$A:$H,6,0),0)</f>
        <v/>
      </c>
      <c r="N69">
        <f>IFERROR(VLOOKUP(D69,'Schedule Lookup'!$A:$H,7,0),0)</f>
        <v/>
      </c>
      <c r="O69">
        <f>IFERROR(VLOOKUP(D69,'Schedule Lookup'!$A:$H,8,0),0)</f>
        <v/>
      </c>
      <c r="T69">
        <f>IF(AND(E69&lt;TIME(9,0,0),F69&gt;TIME(0,0,1)),1,0)</f>
        <v/>
      </c>
      <c r="U69">
        <f>IF(AND(E69&lt;TIME(17,0,0),F69&gt;TIME(9,0,0)),1,0)</f>
        <v/>
      </c>
      <c r="V69">
        <f>IF(AND(E69&lt;TIME(21,0,0),F69&gt;TIME(17,0,0)),1,0)</f>
        <v/>
      </c>
      <c r="W69">
        <f>IF(F69&gt;TIME(17,0,0),1,0)</f>
        <v/>
      </c>
    </row>
    <row r="70">
      <c r="I70">
        <f>IFERROR(VLOOKUP(D70,'Schedule Lookup'!$A:$H,2,0),0)</f>
        <v/>
      </c>
      <c r="J70">
        <f>IFERROR(VLOOKUP(D70,'Schedule Lookup'!$A:$H,3,0),0)</f>
        <v/>
      </c>
      <c r="K70">
        <f>IFERROR(VLOOKUP(D70,'Schedule Lookup'!$A:$H,4,0),0)</f>
        <v/>
      </c>
      <c r="L70">
        <f>IFERROR(VLOOKUP(D70,'Schedule Lookup'!$A:$H,5,0),0)</f>
        <v/>
      </c>
      <c r="M70">
        <f>IFERROR(VLOOKUP(D70,'Schedule Lookup'!$A:$H,6,0),0)</f>
        <v/>
      </c>
      <c r="N70">
        <f>IFERROR(VLOOKUP(D70,'Schedule Lookup'!$A:$H,7,0),0)</f>
        <v/>
      </c>
      <c r="O70">
        <f>IFERROR(VLOOKUP(D70,'Schedule Lookup'!$A:$H,8,0),0)</f>
        <v/>
      </c>
      <c r="T70">
        <f>IF(AND(E70&lt;TIME(9,0,0),F70&gt;TIME(0,0,1)),1,0)</f>
        <v/>
      </c>
      <c r="U70">
        <f>IF(AND(E70&lt;TIME(17,0,0),F70&gt;TIME(9,0,0)),1,0)</f>
        <v/>
      </c>
      <c r="V70">
        <f>IF(AND(E70&lt;TIME(21,0,0),F70&gt;TIME(17,0,0)),1,0)</f>
        <v/>
      </c>
      <c r="W70">
        <f>IF(F70&gt;TIME(17,0,0),1,0)</f>
        <v/>
      </c>
    </row>
    <row r="71">
      <c r="I71">
        <f>IFERROR(VLOOKUP(D71,'Schedule Lookup'!$A:$H,2,0),0)</f>
        <v/>
      </c>
      <c r="J71">
        <f>IFERROR(VLOOKUP(D71,'Schedule Lookup'!$A:$H,3,0),0)</f>
        <v/>
      </c>
      <c r="K71">
        <f>IFERROR(VLOOKUP(D71,'Schedule Lookup'!$A:$H,4,0),0)</f>
        <v/>
      </c>
      <c r="L71">
        <f>IFERROR(VLOOKUP(D71,'Schedule Lookup'!$A:$H,5,0),0)</f>
        <v/>
      </c>
      <c r="M71">
        <f>IFERROR(VLOOKUP(D71,'Schedule Lookup'!$A:$H,6,0),0)</f>
        <v/>
      </c>
      <c r="N71">
        <f>IFERROR(VLOOKUP(D71,'Schedule Lookup'!$A:$H,7,0),0)</f>
        <v/>
      </c>
      <c r="O71">
        <f>IFERROR(VLOOKUP(D71,'Schedule Lookup'!$A:$H,8,0),0)</f>
        <v/>
      </c>
      <c r="T71">
        <f>IF(AND(E71&lt;TIME(9,0,0),F71&gt;TIME(0,0,1)),1,0)</f>
        <v/>
      </c>
      <c r="U71">
        <f>IF(AND(E71&lt;TIME(17,0,0),F71&gt;TIME(9,0,0)),1,0)</f>
        <v/>
      </c>
      <c r="V71">
        <f>IF(AND(E71&lt;TIME(21,0,0),F71&gt;TIME(17,0,0)),1,0)</f>
        <v/>
      </c>
      <c r="W71">
        <f>IF(F71&gt;TIME(17,0,0),1,0)</f>
        <v/>
      </c>
    </row>
    <row r="72">
      <c r="I72">
        <f>IFERROR(VLOOKUP(D72,'Schedule Lookup'!$A:$H,2,0),0)</f>
        <v/>
      </c>
      <c r="J72">
        <f>IFERROR(VLOOKUP(D72,'Schedule Lookup'!$A:$H,3,0),0)</f>
        <v/>
      </c>
      <c r="K72">
        <f>IFERROR(VLOOKUP(D72,'Schedule Lookup'!$A:$H,4,0),0)</f>
        <v/>
      </c>
      <c r="L72">
        <f>IFERROR(VLOOKUP(D72,'Schedule Lookup'!$A:$H,5,0),0)</f>
        <v/>
      </c>
      <c r="M72">
        <f>IFERROR(VLOOKUP(D72,'Schedule Lookup'!$A:$H,6,0),0)</f>
        <v/>
      </c>
      <c r="N72">
        <f>IFERROR(VLOOKUP(D72,'Schedule Lookup'!$A:$H,7,0),0)</f>
        <v/>
      </c>
      <c r="O72">
        <f>IFERROR(VLOOKUP(D72,'Schedule Lookup'!$A:$H,8,0),0)</f>
        <v/>
      </c>
      <c r="T72">
        <f>IF(AND(E72&lt;TIME(9,0,0),F72&gt;TIME(0,0,1)),1,0)</f>
        <v/>
      </c>
      <c r="U72">
        <f>IF(AND(E72&lt;TIME(17,0,0),F72&gt;TIME(9,0,0)),1,0)</f>
        <v/>
      </c>
      <c r="V72">
        <f>IF(AND(E72&lt;TIME(21,0,0),F72&gt;TIME(17,0,0)),1,0)</f>
        <v/>
      </c>
      <c r="W72">
        <f>IF(F72&gt;TIME(17,0,0),1,0)</f>
        <v/>
      </c>
    </row>
    <row r="73">
      <c r="I73">
        <f>IFERROR(VLOOKUP(D73,'Schedule Lookup'!$A:$H,2,0),0)</f>
        <v/>
      </c>
      <c r="J73">
        <f>IFERROR(VLOOKUP(D73,'Schedule Lookup'!$A:$H,3,0),0)</f>
        <v/>
      </c>
      <c r="K73">
        <f>IFERROR(VLOOKUP(D73,'Schedule Lookup'!$A:$H,4,0),0)</f>
        <v/>
      </c>
      <c r="L73">
        <f>IFERROR(VLOOKUP(D73,'Schedule Lookup'!$A:$H,5,0),0)</f>
        <v/>
      </c>
      <c r="M73">
        <f>IFERROR(VLOOKUP(D73,'Schedule Lookup'!$A:$H,6,0),0)</f>
        <v/>
      </c>
      <c r="N73">
        <f>IFERROR(VLOOKUP(D73,'Schedule Lookup'!$A:$H,7,0),0)</f>
        <v/>
      </c>
      <c r="O73">
        <f>IFERROR(VLOOKUP(D73,'Schedule Lookup'!$A:$H,8,0),0)</f>
        <v/>
      </c>
      <c r="T73">
        <f>IF(AND(E73&lt;TIME(9,0,0),F73&gt;TIME(0,0,1)),1,0)</f>
        <v/>
      </c>
      <c r="U73">
        <f>IF(AND(E73&lt;TIME(17,0,0),F73&gt;TIME(9,0,0)),1,0)</f>
        <v/>
      </c>
      <c r="V73">
        <f>IF(AND(E73&lt;TIME(21,0,0),F73&gt;TIME(17,0,0)),1,0)</f>
        <v/>
      </c>
      <c r="W73">
        <f>IF(F73&gt;TIME(17,0,0),1,0)</f>
        <v/>
      </c>
    </row>
    <row r="74">
      <c r="I74">
        <f>IFERROR(VLOOKUP(D74,'Schedule Lookup'!$A:$H,2,0),0)</f>
        <v/>
      </c>
      <c r="J74">
        <f>IFERROR(VLOOKUP(D74,'Schedule Lookup'!$A:$H,3,0),0)</f>
        <v/>
      </c>
      <c r="K74">
        <f>IFERROR(VLOOKUP(D74,'Schedule Lookup'!$A:$H,4,0),0)</f>
        <v/>
      </c>
      <c r="L74">
        <f>IFERROR(VLOOKUP(D74,'Schedule Lookup'!$A:$H,5,0),0)</f>
        <v/>
      </c>
      <c r="M74">
        <f>IFERROR(VLOOKUP(D74,'Schedule Lookup'!$A:$H,6,0),0)</f>
        <v/>
      </c>
      <c r="N74">
        <f>IFERROR(VLOOKUP(D74,'Schedule Lookup'!$A:$H,7,0),0)</f>
        <v/>
      </c>
      <c r="O74">
        <f>IFERROR(VLOOKUP(D74,'Schedule Lookup'!$A:$H,8,0),0)</f>
        <v/>
      </c>
      <c r="T74">
        <f>IF(AND(E74&lt;TIME(9,0,0),F74&gt;TIME(0,0,1)),1,0)</f>
        <v/>
      </c>
      <c r="U74">
        <f>IF(AND(E74&lt;TIME(17,0,0),F74&gt;TIME(9,0,0)),1,0)</f>
        <v/>
      </c>
      <c r="V74">
        <f>IF(AND(E74&lt;TIME(21,0,0),F74&gt;TIME(17,0,0)),1,0)</f>
        <v/>
      </c>
      <c r="W74">
        <f>IF(F74&gt;TIME(17,0,0),1,0)</f>
        <v/>
      </c>
    </row>
    <row r="75">
      <c r="I75">
        <f>IFERROR(VLOOKUP(D75,'Schedule Lookup'!$A:$H,2,0),0)</f>
        <v/>
      </c>
      <c r="J75">
        <f>IFERROR(VLOOKUP(D75,'Schedule Lookup'!$A:$H,3,0),0)</f>
        <v/>
      </c>
      <c r="K75">
        <f>IFERROR(VLOOKUP(D75,'Schedule Lookup'!$A:$H,4,0),0)</f>
        <v/>
      </c>
      <c r="L75">
        <f>IFERROR(VLOOKUP(D75,'Schedule Lookup'!$A:$H,5,0),0)</f>
        <v/>
      </c>
      <c r="M75">
        <f>IFERROR(VLOOKUP(D75,'Schedule Lookup'!$A:$H,6,0),0)</f>
        <v/>
      </c>
      <c r="N75">
        <f>IFERROR(VLOOKUP(D75,'Schedule Lookup'!$A:$H,7,0),0)</f>
        <v/>
      </c>
      <c r="O75">
        <f>IFERROR(VLOOKUP(D75,'Schedule Lookup'!$A:$H,8,0),0)</f>
        <v/>
      </c>
      <c r="T75">
        <f>IF(AND(E75&lt;TIME(9,0,0),F75&gt;TIME(0,0,1)),1,0)</f>
        <v/>
      </c>
      <c r="U75">
        <f>IF(AND(E75&lt;TIME(17,0,0),F75&gt;TIME(9,0,0)),1,0)</f>
        <v/>
      </c>
      <c r="V75">
        <f>IF(AND(E75&lt;TIME(21,0,0),F75&gt;TIME(17,0,0)),1,0)</f>
        <v/>
      </c>
      <c r="W75">
        <f>IF(F75&gt;TIME(17,0,0),1,0)</f>
        <v/>
      </c>
    </row>
    <row r="76">
      <c r="I76">
        <f>IFERROR(VLOOKUP(D76,'Schedule Lookup'!$A:$H,2,0),0)</f>
        <v/>
      </c>
      <c r="J76">
        <f>IFERROR(VLOOKUP(D76,'Schedule Lookup'!$A:$H,3,0),0)</f>
        <v/>
      </c>
      <c r="K76">
        <f>IFERROR(VLOOKUP(D76,'Schedule Lookup'!$A:$H,4,0),0)</f>
        <v/>
      </c>
      <c r="L76">
        <f>IFERROR(VLOOKUP(D76,'Schedule Lookup'!$A:$H,5,0),0)</f>
        <v/>
      </c>
      <c r="M76">
        <f>IFERROR(VLOOKUP(D76,'Schedule Lookup'!$A:$H,6,0),0)</f>
        <v/>
      </c>
      <c r="N76">
        <f>IFERROR(VLOOKUP(D76,'Schedule Lookup'!$A:$H,7,0),0)</f>
        <v/>
      </c>
      <c r="O76">
        <f>IFERROR(VLOOKUP(D76,'Schedule Lookup'!$A:$H,8,0),0)</f>
        <v/>
      </c>
      <c r="T76">
        <f>IF(AND(E76&lt;TIME(9,0,0),F76&gt;TIME(0,0,1)),1,0)</f>
        <v/>
      </c>
      <c r="U76">
        <f>IF(AND(E76&lt;TIME(17,0,0),F76&gt;TIME(9,0,0)),1,0)</f>
        <v/>
      </c>
      <c r="V76">
        <f>IF(AND(E76&lt;TIME(21,0,0),F76&gt;TIME(17,0,0)),1,0)</f>
        <v/>
      </c>
      <c r="W76">
        <f>IF(F76&gt;TIME(17,0,0),1,0)</f>
        <v/>
      </c>
    </row>
    <row r="77">
      <c r="I77">
        <f>IFERROR(VLOOKUP(D77,'Schedule Lookup'!$A:$H,2,0),0)</f>
        <v/>
      </c>
      <c r="J77">
        <f>IFERROR(VLOOKUP(D77,'Schedule Lookup'!$A:$H,3,0),0)</f>
        <v/>
      </c>
      <c r="K77">
        <f>IFERROR(VLOOKUP(D77,'Schedule Lookup'!$A:$H,4,0),0)</f>
        <v/>
      </c>
      <c r="L77">
        <f>IFERROR(VLOOKUP(D77,'Schedule Lookup'!$A:$H,5,0),0)</f>
        <v/>
      </c>
      <c r="M77">
        <f>IFERROR(VLOOKUP(D77,'Schedule Lookup'!$A:$H,6,0),0)</f>
        <v/>
      </c>
      <c r="N77">
        <f>IFERROR(VLOOKUP(D77,'Schedule Lookup'!$A:$H,7,0),0)</f>
        <v/>
      </c>
      <c r="O77">
        <f>IFERROR(VLOOKUP(D77,'Schedule Lookup'!$A:$H,8,0),0)</f>
        <v/>
      </c>
      <c r="T77">
        <f>IF(AND(E77&lt;TIME(9,0,0),F77&gt;TIME(0,0,1)),1,0)</f>
        <v/>
      </c>
      <c r="U77">
        <f>IF(AND(E77&lt;TIME(17,0,0),F77&gt;TIME(9,0,0)),1,0)</f>
        <v/>
      </c>
      <c r="V77">
        <f>IF(AND(E77&lt;TIME(21,0,0),F77&gt;TIME(17,0,0)),1,0)</f>
        <v/>
      </c>
      <c r="W77">
        <f>IF(F77&gt;TIME(17,0,0),1,0)</f>
        <v/>
      </c>
    </row>
    <row r="78">
      <c r="I78">
        <f>IFERROR(VLOOKUP(D78,'Schedule Lookup'!$A:$H,2,0),0)</f>
        <v/>
      </c>
      <c r="J78">
        <f>IFERROR(VLOOKUP(D78,'Schedule Lookup'!$A:$H,3,0),0)</f>
        <v/>
      </c>
      <c r="K78">
        <f>IFERROR(VLOOKUP(D78,'Schedule Lookup'!$A:$H,4,0),0)</f>
        <v/>
      </c>
      <c r="L78">
        <f>IFERROR(VLOOKUP(D78,'Schedule Lookup'!$A:$H,5,0),0)</f>
        <v/>
      </c>
      <c r="M78">
        <f>IFERROR(VLOOKUP(D78,'Schedule Lookup'!$A:$H,6,0),0)</f>
        <v/>
      </c>
      <c r="N78">
        <f>IFERROR(VLOOKUP(D78,'Schedule Lookup'!$A:$H,7,0),0)</f>
        <v/>
      </c>
      <c r="O78">
        <f>IFERROR(VLOOKUP(D78,'Schedule Lookup'!$A:$H,8,0),0)</f>
        <v/>
      </c>
      <c r="T78">
        <f>IF(AND(E78&lt;TIME(9,0,0),F78&gt;TIME(0,0,1)),1,0)</f>
        <v/>
      </c>
      <c r="U78">
        <f>IF(AND(E78&lt;TIME(17,0,0),F78&gt;TIME(9,0,0)),1,0)</f>
        <v/>
      </c>
      <c r="V78">
        <f>IF(AND(E78&lt;TIME(21,0,0),F78&gt;TIME(17,0,0)),1,0)</f>
        <v/>
      </c>
      <c r="W78">
        <f>IF(F78&gt;TIME(17,0,0),1,0)</f>
        <v/>
      </c>
    </row>
    <row r="79">
      <c r="I79">
        <f>IFERROR(VLOOKUP(D79,'Schedule Lookup'!$A:$H,2,0),0)</f>
        <v/>
      </c>
      <c r="J79">
        <f>IFERROR(VLOOKUP(D79,'Schedule Lookup'!$A:$H,3,0),0)</f>
        <v/>
      </c>
      <c r="K79">
        <f>IFERROR(VLOOKUP(D79,'Schedule Lookup'!$A:$H,4,0),0)</f>
        <v/>
      </c>
      <c r="L79">
        <f>IFERROR(VLOOKUP(D79,'Schedule Lookup'!$A:$H,5,0),0)</f>
        <v/>
      </c>
      <c r="M79">
        <f>IFERROR(VLOOKUP(D79,'Schedule Lookup'!$A:$H,6,0),0)</f>
        <v/>
      </c>
      <c r="N79">
        <f>IFERROR(VLOOKUP(D79,'Schedule Lookup'!$A:$H,7,0),0)</f>
        <v/>
      </c>
      <c r="O79">
        <f>IFERROR(VLOOKUP(D79,'Schedule Lookup'!$A:$H,8,0),0)</f>
        <v/>
      </c>
      <c r="T79">
        <f>IF(AND(E79&lt;TIME(9,0,0),F79&gt;TIME(0,0,1)),1,0)</f>
        <v/>
      </c>
      <c r="U79">
        <f>IF(AND(E79&lt;TIME(17,0,0),F79&gt;TIME(9,0,0)),1,0)</f>
        <v/>
      </c>
      <c r="V79">
        <f>IF(AND(E79&lt;TIME(21,0,0),F79&gt;TIME(17,0,0)),1,0)</f>
        <v/>
      </c>
      <c r="W79">
        <f>IF(F79&gt;TIME(17,0,0),1,0)</f>
        <v/>
      </c>
    </row>
    <row r="80">
      <c r="I80">
        <f>IFERROR(VLOOKUP(D80,'Schedule Lookup'!$A:$H,2,0),0)</f>
        <v/>
      </c>
      <c r="J80">
        <f>IFERROR(VLOOKUP(D80,'Schedule Lookup'!$A:$H,3,0),0)</f>
        <v/>
      </c>
      <c r="K80">
        <f>IFERROR(VLOOKUP(D80,'Schedule Lookup'!$A:$H,4,0),0)</f>
        <v/>
      </c>
      <c r="L80">
        <f>IFERROR(VLOOKUP(D80,'Schedule Lookup'!$A:$H,5,0),0)</f>
        <v/>
      </c>
      <c r="M80">
        <f>IFERROR(VLOOKUP(D80,'Schedule Lookup'!$A:$H,6,0),0)</f>
        <v/>
      </c>
      <c r="N80">
        <f>IFERROR(VLOOKUP(D80,'Schedule Lookup'!$A:$H,7,0),0)</f>
        <v/>
      </c>
      <c r="O80">
        <f>IFERROR(VLOOKUP(D80,'Schedule Lookup'!$A:$H,8,0),0)</f>
        <v/>
      </c>
      <c r="T80">
        <f>IF(AND(E80&lt;TIME(9,0,0),F80&gt;TIME(0,0,1)),1,0)</f>
        <v/>
      </c>
      <c r="U80">
        <f>IF(AND(E80&lt;TIME(17,0,0),F80&gt;TIME(9,0,0)),1,0)</f>
        <v/>
      </c>
      <c r="V80">
        <f>IF(AND(E80&lt;TIME(21,0,0),F80&gt;TIME(17,0,0)),1,0)</f>
        <v/>
      </c>
      <c r="W80">
        <f>IF(F80&gt;TIME(17,0,0),1,0)</f>
        <v/>
      </c>
    </row>
    <row r="81">
      <c r="I81">
        <f>IFERROR(VLOOKUP(D81,'Schedule Lookup'!$A:$H,2,0),0)</f>
        <v/>
      </c>
      <c r="J81">
        <f>IFERROR(VLOOKUP(D81,'Schedule Lookup'!$A:$H,3,0),0)</f>
        <v/>
      </c>
      <c r="K81">
        <f>IFERROR(VLOOKUP(D81,'Schedule Lookup'!$A:$H,4,0),0)</f>
        <v/>
      </c>
      <c r="L81">
        <f>IFERROR(VLOOKUP(D81,'Schedule Lookup'!$A:$H,5,0),0)</f>
        <v/>
      </c>
      <c r="M81">
        <f>IFERROR(VLOOKUP(D81,'Schedule Lookup'!$A:$H,6,0),0)</f>
        <v/>
      </c>
      <c r="N81">
        <f>IFERROR(VLOOKUP(D81,'Schedule Lookup'!$A:$H,7,0),0)</f>
        <v/>
      </c>
      <c r="O81">
        <f>IFERROR(VLOOKUP(D81,'Schedule Lookup'!$A:$H,8,0),0)</f>
        <v/>
      </c>
      <c r="T81">
        <f>IF(AND(E81&lt;TIME(9,0,0),F81&gt;TIME(0,0,1)),1,0)</f>
        <v/>
      </c>
      <c r="U81">
        <f>IF(AND(E81&lt;TIME(17,0,0),F81&gt;TIME(9,0,0)),1,0)</f>
        <v/>
      </c>
      <c r="V81">
        <f>IF(AND(E81&lt;TIME(21,0,0),F81&gt;TIME(17,0,0)),1,0)</f>
        <v/>
      </c>
      <c r="W81">
        <f>IF(F81&gt;TIME(17,0,0),1,0)</f>
        <v/>
      </c>
    </row>
    <row r="82">
      <c r="I82">
        <f>IFERROR(VLOOKUP(D82,'Schedule Lookup'!$A:$H,2,0),0)</f>
        <v/>
      </c>
      <c r="J82">
        <f>IFERROR(VLOOKUP(D82,'Schedule Lookup'!$A:$H,3,0),0)</f>
        <v/>
      </c>
      <c r="K82">
        <f>IFERROR(VLOOKUP(D82,'Schedule Lookup'!$A:$H,4,0),0)</f>
        <v/>
      </c>
      <c r="L82">
        <f>IFERROR(VLOOKUP(D82,'Schedule Lookup'!$A:$H,5,0),0)</f>
        <v/>
      </c>
      <c r="M82">
        <f>IFERROR(VLOOKUP(D82,'Schedule Lookup'!$A:$H,6,0),0)</f>
        <v/>
      </c>
      <c r="N82">
        <f>IFERROR(VLOOKUP(D82,'Schedule Lookup'!$A:$H,7,0),0)</f>
        <v/>
      </c>
      <c r="O82">
        <f>IFERROR(VLOOKUP(D82,'Schedule Lookup'!$A:$H,8,0),0)</f>
        <v/>
      </c>
      <c r="T82">
        <f>IF(AND(E82&lt;TIME(9,0,0),F82&gt;TIME(0,0,1)),1,0)</f>
        <v/>
      </c>
      <c r="U82">
        <f>IF(AND(E82&lt;TIME(17,0,0),F82&gt;TIME(9,0,0)),1,0)</f>
        <v/>
      </c>
      <c r="V82">
        <f>IF(AND(E82&lt;TIME(21,0,0),F82&gt;TIME(17,0,0)),1,0)</f>
        <v/>
      </c>
      <c r="W82">
        <f>IF(F82&gt;TIME(17,0,0),1,0)</f>
        <v/>
      </c>
    </row>
    <row r="83">
      <c r="I83">
        <f>IFERROR(VLOOKUP(D83,'Schedule Lookup'!$A:$H,2,0),0)</f>
        <v/>
      </c>
      <c r="J83">
        <f>IFERROR(VLOOKUP(D83,'Schedule Lookup'!$A:$H,3,0),0)</f>
        <v/>
      </c>
      <c r="K83">
        <f>IFERROR(VLOOKUP(D83,'Schedule Lookup'!$A:$H,4,0),0)</f>
        <v/>
      </c>
      <c r="L83">
        <f>IFERROR(VLOOKUP(D83,'Schedule Lookup'!$A:$H,5,0),0)</f>
        <v/>
      </c>
      <c r="M83">
        <f>IFERROR(VLOOKUP(D83,'Schedule Lookup'!$A:$H,6,0),0)</f>
        <v/>
      </c>
      <c r="N83">
        <f>IFERROR(VLOOKUP(D83,'Schedule Lookup'!$A:$H,7,0),0)</f>
        <v/>
      </c>
      <c r="O83">
        <f>IFERROR(VLOOKUP(D83,'Schedule Lookup'!$A:$H,8,0),0)</f>
        <v/>
      </c>
      <c r="T83">
        <f>IF(AND(E83&lt;TIME(9,0,0),F83&gt;TIME(0,0,1)),1,0)</f>
        <v/>
      </c>
      <c r="U83">
        <f>IF(AND(E83&lt;TIME(17,0,0),F83&gt;TIME(9,0,0)),1,0)</f>
        <v/>
      </c>
      <c r="V83">
        <f>IF(AND(E83&lt;TIME(21,0,0),F83&gt;TIME(17,0,0)),1,0)</f>
        <v/>
      </c>
      <c r="W83">
        <f>IF(F83&gt;TIME(17,0,0),1,0)</f>
        <v/>
      </c>
    </row>
    <row r="84">
      <c r="I84">
        <f>IFERROR(VLOOKUP(D84,'Schedule Lookup'!$A:$H,2,0),0)</f>
        <v/>
      </c>
      <c r="J84">
        <f>IFERROR(VLOOKUP(D84,'Schedule Lookup'!$A:$H,3,0),0)</f>
        <v/>
      </c>
      <c r="K84">
        <f>IFERROR(VLOOKUP(D84,'Schedule Lookup'!$A:$H,4,0),0)</f>
        <v/>
      </c>
      <c r="L84">
        <f>IFERROR(VLOOKUP(D84,'Schedule Lookup'!$A:$H,5,0),0)</f>
        <v/>
      </c>
      <c r="M84">
        <f>IFERROR(VLOOKUP(D84,'Schedule Lookup'!$A:$H,6,0),0)</f>
        <v/>
      </c>
      <c r="N84">
        <f>IFERROR(VLOOKUP(D84,'Schedule Lookup'!$A:$H,7,0),0)</f>
        <v/>
      </c>
      <c r="O84">
        <f>IFERROR(VLOOKUP(D84,'Schedule Lookup'!$A:$H,8,0),0)</f>
        <v/>
      </c>
      <c r="T84">
        <f>IF(AND(E84&lt;TIME(9,0,0),F84&gt;TIME(0,0,1)),1,0)</f>
        <v/>
      </c>
      <c r="U84">
        <f>IF(AND(E84&lt;TIME(17,0,0),F84&gt;TIME(9,0,0)),1,0)</f>
        <v/>
      </c>
      <c r="V84">
        <f>IF(AND(E84&lt;TIME(21,0,0),F84&gt;TIME(17,0,0)),1,0)</f>
        <v/>
      </c>
      <c r="W84">
        <f>IF(F84&gt;TIME(17,0,0),1,0)</f>
        <v/>
      </c>
    </row>
    <row r="85">
      <c r="I85">
        <f>IFERROR(VLOOKUP(D85,'Schedule Lookup'!$A:$H,2,0),0)</f>
        <v/>
      </c>
      <c r="J85">
        <f>IFERROR(VLOOKUP(D85,'Schedule Lookup'!$A:$H,3,0),0)</f>
        <v/>
      </c>
      <c r="K85">
        <f>IFERROR(VLOOKUP(D85,'Schedule Lookup'!$A:$H,4,0),0)</f>
        <v/>
      </c>
      <c r="L85">
        <f>IFERROR(VLOOKUP(D85,'Schedule Lookup'!$A:$H,5,0),0)</f>
        <v/>
      </c>
      <c r="M85">
        <f>IFERROR(VLOOKUP(D85,'Schedule Lookup'!$A:$H,6,0),0)</f>
        <v/>
      </c>
      <c r="N85">
        <f>IFERROR(VLOOKUP(D85,'Schedule Lookup'!$A:$H,7,0),0)</f>
        <v/>
      </c>
      <c r="O85">
        <f>IFERROR(VLOOKUP(D85,'Schedule Lookup'!$A:$H,8,0),0)</f>
        <v/>
      </c>
      <c r="T85">
        <f>IF(AND(E85&lt;TIME(9,0,0),F85&gt;TIME(0,0,1)),1,0)</f>
        <v/>
      </c>
      <c r="U85">
        <f>IF(AND(E85&lt;TIME(17,0,0),F85&gt;TIME(9,0,0)),1,0)</f>
        <v/>
      </c>
      <c r="V85">
        <f>IF(AND(E85&lt;TIME(21,0,0),F85&gt;TIME(17,0,0)),1,0)</f>
        <v/>
      </c>
      <c r="W85">
        <f>IF(F85&gt;TIME(17,0,0),1,0)</f>
        <v/>
      </c>
    </row>
    <row r="86">
      <c r="I86">
        <f>IFERROR(VLOOKUP(D86,'Schedule Lookup'!$A:$H,2,0),0)</f>
        <v/>
      </c>
      <c r="J86">
        <f>IFERROR(VLOOKUP(D86,'Schedule Lookup'!$A:$H,3,0),0)</f>
        <v/>
      </c>
      <c r="K86">
        <f>IFERROR(VLOOKUP(D86,'Schedule Lookup'!$A:$H,4,0),0)</f>
        <v/>
      </c>
      <c r="L86">
        <f>IFERROR(VLOOKUP(D86,'Schedule Lookup'!$A:$H,5,0),0)</f>
        <v/>
      </c>
      <c r="M86">
        <f>IFERROR(VLOOKUP(D86,'Schedule Lookup'!$A:$H,6,0),0)</f>
        <v/>
      </c>
      <c r="N86">
        <f>IFERROR(VLOOKUP(D86,'Schedule Lookup'!$A:$H,7,0),0)</f>
        <v/>
      </c>
      <c r="O86">
        <f>IFERROR(VLOOKUP(D86,'Schedule Lookup'!$A:$H,8,0),0)</f>
        <v/>
      </c>
      <c r="T86">
        <f>IF(AND(E86&lt;TIME(9,0,0),F86&gt;TIME(0,0,1)),1,0)</f>
        <v/>
      </c>
      <c r="U86">
        <f>IF(AND(E86&lt;TIME(17,0,0),F86&gt;TIME(9,0,0)),1,0)</f>
        <v/>
      </c>
      <c r="V86">
        <f>IF(AND(E86&lt;TIME(21,0,0),F86&gt;TIME(17,0,0)),1,0)</f>
        <v/>
      </c>
      <c r="W86">
        <f>IF(F86&gt;TIME(17,0,0),1,0)</f>
        <v/>
      </c>
    </row>
    <row r="87">
      <c r="I87">
        <f>IFERROR(VLOOKUP(D87,'Schedule Lookup'!$A:$H,2,0),0)</f>
        <v/>
      </c>
      <c r="J87">
        <f>IFERROR(VLOOKUP(D87,'Schedule Lookup'!$A:$H,3,0),0)</f>
        <v/>
      </c>
      <c r="K87">
        <f>IFERROR(VLOOKUP(D87,'Schedule Lookup'!$A:$H,4,0),0)</f>
        <v/>
      </c>
      <c r="L87">
        <f>IFERROR(VLOOKUP(D87,'Schedule Lookup'!$A:$H,5,0),0)</f>
        <v/>
      </c>
      <c r="M87">
        <f>IFERROR(VLOOKUP(D87,'Schedule Lookup'!$A:$H,6,0),0)</f>
        <v/>
      </c>
      <c r="N87">
        <f>IFERROR(VLOOKUP(D87,'Schedule Lookup'!$A:$H,7,0),0)</f>
        <v/>
      </c>
      <c r="O87">
        <f>IFERROR(VLOOKUP(D87,'Schedule Lookup'!$A:$H,8,0),0)</f>
        <v/>
      </c>
      <c r="T87">
        <f>IF(AND(E87&lt;TIME(9,0,0),F87&gt;TIME(0,0,1)),1,0)</f>
        <v/>
      </c>
      <c r="U87">
        <f>IF(AND(E87&lt;TIME(17,0,0),F87&gt;TIME(9,0,0)),1,0)</f>
        <v/>
      </c>
      <c r="V87">
        <f>IF(AND(E87&lt;TIME(21,0,0),F87&gt;TIME(17,0,0)),1,0)</f>
        <v/>
      </c>
      <c r="W87">
        <f>IF(F87&gt;TIME(17,0,0),1,0)</f>
        <v/>
      </c>
    </row>
    <row r="88">
      <c r="I88">
        <f>IFERROR(VLOOKUP(D88,'Schedule Lookup'!$A:$H,2,0),0)</f>
        <v/>
      </c>
      <c r="J88">
        <f>IFERROR(VLOOKUP(D88,'Schedule Lookup'!$A:$H,3,0),0)</f>
        <v/>
      </c>
      <c r="K88">
        <f>IFERROR(VLOOKUP(D88,'Schedule Lookup'!$A:$H,4,0),0)</f>
        <v/>
      </c>
      <c r="L88">
        <f>IFERROR(VLOOKUP(D88,'Schedule Lookup'!$A:$H,5,0),0)</f>
        <v/>
      </c>
      <c r="M88">
        <f>IFERROR(VLOOKUP(D88,'Schedule Lookup'!$A:$H,6,0),0)</f>
        <v/>
      </c>
      <c r="N88">
        <f>IFERROR(VLOOKUP(D88,'Schedule Lookup'!$A:$H,7,0),0)</f>
        <v/>
      </c>
      <c r="O88">
        <f>IFERROR(VLOOKUP(D88,'Schedule Lookup'!$A:$H,8,0),0)</f>
        <v/>
      </c>
      <c r="T88">
        <f>IF(AND(E88&lt;TIME(9,0,0),F88&gt;TIME(0,0,1)),1,0)</f>
        <v/>
      </c>
      <c r="U88">
        <f>IF(AND(E88&lt;TIME(17,0,0),F88&gt;TIME(9,0,0)),1,0)</f>
        <v/>
      </c>
      <c r="V88">
        <f>IF(AND(E88&lt;TIME(21,0,0),F88&gt;TIME(17,0,0)),1,0)</f>
        <v/>
      </c>
      <c r="W88">
        <f>IF(F88&gt;TIME(17,0,0),1,0)</f>
        <v/>
      </c>
    </row>
    <row r="89">
      <c r="I89">
        <f>IFERROR(VLOOKUP(D89,'Schedule Lookup'!$A:$H,2,0),0)</f>
        <v/>
      </c>
      <c r="J89">
        <f>IFERROR(VLOOKUP(D89,'Schedule Lookup'!$A:$H,3,0),0)</f>
        <v/>
      </c>
      <c r="K89">
        <f>IFERROR(VLOOKUP(D89,'Schedule Lookup'!$A:$H,4,0),0)</f>
        <v/>
      </c>
      <c r="L89">
        <f>IFERROR(VLOOKUP(D89,'Schedule Lookup'!$A:$H,5,0),0)</f>
        <v/>
      </c>
      <c r="M89">
        <f>IFERROR(VLOOKUP(D89,'Schedule Lookup'!$A:$H,6,0),0)</f>
        <v/>
      </c>
      <c r="N89">
        <f>IFERROR(VLOOKUP(D89,'Schedule Lookup'!$A:$H,7,0),0)</f>
        <v/>
      </c>
      <c r="O89">
        <f>IFERROR(VLOOKUP(D89,'Schedule Lookup'!$A:$H,8,0),0)</f>
        <v/>
      </c>
      <c r="T89">
        <f>IF(AND(E89&lt;TIME(9,0,0),F89&gt;TIME(0,0,1)),1,0)</f>
        <v/>
      </c>
      <c r="U89">
        <f>IF(AND(E89&lt;TIME(17,0,0),F89&gt;TIME(9,0,0)),1,0)</f>
        <v/>
      </c>
      <c r="V89">
        <f>IF(AND(E89&lt;TIME(21,0,0),F89&gt;TIME(17,0,0)),1,0)</f>
        <v/>
      </c>
      <c r="W89">
        <f>IF(F89&gt;TIME(17,0,0),1,0)</f>
        <v/>
      </c>
    </row>
    <row r="90">
      <c r="I90">
        <f>IFERROR(VLOOKUP(D90,'Schedule Lookup'!$A:$H,2,0),0)</f>
        <v/>
      </c>
      <c r="J90">
        <f>IFERROR(VLOOKUP(D90,'Schedule Lookup'!$A:$H,3,0),0)</f>
        <v/>
      </c>
      <c r="K90">
        <f>IFERROR(VLOOKUP(D90,'Schedule Lookup'!$A:$H,4,0),0)</f>
        <v/>
      </c>
      <c r="L90">
        <f>IFERROR(VLOOKUP(D90,'Schedule Lookup'!$A:$H,5,0),0)</f>
        <v/>
      </c>
      <c r="M90">
        <f>IFERROR(VLOOKUP(D90,'Schedule Lookup'!$A:$H,6,0),0)</f>
        <v/>
      </c>
      <c r="N90">
        <f>IFERROR(VLOOKUP(D90,'Schedule Lookup'!$A:$H,7,0),0)</f>
        <v/>
      </c>
      <c r="O90">
        <f>IFERROR(VLOOKUP(D90,'Schedule Lookup'!$A:$H,8,0),0)</f>
        <v/>
      </c>
      <c r="T90">
        <f>IF(AND(E90&lt;TIME(9,0,0),F90&gt;TIME(0,0,1)),1,0)</f>
        <v/>
      </c>
      <c r="U90">
        <f>IF(AND(E90&lt;TIME(17,0,0),F90&gt;TIME(9,0,0)),1,0)</f>
        <v/>
      </c>
      <c r="V90">
        <f>IF(AND(E90&lt;TIME(21,0,0),F90&gt;TIME(17,0,0)),1,0)</f>
        <v/>
      </c>
      <c r="W90">
        <f>IF(F90&gt;TIME(17,0,0),1,0)</f>
        <v/>
      </c>
    </row>
    <row r="91">
      <c r="I91">
        <f>IFERROR(VLOOKUP(D91,'Schedule Lookup'!$A:$H,2,0),0)</f>
        <v/>
      </c>
      <c r="J91">
        <f>IFERROR(VLOOKUP(D91,'Schedule Lookup'!$A:$H,3,0),0)</f>
        <v/>
      </c>
      <c r="K91">
        <f>IFERROR(VLOOKUP(D91,'Schedule Lookup'!$A:$H,4,0),0)</f>
        <v/>
      </c>
      <c r="L91">
        <f>IFERROR(VLOOKUP(D91,'Schedule Lookup'!$A:$H,5,0),0)</f>
        <v/>
      </c>
      <c r="M91">
        <f>IFERROR(VLOOKUP(D91,'Schedule Lookup'!$A:$H,6,0),0)</f>
        <v/>
      </c>
      <c r="N91">
        <f>IFERROR(VLOOKUP(D91,'Schedule Lookup'!$A:$H,7,0),0)</f>
        <v/>
      </c>
      <c r="O91">
        <f>IFERROR(VLOOKUP(D91,'Schedule Lookup'!$A:$H,8,0),0)</f>
        <v/>
      </c>
      <c r="T91">
        <f>IF(AND(E91&lt;TIME(9,0,0),F91&gt;TIME(0,0,1)),1,0)</f>
        <v/>
      </c>
      <c r="U91">
        <f>IF(AND(E91&lt;TIME(17,0,0),F91&gt;TIME(9,0,0)),1,0)</f>
        <v/>
      </c>
      <c r="V91">
        <f>IF(AND(E91&lt;TIME(21,0,0),F91&gt;TIME(17,0,0)),1,0)</f>
        <v/>
      </c>
      <c r="W91">
        <f>IF(F91&gt;TIME(17,0,0),1,0)</f>
        <v/>
      </c>
    </row>
    <row r="92">
      <c r="I92">
        <f>IFERROR(VLOOKUP(D92,'Schedule Lookup'!$A:$H,2,0),0)</f>
        <v/>
      </c>
      <c r="J92">
        <f>IFERROR(VLOOKUP(D92,'Schedule Lookup'!$A:$H,3,0),0)</f>
        <v/>
      </c>
      <c r="K92">
        <f>IFERROR(VLOOKUP(D92,'Schedule Lookup'!$A:$H,4,0),0)</f>
        <v/>
      </c>
      <c r="L92">
        <f>IFERROR(VLOOKUP(D92,'Schedule Lookup'!$A:$H,5,0),0)</f>
        <v/>
      </c>
      <c r="M92">
        <f>IFERROR(VLOOKUP(D92,'Schedule Lookup'!$A:$H,6,0),0)</f>
        <v/>
      </c>
      <c r="N92">
        <f>IFERROR(VLOOKUP(D92,'Schedule Lookup'!$A:$H,7,0),0)</f>
        <v/>
      </c>
      <c r="O92">
        <f>IFERROR(VLOOKUP(D92,'Schedule Lookup'!$A:$H,8,0),0)</f>
        <v/>
      </c>
      <c r="T92">
        <f>IF(AND(E92&lt;TIME(9,0,0),F92&gt;TIME(0,0,1)),1,0)</f>
        <v/>
      </c>
      <c r="U92">
        <f>IF(AND(E92&lt;TIME(17,0,0),F92&gt;TIME(9,0,0)),1,0)</f>
        <v/>
      </c>
      <c r="V92">
        <f>IF(AND(E92&lt;TIME(21,0,0),F92&gt;TIME(17,0,0)),1,0)</f>
        <v/>
      </c>
      <c r="W92">
        <f>IF(F92&gt;TIME(17,0,0),1,0)</f>
        <v/>
      </c>
    </row>
    <row r="93">
      <c r="I93">
        <f>IFERROR(VLOOKUP(D93,'Schedule Lookup'!$A:$H,2,0),0)</f>
        <v/>
      </c>
      <c r="J93">
        <f>IFERROR(VLOOKUP(D93,'Schedule Lookup'!$A:$H,3,0),0)</f>
        <v/>
      </c>
      <c r="K93">
        <f>IFERROR(VLOOKUP(D93,'Schedule Lookup'!$A:$H,4,0),0)</f>
        <v/>
      </c>
      <c r="L93">
        <f>IFERROR(VLOOKUP(D93,'Schedule Lookup'!$A:$H,5,0),0)</f>
        <v/>
      </c>
      <c r="M93">
        <f>IFERROR(VLOOKUP(D93,'Schedule Lookup'!$A:$H,6,0),0)</f>
        <v/>
      </c>
      <c r="N93">
        <f>IFERROR(VLOOKUP(D93,'Schedule Lookup'!$A:$H,7,0),0)</f>
        <v/>
      </c>
      <c r="O93">
        <f>IFERROR(VLOOKUP(D93,'Schedule Lookup'!$A:$H,8,0),0)</f>
        <v/>
      </c>
      <c r="T93">
        <f>IF(AND(E93&lt;TIME(9,0,0),F93&gt;TIME(0,0,1)),1,0)</f>
        <v/>
      </c>
      <c r="U93">
        <f>IF(AND(E93&lt;TIME(17,0,0),F93&gt;TIME(9,0,0)),1,0)</f>
        <v/>
      </c>
      <c r="V93">
        <f>IF(AND(E93&lt;TIME(21,0,0),F93&gt;TIME(17,0,0)),1,0)</f>
        <v/>
      </c>
      <c r="W93">
        <f>IF(F93&gt;TIME(17,0,0),1,0)</f>
        <v/>
      </c>
    </row>
    <row r="94">
      <c r="I94">
        <f>IFERROR(VLOOKUP(D94,'Schedule Lookup'!$A:$H,2,0),0)</f>
        <v/>
      </c>
      <c r="J94">
        <f>IFERROR(VLOOKUP(D94,'Schedule Lookup'!$A:$H,3,0),0)</f>
        <v/>
      </c>
      <c r="K94">
        <f>IFERROR(VLOOKUP(D94,'Schedule Lookup'!$A:$H,4,0),0)</f>
        <v/>
      </c>
      <c r="L94">
        <f>IFERROR(VLOOKUP(D94,'Schedule Lookup'!$A:$H,5,0),0)</f>
        <v/>
      </c>
      <c r="M94">
        <f>IFERROR(VLOOKUP(D94,'Schedule Lookup'!$A:$H,6,0),0)</f>
        <v/>
      </c>
      <c r="N94">
        <f>IFERROR(VLOOKUP(D94,'Schedule Lookup'!$A:$H,7,0),0)</f>
        <v/>
      </c>
      <c r="O94">
        <f>IFERROR(VLOOKUP(D94,'Schedule Lookup'!$A:$H,8,0),0)</f>
        <v/>
      </c>
      <c r="T94">
        <f>IF(AND(E94&lt;TIME(9,0,0),F94&gt;TIME(0,0,1)),1,0)</f>
        <v/>
      </c>
      <c r="U94">
        <f>IF(AND(E94&lt;TIME(17,0,0),F94&gt;TIME(9,0,0)),1,0)</f>
        <v/>
      </c>
      <c r="V94">
        <f>IF(AND(E94&lt;TIME(21,0,0),F94&gt;TIME(17,0,0)),1,0)</f>
        <v/>
      </c>
      <c r="W94">
        <f>IF(F94&gt;TIME(17,0,0),1,0)</f>
        <v/>
      </c>
    </row>
    <row r="95">
      <c r="I95">
        <f>IFERROR(VLOOKUP(D95,'Schedule Lookup'!$A:$H,2,0),0)</f>
        <v/>
      </c>
      <c r="J95">
        <f>IFERROR(VLOOKUP(D95,'Schedule Lookup'!$A:$H,3,0),0)</f>
        <v/>
      </c>
      <c r="K95">
        <f>IFERROR(VLOOKUP(D95,'Schedule Lookup'!$A:$H,4,0),0)</f>
        <v/>
      </c>
      <c r="L95">
        <f>IFERROR(VLOOKUP(D95,'Schedule Lookup'!$A:$H,5,0),0)</f>
        <v/>
      </c>
      <c r="M95">
        <f>IFERROR(VLOOKUP(D95,'Schedule Lookup'!$A:$H,6,0),0)</f>
        <v/>
      </c>
      <c r="N95">
        <f>IFERROR(VLOOKUP(D95,'Schedule Lookup'!$A:$H,7,0),0)</f>
        <v/>
      </c>
      <c r="O95">
        <f>IFERROR(VLOOKUP(D95,'Schedule Lookup'!$A:$H,8,0),0)</f>
        <v/>
      </c>
      <c r="T95">
        <f>IF(AND(E95&lt;TIME(9,0,0),F95&gt;TIME(0,0,1)),1,0)</f>
        <v/>
      </c>
      <c r="U95">
        <f>IF(AND(E95&lt;TIME(17,0,0),F95&gt;TIME(9,0,0)),1,0)</f>
        <v/>
      </c>
      <c r="V95">
        <f>IF(AND(E95&lt;TIME(21,0,0),F95&gt;TIME(17,0,0)),1,0)</f>
        <v/>
      </c>
      <c r="W95">
        <f>IF(F95&gt;TIME(17,0,0),1,0)</f>
        <v/>
      </c>
    </row>
    <row r="96">
      <c r="I96">
        <f>IFERROR(VLOOKUP(D96,'Schedule Lookup'!$A:$H,2,0),0)</f>
        <v/>
      </c>
      <c r="J96">
        <f>IFERROR(VLOOKUP(D96,'Schedule Lookup'!$A:$H,3,0),0)</f>
        <v/>
      </c>
      <c r="K96">
        <f>IFERROR(VLOOKUP(D96,'Schedule Lookup'!$A:$H,4,0),0)</f>
        <v/>
      </c>
      <c r="L96">
        <f>IFERROR(VLOOKUP(D96,'Schedule Lookup'!$A:$H,5,0),0)</f>
        <v/>
      </c>
      <c r="M96">
        <f>IFERROR(VLOOKUP(D96,'Schedule Lookup'!$A:$H,6,0),0)</f>
        <v/>
      </c>
      <c r="N96">
        <f>IFERROR(VLOOKUP(D96,'Schedule Lookup'!$A:$H,7,0),0)</f>
        <v/>
      </c>
      <c r="O96">
        <f>IFERROR(VLOOKUP(D96,'Schedule Lookup'!$A:$H,8,0),0)</f>
        <v/>
      </c>
      <c r="T96">
        <f>IF(AND(E96&lt;TIME(9,0,0),F96&gt;TIME(0,0,1)),1,0)</f>
        <v/>
      </c>
      <c r="U96">
        <f>IF(AND(E96&lt;TIME(17,0,0),F96&gt;TIME(9,0,0)),1,0)</f>
        <v/>
      </c>
      <c r="V96">
        <f>IF(AND(E96&lt;TIME(21,0,0),F96&gt;TIME(17,0,0)),1,0)</f>
        <v/>
      </c>
      <c r="W96">
        <f>IF(F96&gt;TIME(17,0,0),1,0)</f>
        <v/>
      </c>
    </row>
    <row r="97">
      <c r="I97">
        <f>IFERROR(VLOOKUP(D97,'Schedule Lookup'!$A:$H,2,0),0)</f>
        <v/>
      </c>
      <c r="J97">
        <f>IFERROR(VLOOKUP(D97,'Schedule Lookup'!$A:$H,3,0),0)</f>
        <v/>
      </c>
      <c r="K97">
        <f>IFERROR(VLOOKUP(D97,'Schedule Lookup'!$A:$H,4,0),0)</f>
        <v/>
      </c>
      <c r="L97">
        <f>IFERROR(VLOOKUP(D97,'Schedule Lookup'!$A:$H,5,0),0)</f>
        <v/>
      </c>
      <c r="M97">
        <f>IFERROR(VLOOKUP(D97,'Schedule Lookup'!$A:$H,6,0),0)</f>
        <v/>
      </c>
      <c r="N97">
        <f>IFERROR(VLOOKUP(D97,'Schedule Lookup'!$A:$H,7,0),0)</f>
        <v/>
      </c>
      <c r="O97">
        <f>IFERROR(VLOOKUP(D97,'Schedule Lookup'!$A:$H,8,0),0)</f>
        <v/>
      </c>
      <c r="T97">
        <f>IF(AND(E97&lt;TIME(9,0,0),F97&gt;TIME(0,0,1)),1,0)</f>
        <v/>
      </c>
      <c r="U97">
        <f>IF(AND(E97&lt;TIME(17,0,0),F97&gt;TIME(9,0,0)),1,0)</f>
        <v/>
      </c>
      <c r="V97">
        <f>IF(AND(E97&lt;TIME(21,0,0),F97&gt;TIME(17,0,0)),1,0)</f>
        <v/>
      </c>
      <c r="W97">
        <f>IF(F97&gt;TIME(17,0,0),1,0)</f>
        <v/>
      </c>
    </row>
    <row r="98">
      <c r="I98">
        <f>IFERROR(VLOOKUP(D98,'Schedule Lookup'!$A:$H,2,0),0)</f>
        <v/>
      </c>
      <c r="J98">
        <f>IFERROR(VLOOKUP(D98,'Schedule Lookup'!$A:$H,3,0),0)</f>
        <v/>
      </c>
      <c r="K98">
        <f>IFERROR(VLOOKUP(D98,'Schedule Lookup'!$A:$H,4,0),0)</f>
        <v/>
      </c>
      <c r="L98">
        <f>IFERROR(VLOOKUP(D98,'Schedule Lookup'!$A:$H,5,0),0)</f>
        <v/>
      </c>
      <c r="M98">
        <f>IFERROR(VLOOKUP(D98,'Schedule Lookup'!$A:$H,6,0),0)</f>
        <v/>
      </c>
      <c r="N98">
        <f>IFERROR(VLOOKUP(D98,'Schedule Lookup'!$A:$H,7,0),0)</f>
        <v/>
      </c>
      <c r="O98">
        <f>IFERROR(VLOOKUP(D98,'Schedule Lookup'!$A:$H,8,0),0)</f>
        <v/>
      </c>
      <c r="T98">
        <f>IF(AND(E98&lt;TIME(9,0,0),F98&gt;TIME(0,0,1)),1,0)</f>
        <v/>
      </c>
      <c r="U98">
        <f>IF(AND(E98&lt;TIME(17,0,0),F98&gt;TIME(9,0,0)),1,0)</f>
        <v/>
      </c>
      <c r="V98">
        <f>IF(AND(E98&lt;TIME(21,0,0),F98&gt;TIME(17,0,0)),1,0)</f>
        <v/>
      </c>
      <c r="W98">
        <f>IF(F98&gt;TIME(17,0,0),1,0)</f>
        <v/>
      </c>
    </row>
    <row r="99">
      <c r="I99">
        <f>IFERROR(VLOOKUP(D99,'Schedule Lookup'!$A:$H,2,0),0)</f>
        <v/>
      </c>
      <c r="J99">
        <f>IFERROR(VLOOKUP(D99,'Schedule Lookup'!$A:$H,3,0),0)</f>
        <v/>
      </c>
      <c r="K99">
        <f>IFERROR(VLOOKUP(D99,'Schedule Lookup'!$A:$H,4,0),0)</f>
        <v/>
      </c>
      <c r="L99">
        <f>IFERROR(VLOOKUP(D99,'Schedule Lookup'!$A:$H,5,0),0)</f>
        <v/>
      </c>
      <c r="M99">
        <f>IFERROR(VLOOKUP(D99,'Schedule Lookup'!$A:$H,6,0),0)</f>
        <v/>
      </c>
      <c r="N99">
        <f>IFERROR(VLOOKUP(D99,'Schedule Lookup'!$A:$H,7,0),0)</f>
        <v/>
      </c>
      <c r="O99">
        <f>IFERROR(VLOOKUP(D99,'Schedule Lookup'!$A:$H,8,0),0)</f>
        <v/>
      </c>
      <c r="T99">
        <f>IF(AND(E99&lt;TIME(9,0,0),F99&gt;TIME(0,0,1)),1,0)</f>
        <v/>
      </c>
      <c r="U99">
        <f>IF(AND(E99&lt;TIME(17,0,0),F99&gt;TIME(9,0,0)),1,0)</f>
        <v/>
      </c>
      <c r="V99">
        <f>IF(AND(E99&lt;TIME(21,0,0),F99&gt;TIME(17,0,0)),1,0)</f>
        <v/>
      </c>
      <c r="W99">
        <f>IF(F99&gt;TIME(17,0,0),1,0)</f>
        <v/>
      </c>
    </row>
    <row r="100">
      <c r="I100">
        <f>IFERROR(VLOOKUP(D100,'Schedule Lookup'!$A:$H,2,0),0)</f>
        <v/>
      </c>
      <c r="J100">
        <f>IFERROR(VLOOKUP(D100,'Schedule Lookup'!$A:$H,3,0),0)</f>
        <v/>
      </c>
      <c r="K100">
        <f>IFERROR(VLOOKUP(D100,'Schedule Lookup'!$A:$H,4,0),0)</f>
        <v/>
      </c>
      <c r="L100">
        <f>IFERROR(VLOOKUP(D100,'Schedule Lookup'!$A:$H,5,0),0)</f>
        <v/>
      </c>
      <c r="M100">
        <f>IFERROR(VLOOKUP(D100,'Schedule Lookup'!$A:$H,6,0),0)</f>
        <v/>
      </c>
      <c r="N100">
        <f>IFERROR(VLOOKUP(D100,'Schedule Lookup'!$A:$H,7,0),0)</f>
        <v/>
      </c>
      <c r="O100">
        <f>IFERROR(VLOOKUP(D100,'Schedule Lookup'!$A:$H,8,0),0)</f>
        <v/>
      </c>
      <c r="T100">
        <f>IF(AND(E100&lt;TIME(9,0,0),F100&gt;TIME(0,0,1)),1,0)</f>
        <v/>
      </c>
      <c r="U100">
        <f>IF(AND(E100&lt;TIME(17,0,0),F100&gt;TIME(9,0,0)),1,0)</f>
        <v/>
      </c>
      <c r="V100">
        <f>IF(AND(E100&lt;TIME(21,0,0),F100&gt;TIME(17,0,0)),1,0)</f>
        <v/>
      </c>
      <c r="W100">
        <f>IF(F100&gt;TIME(17,0,0),1,0)</f>
        <v/>
      </c>
    </row>
    <row r="101">
      <c r="I101">
        <f>IFERROR(VLOOKUP(D101,'Schedule Lookup'!$A:$H,2,0),0)</f>
        <v/>
      </c>
      <c r="J101">
        <f>IFERROR(VLOOKUP(D101,'Schedule Lookup'!$A:$H,3,0),0)</f>
        <v/>
      </c>
      <c r="K101">
        <f>IFERROR(VLOOKUP(D101,'Schedule Lookup'!$A:$H,4,0),0)</f>
        <v/>
      </c>
      <c r="L101">
        <f>IFERROR(VLOOKUP(D101,'Schedule Lookup'!$A:$H,5,0),0)</f>
        <v/>
      </c>
      <c r="M101">
        <f>IFERROR(VLOOKUP(D101,'Schedule Lookup'!$A:$H,6,0),0)</f>
        <v/>
      </c>
      <c r="N101">
        <f>IFERROR(VLOOKUP(D101,'Schedule Lookup'!$A:$H,7,0),0)</f>
        <v/>
      </c>
      <c r="O101">
        <f>IFERROR(VLOOKUP(D101,'Schedule Lookup'!$A:$H,8,0),0)</f>
        <v/>
      </c>
      <c r="T101">
        <f>IF(AND(E101&lt;TIME(9,0,0),F101&gt;TIME(0,0,1)),1,0)</f>
        <v/>
      </c>
      <c r="U101">
        <f>IF(AND(E101&lt;TIME(17,0,0),F101&gt;TIME(9,0,0)),1,0)</f>
        <v/>
      </c>
      <c r="V101">
        <f>IF(AND(E101&lt;TIME(21,0,0),F101&gt;TIME(17,0,0)),1,0)</f>
        <v/>
      </c>
      <c r="W101">
        <f>IF(F101&gt;TIME(17,0,0),1,0)</f>
        <v/>
      </c>
    </row>
    <row r="102">
      <c r="I102">
        <f>IFERROR(VLOOKUP(D102,'Schedule Lookup'!$A:$H,2,0),0)</f>
        <v/>
      </c>
      <c r="J102">
        <f>IFERROR(VLOOKUP(D102,'Schedule Lookup'!$A:$H,3,0),0)</f>
        <v/>
      </c>
      <c r="K102">
        <f>IFERROR(VLOOKUP(D102,'Schedule Lookup'!$A:$H,4,0),0)</f>
        <v/>
      </c>
      <c r="L102">
        <f>IFERROR(VLOOKUP(D102,'Schedule Lookup'!$A:$H,5,0),0)</f>
        <v/>
      </c>
      <c r="M102">
        <f>IFERROR(VLOOKUP(D102,'Schedule Lookup'!$A:$H,6,0),0)</f>
        <v/>
      </c>
      <c r="N102">
        <f>IFERROR(VLOOKUP(D102,'Schedule Lookup'!$A:$H,7,0),0)</f>
        <v/>
      </c>
      <c r="O102">
        <f>IFERROR(VLOOKUP(D102,'Schedule Lookup'!$A:$H,8,0),0)</f>
        <v/>
      </c>
      <c r="T102">
        <f>IF(AND(E102&lt;TIME(9,0,0),F102&gt;TIME(0,0,1)),1,0)</f>
        <v/>
      </c>
      <c r="U102">
        <f>IF(AND(E102&lt;TIME(17,0,0),F102&gt;TIME(9,0,0)),1,0)</f>
        <v/>
      </c>
      <c r="V102">
        <f>IF(AND(E102&lt;TIME(21,0,0),F102&gt;TIME(17,0,0)),1,0)</f>
        <v/>
      </c>
      <c r="W102">
        <f>IF(F102&gt;TIME(17,0,0),1,0)</f>
        <v/>
      </c>
    </row>
    <row r="103">
      <c r="I103">
        <f>IFERROR(VLOOKUP(D103,'Schedule Lookup'!$A:$H,2,0),0)</f>
        <v/>
      </c>
      <c r="J103">
        <f>IFERROR(VLOOKUP(D103,'Schedule Lookup'!$A:$H,3,0),0)</f>
        <v/>
      </c>
      <c r="K103">
        <f>IFERROR(VLOOKUP(D103,'Schedule Lookup'!$A:$H,4,0),0)</f>
        <v/>
      </c>
      <c r="L103">
        <f>IFERROR(VLOOKUP(D103,'Schedule Lookup'!$A:$H,5,0),0)</f>
        <v/>
      </c>
      <c r="M103">
        <f>IFERROR(VLOOKUP(D103,'Schedule Lookup'!$A:$H,6,0),0)</f>
        <v/>
      </c>
      <c r="N103">
        <f>IFERROR(VLOOKUP(D103,'Schedule Lookup'!$A:$H,7,0),0)</f>
        <v/>
      </c>
      <c r="O103">
        <f>IFERROR(VLOOKUP(D103,'Schedule Lookup'!$A:$H,8,0),0)</f>
        <v/>
      </c>
      <c r="T103">
        <f>IF(AND(E103&lt;TIME(9,0,0),F103&gt;TIME(0,0,1)),1,0)</f>
        <v/>
      </c>
      <c r="U103">
        <f>IF(AND(E103&lt;TIME(17,0,0),F103&gt;TIME(9,0,0)),1,0)</f>
        <v/>
      </c>
      <c r="V103">
        <f>IF(AND(E103&lt;TIME(21,0,0),F103&gt;TIME(17,0,0)),1,0)</f>
        <v/>
      </c>
      <c r="W103">
        <f>IF(F103&gt;TIME(17,0,0),1,0)</f>
        <v/>
      </c>
    </row>
    <row r="104">
      <c r="I104">
        <f>IFERROR(VLOOKUP(D104,'Schedule Lookup'!$A:$H,2,0),0)</f>
        <v/>
      </c>
      <c r="J104">
        <f>IFERROR(VLOOKUP(D104,'Schedule Lookup'!$A:$H,3,0),0)</f>
        <v/>
      </c>
      <c r="K104">
        <f>IFERROR(VLOOKUP(D104,'Schedule Lookup'!$A:$H,4,0),0)</f>
        <v/>
      </c>
      <c r="L104">
        <f>IFERROR(VLOOKUP(D104,'Schedule Lookup'!$A:$H,5,0),0)</f>
        <v/>
      </c>
      <c r="M104">
        <f>IFERROR(VLOOKUP(D104,'Schedule Lookup'!$A:$H,6,0),0)</f>
        <v/>
      </c>
      <c r="N104">
        <f>IFERROR(VLOOKUP(D104,'Schedule Lookup'!$A:$H,7,0),0)</f>
        <v/>
      </c>
      <c r="O104">
        <f>IFERROR(VLOOKUP(D104,'Schedule Lookup'!$A:$H,8,0),0)</f>
        <v/>
      </c>
      <c r="T104">
        <f>IF(AND(E104&lt;TIME(9,0,0),F104&gt;TIME(0,0,1)),1,0)</f>
        <v/>
      </c>
      <c r="U104">
        <f>IF(AND(E104&lt;TIME(17,0,0),F104&gt;TIME(9,0,0)),1,0)</f>
        <v/>
      </c>
      <c r="V104">
        <f>IF(AND(E104&lt;TIME(21,0,0),F104&gt;TIME(17,0,0)),1,0)</f>
        <v/>
      </c>
      <c r="W104">
        <f>IF(F104&gt;TIME(17,0,0),1,0)</f>
        <v/>
      </c>
    </row>
    <row r="105">
      <c r="I105">
        <f>IFERROR(VLOOKUP(D105,'Schedule Lookup'!$A:$H,2,0),0)</f>
        <v/>
      </c>
      <c r="J105">
        <f>IFERROR(VLOOKUP(D105,'Schedule Lookup'!$A:$H,3,0),0)</f>
        <v/>
      </c>
      <c r="K105">
        <f>IFERROR(VLOOKUP(D105,'Schedule Lookup'!$A:$H,4,0),0)</f>
        <v/>
      </c>
      <c r="L105">
        <f>IFERROR(VLOOKUP(D105,'Schedule Lookup'!$A:$H,5,0),0)</f>
        <v/>
      </c>
      <c r="M105">
        <f>IFERROR(VLOOKUP(D105,'Schedule Lookup'!$A:$H,6,0),0)</f>
        <v/>
      </c>
      <c r="N105">
        <f>IFERROR(VLOOKUP(D105,'Schedule Lookup'!$A:$H,7,0),0)</f>
        <v/>
      </c>
      <c r="O105">
        <f>IFERROR(VLOOKUP(D105,'Schedule Lookup'!$A:$H,8,0),0)</f>
        <v/>
      </c>
      <c r="T105">
        <f>IF(AND(E105&lt;TIME(9,0,0),F105&gt;TIME(0,0,1)),1,0)</f>
        <v/>
      </c>
      <c r="U105">
        <f>IF(AND(E105&lt;TIME(17,0,0),F105&gt;TIME(9,0,0)),1,0)</f>
        <v/>
      </c>
      <c r="V105">
        <f>IF(AND(E105&lt;TIME(21,0,0),F105&gt;TIME(17,0,0)),1,0)</f>
        <v/>
      </c>
      <c r="W105">
        <f>IF(F105&gt;TIME(17,0,0),1,0)</f>
        <v/>
      </c>
    </row>
    <row r="106">
      <c r="I106">
        <f>IFERROR(VLOOKUP(D106,'Schedule Lookup'!$A:$H,2,0),0)</f>
        <v/>
      </c>
      <c r="J106">
        <f>IFERROR(VLOOKUP(D106,'Schedule Lookup'!$A:$H,3,0),0)</f>
        <v/>
      </c>
      <c r="K106">
        <f>IFERROR(VLOOKUP(D106,'Schedule Lookup'!$A:$H,4,0),0)</f>
        <v/>
      </c>
      <c r="L106">
        <f>IFERROR(VLOOKUP(D106,'Schedule Lookup'!$A:$H,5,0),0)</f>
        <v/>
      </c>
      <c r="M106">
        <f>IFERROR(VLOOKUP(D106,'Schedule Lookup'!$A:$H,6,0),0)</f>
        <v/>
      </c>
      <c r="N106">
        <f>IFERROR(VLOOKUP(D106,'Schedule Lookup'!$A:$H,7,0),0)</f>
        <v/>
      </c>
      <c r="O106">
        <f>IFERROR(VLOOKUP(D106,'Schedule Lookup'!$A:$H,8,0),0)</f>
        <v/>
      </c>
      <c r="T106">
        <f>IF(AND(E106&lt;TIME(9,0,0),F106&gt;TIME(0,0,1)),1,0)</f>
        <v/>
      </c>
      <c r="U106">
        <f>IF(AND(E106&lt;TIME(17,0,0),F106&gt;TIME(9,0,0)),1,0)</f>
        <v/>
      </c>
      <c r="V106">
        <f>IF(AND(E106&lt;TIME(21,0,0),F106&gt;TIME(17,0,0)),1,0)</f>
        <v/>
      </c>
      <c r="W106">
        <f>IF(F106&gt;TIME(17,0,0),1,0)</f>
        <v/>
      </c>
    </row>
    <row r="107">
      <c r="I107">
        <f>IFERROR(VLOOKUP(D107,'Schedule Lookup'!$A:$H,2,0),0)</f>
        <v/>
      </c>
      <c r="J107">
        <f>IFERROR(VLOOKUP(D107,'Schedule Lookup'!$A:$H,3,0),0)</f>
        <v/>
      </c>
      <c r="K107">
        <f>IFERROR(VLOOKUP(D107,'Schedule Lookup'!$A:$H,4,0),0)</f>
        <v/>
      </c>
      <c r="L107">
        <f>IFERROR(VLOOKUP(D107,'Schedule Lookup'!$A:$H,5,0),0)</f>
        <v/>
      </c>
      <c r="M107">
        <f>IFERROR(VLOOKUP(D107,'Schedule Lookup'!$A:$H,6,0),0)</f>
        <v/>
      </c>
      <c r="N107">
        <f>IFERROR(VLOOKUP(D107,'Schedule Lookup'!$A:$H,7,0),0)</f>
        <v/>
      </c>
      <c r="O107">
        <f>IFERROR(VLOOKUP(D107,'Schedule Lookup'!$A:$H,8,0),0)</f>
        <v/>
      </c>
      <c r="T107">
        <f>IF(AND(E107&lt;TIME(9,0,0),F107&gt;TIME(0,0,1)),1,0)</f>
        <v/>
      </c>
      <c r="U107">
        <f>IF(AND(E107&lt;TIME(17,0,0),F107&gt;TIME(9,0,0)),1,0)</f>
        <v/>
      </c>
      <c r="V107">
        <f>IF(AND(E107&lt;TIME(21,0,0),F107&gt;TIME(17,0,0)),1,0)</f>
        <v/>
      </c>
      <c r="W107">
        <f>IF(F107&gt;TIME(17,0,0),1,0)</f>
        <v/>
      </c>
    </row>
    <row r="108">
      <c r="I108">
        <f>IFERROR(VLOOKUP(D108,'Schedule Lookup'!$A:$H,2,0),0)</f>
        <v/>
      </c>
      <c r="J108">
        <f>IFERROR(VLOOKUP(D108,'Schedule Lookup'!$A:$H,3,0),0)</f>
        <v/>
      </c>
      <c r="K108">
        <f>IFERROR(VLOOKUP(D108,'Schedule Lookup'!$A:$H,4,0),0)</f>
        <v/>
      </c>
      <c r="L108">
        <f>IFERROR(VLOOKUP(D108,'Schedule Lookup'!$A:$H,5,0),0)</f>
        <v/>
      </c>
      <c r="M108">
        <f>IFERROR(VLOOKUP(D108,'Schedule Lookup'!$A:$H,6,0),0)</f>
        <v/>
      </c>
      <c r="N108">
        <f>IFERROR(VLOOKUP(D108,'Schedule Lookup'!$A:$H,7,0),0)</f>
        <v/>
      </c>
      <c r="O108">
        <f>IFERROR(VLOOKUP(D108,'Schedule Lookup'!$A:$H,8,0),0)</f>
        <v/>
      </c>
      <c r="T108">
        <f>IF(AND(E108&lt;TIME(9,0,0),F108&gt;TIME(0,0,1)),1,0)</f>
        <v/>
      </c>
      <c r="U108">
        <f>IF(AND(E108&lt;TIME(17,0,0),F108&gt;TIME(9,0,0)),1,0)</f>
        <v/>
      </c>
      <c r="V108">
        <f>IF(AND(E108&lt;TIME(21,0,0),F108&gt;TIME(17,0,0)),1,0)</f>
        <v/>
      </c>
      <c r="W108">
        <f>IF(F108&gt;TIME(17,0,0),1,0)</f>
        <v/>
      </c>
    </row>
    <row r="109">
      <c r="I109">
        <f>IFERROR(VLOOKUP(D109,'Schedule Lookup'!$A:$H,2,0),0)</f>
        <v/>
      </c>
      <c r="J109">
        <f>IFERROR(VLOOKUP(D109,'Schedule Lookup'!$A:$H,3,0),0)</f>
        <v/>
      </c>
      <c r="K109">
        <f>IFERROR(VLOOKUP(D109,'Schedule Lookup'!$A:$H,4,0),0)</f>
        <v/>
      </c>
      <c r="L109">
        <f>IFERROR(VLOOKUP(D109,'Schedule Lookup'!$A:$H,5,0),0)</f>
        <v/>
      </c>
      <c r="M109">
        <f>IFERROR(VLOOKUP(D109,'Schedule Lookup'!$A:$H,6,0),0)</f>
        <v/>
      </c>
      <c r="N109">
        <f>IFERROR(VLOOKUP(D109,'Schedule Lookup'!$A:$H,7,0),0)</f>
        <v/>
      </c>
      <c r="O109">
        <f>IFERROR(VLOOKUP(D109,'Schedule Lookup'!$A:$H,8,0),0)</f>
        <v/>
      </c>
      <c r="T109">
        <f>IF(AND(E109&lt;TIME(9,0,0),F109&gt;TIME(0,0,1)),1,0)</f>
        <v/>
      </c>
      <c r="U109">
        <f>IF(AND(E109&lt;TIME(17,0,0),F109&gt;TIME(9,0,0)),1,0)</f>
        <v/>
      </c>
      <c r="V109">
        <f>IF(AND(E109&lt;TIME(21,0,0),F109&gt;TIME(17,0,0)),1,0)</f>
        <v/>
      </c>
      <c r="W109">
        <f>IF(F109&gt;TIME(17,0,0),1,0)</f>
        <v/>
      </c>
    </row>
    <row r="110">
      <c r="I110">
        <f>IFERROR(VLOOKUP(D110,'Schedule Lookup'!$A:$H,2,0),0)</f>
        <v/>
      </c>
      <c r="J110">
        <f>IFERROR(VLOOKUP(D110,'Schedule Lookup'!$A:$H,3,0),0)</f>
        <v/>
      </c>
      <c r="K110">
        <f>IFERROR(VLOOKUP(D110,'Schedule Lookup'!$A:$H,4,0),0)</f>
        <v/>
      </c>
      <c r="L110">
        <f>IFERROR(VLOOKUP(D110,'Schedule Lookup'!$A:$H,5,0),0)</f>
        <v/>
      </c>
      <c r="M110">
        <f>IFERROR(VLOOKUP(D110,'Schedule Lookup'!$A:$H,6,0),0)</f>
        <v/>
      </c>
      <c r="N110">
        <f>IFERROR(VLOOKUP(D110,'Schedule Lookup'!$A:$H,7,0),0)</f>
        <v/>
      </c>
      <c r="O110">
        <f>IFERROR(VLOOKUP(D110,'Schedule Lookup'!$A:$H,8,0),0)</f>
        <v/>
      </c>
      <c r="T110">
        <f>IF(AND(E110&lt;TIME(9,0,0),F110&gt;TIME(0,0,1)),1,0)</f>
        <v/>
      </c>
      <c r="U110">
        <f>IF(AND(E110&lt;TIME(17,0,0),F110&gt;TIME(9,0,0)),1,0)</f>
        <v/>
      </c>
      <c r="V110">
        <f>IF(AND(E110&lt;TIME(21,0,0),F110&gt;TIME(17,0,0)),1,0)</f>
        <v/>
      </c>
      <c r="W110">
        <f>IF(F110&gt;TIME(17,0,0),1,0)</f>
        <v/>
      </c>
    </row>
    <row r="111">
      <c r="I111">
        <f>IFERROR(VLOOKUP(D111,'Schedule Lookup'!$A:$H,2,0),0)</f>
        <v/>
      </c>
      <c r="J111">
        <f>IFERROR(VLOOKUP(D111,'Schedule Lookup'!$A:$H,3,0),0)</f>
        <v/>
      </c>
      <c r="K111">
        <f>IFERROR(VLOOKUP(D111,'Schedule Lookup'!$A:$H,4,0),0)</f>
        <v/>
      </c>
      <c r="L111">
        <f>IFERROR(VLOOKUP(D111,'Schedule Lookup'!$A:$H,5,0),0)</f>
        <v/>
      </c>
      <c r="M111">
        <f>IFERROR(VLOOKUP(D111,'Schedule Lookup'!$A:$H,6,0),0)</f>
        <v/>
      </c>
      <c r="N111">
        <f>IFERROR(VLOOKUP(D111,'Schedule Lookup'!$A:$H,7,0),0)</f>
        <v/>
      </c>
      <c r="O111">
        <f>IFERROR(VLOOKUP(D111,'Schedule Lookup'!$A:$H,8,0),0)</f>
        <v/>
      </c>
      <c r="T111">
        <f>IF(AND(E111&lt;TIME(9,0,0),F111&gt;TIME(0,0,1)),1,0)</f>
        <v/>
      </c>
      <c r="U111">
        <f>IF(AND(E111&lt;TIME(17,0,0),F111&gt;TIME(9,0,0)),1,0)</f>
        <v/>
      </c>
      <c r="V111">
        <f>IF(AND(E111&lt;TIME(21,0,0),F111&gt;TIME(17,0,0)),1,0)</f>
        <v/>
      </c>
      <c r="W111">
        <f>IF(F111&gt;TIME(17,0,0),1,0)</f>
        <v/>
      </c>
    </row>
    <row r="112">
      <c r="I112">
        <f>IFERROR(VLOOKUP(D112,'Schedule Lookup'!$A:$H,2,0),0)</f>
        <v/>
      </c>
      <c r="J112">
        <f>IFERROR(VLOOKUP(D112,'Schedule Lookup'!$A:$H,3,0),0)</f>
        <v/>
      </c>
      <c r="K112">
        <f>IFERROR(VLOOKUP(D112,'Schedule Lookup'!$A:$H,4,0),0)</f>
        <v/>
      </c>
      <c r="L112">
        <f>IFERROR(VLOOKUP(D112,'Schedule Lookup'!$A:$H,5,0),0)</f>
        <v/>
      </c>
      <c r="M112">
        <f>IFERROR(VLOOKUP(D112,'Schedule Lookup'!$A:$H,6,0),0)</f>
        <v/>
      </c>
      <c r="N112">
        <f>IFERROR(VLOOKUP(D112,'Schedule Lookup'!$A:$H,7,0),0)</f>
        <v/>
      </c>
      <c r="O112">
        <f>IFERROR(VLOOKUP(D112,'Schedule Lookup'!$A:$H,8,0),0)</f>
        <v/>
      </c>
      <c r="T112">
        <f>IF(AND(E112&lt;TIME(9,0,0),F112&gt;TIME(0,0,1)),1,0)</f>
        <v/>
      </c>
      <c r="U112">
        <f>IF(AND(E112&lt;TIME(17,0,0),F112&gt;TIME(9,0,0)),1,0)</f>
        <v/>
      </c>
      <c r="V112">
        <f>IF(AND(E112&lt;TIME(21,0,0),F112&gt;TIME(17,0,0)),1,0)</f>
        <v/>
      </c>
      <c r="W112">
        <f>IF(F112&gt;TIME(17,0,0),1,0)</f>
        <v/>
      </c>
    </row>
    <row r="113">
      <c r="I113">
        <f>IFERROR(VLOOKUP(D113,'Schedule Lookup'!$A:$H,2,0),0)</f>
        <v/>
      </c>
      <c r="J113">
        <f>IFERROR(VLOOKUP(D113,'Schedule Lookup'!$A:$H,3,0),0)</f>
        <v/>
      </c>
      <c r="K113">
        <f>IFERROR(VLOOKUP(D113,'Schedule Lookup'!$A:$H,4,0),0)</f>
        <v/>
      </c>
      <c r="L113">
        <f>IFERROR(VLOOKUP(D113,'Schedule Lookup'!$A:$H,5,0),0)</f>
        <v/>
      </c>
      <c r="M113">
        <f>IFERROR(VLOOKUP(D113,'Schedule Lookup'!$A:$H,6,0),0)</f>
        <v/>
      </c>
      <c r="N113">
        <f>IFERROR(VLOOKUP(D113,'Schedule Lookup'!$A:$H,7,0),0)</f>
        <v/>
      </c>
      <c r="O113">
        <f>IFERROR(VLOOKUP(D113,'Schedule Lookup'!$A:$H,8,0),0)</f>
        <v/>
      </c>
      <c r="T113">
        <f>IF(AND(E113&lt;TIME(9,0,0),F113&gt;TIME(0,0,1)),1,0)</f>
        <v/>
      </c>
      <c r="U113">
        <f>IF(AND(E113&lt;TIME(17,0,0),F113&gt;TIME(9,0,0)),1,0)</f>
        <v/>
      </c>
      <c r="V113">
        <f>IF(AND(E113&lt;TIME(21,0,0),F113&gt;TIME(17,0,0)),1,0)</f>
        <v/>
      </c>
      <c r="W113">
        <f>IF(F113&gt;TIME(17,0,0),1,0)</f>
        <v/>
      </c>
    </row>
    <row r="114">
      <c r="I114">
        <f>IFERROR(VLOOKUP(D114,'Schedule Lookup'!$A:$H,2,0),0)</f>
        <v/>
      </c>
      <c r="J114">
        <f>IFERROR(VLOOKUP(D114,'Schedule Lookup'!$A:$H,3,0),0)</f>
        <v/>
      </c>
      <c r="K114">
        <f>IFERROR(VLOOKUP(D114,'Schedule Lookup'!$A:$H,4,0),0)</f>
        <v/>
      </c>
      <c r="L114">
        <f>IFERROR(VLOOKUP(D114,'Schedule Lookup'!$A:$H,5,0),0)</f>
        <v/>
      </c>
      <c r="M114">
        <f>IFERROR(VLOOKUP(D114,'Schedule Lookup'!$A:$H,6,0),0)</f>
        <v/>
      </c>
      <c r="N114">
        <f>IFERROR(VLOOKUP(D114,'Schedule Lookup'!$A:$H,7,0),0)</f>
        <v/>
      </c>
      <c r="O114">
        <f>IFERROR(VLOOKUP(D114,'Schedule Lookup'!$A:$H,8,0),0)</f>
        <v/>
      </c>
      <c r="T114">
        <f>IF(AND(E114&lt;TIME(9,0,0),F114&gt;TIME(0,0,1)),1,0)</f>
        <v/>
      </c>
      <c r="U114">
        <f>IF(AND(E114&lt;TIME(17,0,0),F114&gt;TIME(9,0,0)),1,0)</f>
        <v/>
      </c>
      <c r="V114">
        <f>IF(AND(E114&lt;TIME(21,0,0),F114&gt;TIME(17,0,0)),1,0)</f>
        <v/>
      </c>
      <c r="W114">
        <f>IF(F114&gt;TIME(17,0,0),1,0)</f>
        <v/>
      </c>
    </row>
    <row r="115">
      <c r="I115">
        <f>IFERROR(VLOOKUP(D115,'Schedule Lookup'!$A:$H,2,0),0)</f>
        <v/>
      </c>
      <c r="J115">
        <f>IFERROR(VLOOKUP(D115,'Schedule Lookup'!$A:$H,3,0),0)</f>
        <v/>
      </c>
      <c r="K115">
        <f>IFERROR(VLOOKUP(D115,'Schedule Lookup'!$A:$H,4,0),0)</f>
        <v/>
      </c>
      <c r="L115">
        <f>IFERROR(VLOOKUP(D115,'Schedule Lookup'!$A:$H,5,0),0)</f>
        <v/>
      </c>
      <c r="M115">
        <f>IFERROR(VLOOKUP(D115,'Schedule Lookup'!$A:$H,6,0),0)</f>
        <v/>
      </c>
      <c r="N115">
        <f>IFERROR(VLOOKUP(D115,'Schedule Lookup'!$A:$H,7,0),0)</f>
        <v/>
      </c>
      <c r="O115">
        <f>IFERROR(VLOOKUP(D115,'Schedule Lookup'!$A:$H,8,0),0)</f>
        <v/>
      </c>
      <c r="T115">
        <f>IF(AND(E115&lt;TIME(9,0,0),F115&gt;TIME(0,0,1)),1,0)</f>
        <v/>
      </c>
      <c r="U115">
        <f>IF(AND(E115&lt;TIME(17,0,0),F115&gt;TIME(9,0,0)),1,0)</f>
        <v/>
      </c>
      <c r="V115">
        <f>IF(AND(E115&lt;TIME(21,0,0),F115&gt;TIME(17,0,0)),1,0)</f>
        <v/>
      </c>
      <c r="W115">
        <f>IF(F115&gt;TIME(17,0,0),1,0)</f>
        <v/>
      </c>
    </row>
    <row r="116">
      <c r="I116">
        <f>IFERROR(VLOOKUP(D116,'Schedule Lookup'!$A:$H,2,0),0)</f>
        <v/>
      </c>
      <c r="J116">
        <f>IFERROR(VLOOKUP(D116,'Schedule Lookup'!$A:$H,3,0),0)</f>
        <v/>
      </c>
      <c r="K116">
        <f>IFERROR(VLOOKUP(D116,'Schedule Lookup'!$A:$H,4,0),0)</f>
        <v/>
      </c>
      <c r="L116">
        <f>IFERROR(VLOOKUP(D116,'Schedule Lookup'!$A:$H,5,0),0)</f>
        <v/>
      </c>
      <c r="M116">
        <f>IFERROR(VLOOKUP(D116,'Schedule Lookup'!$A:$H,6,0),0)</f>
        <v/>
      </c>
      <c r="N116">
        <f>IFERROR(VLOOKUP(D116,'Schedule Lookup'!$A:$H,7,0),0)</f>
        <v/>
      </c>
      <c r="O116">
        <f>IFERROR(VLOOKUP(D116,'Schedule Lookup'!$A:$H,8,0),0)</f>
        <v/>
      </c>
      <c r="T116">
        <f>IF(AND(E116&lt;TIME(9,0,0),F116&gt;TIME(0,0,1)),1,0)</f>
        <v/>
      </c>
      <c r="U116">
        <f>IF(AND(E116&lt;TIME(17,0,0),F116&gt;TIME(9,0,0)),1,0)</f>
        <v/>
      </c>
      <c r="V116">
        <f>IF(AND(E116&lt;TIME(21,0,0),F116&gt;TIME(17,0,0)),1,0)</f>
        <v/>
      </c>
      <c r="W116">
        <f>IF(F116&gt;TIME(17,0,0),1,0)</f>
        <v/>
      </c>
    </row>
    <row r="117">
      <c r="I117">
        <f>IFERROR(VLOOKUP(D117,'Schedule Lookup'!$A:$H,2,0),0)</f>
        <v/>
      </c>
      <c r="J117">
        <f>IFERROR(VLOOKUP(D117,'Schedule Lookup'!$A:$H,3,0),0)</f>
        <v/>
      </c>
      <c r="K117">
        <f>IFERROR(VLOOKUP(D117,'Schedule Lookup'!$A:$H,4,0),0)</f>
        <v/>
      </c>
      <c r="L117">
        <f>IFERROR(VLOOKUP(D117,'Schedule Lookup'!$A:$H,5,0),0)</f>
        <v/>
      </c>
      <c r="M117">
        <f>IFERROR(VLOOKUP(D117,'Schedule Lookup'!$A:$H,6,0),0)</f>
        <v/>
      </c>
      <c r="N117">
        <f>IFERROR(VLOOKUP(D117,'Schedule Lookup'!$A:$H,7,0),0)</f>
        <v/>
      </c>
      <c r="O117">
        <f>IFERROR(VLOOKUP(D117,'Schedule Lookup'!$A:$H,8,0),0)</f>
        <v/>
      </c>
      <c r="T117">
        <f>IF(AND(E117&lt;TIME(9,0,0),F117&gt;TIME(0,0,1)),1,0)</f>
        <v/>
      </c>
      <c r="U117">
        <f>IF(AND(E117&lt;TIME(17,0,0),F117&gt;TIME(9,0,0)),1,0)</f>
        <v/>
      </c>
      <c r="V117">
        <f>IF(AND(E117&lt;TIME(21,0,0),F117&gt;TIME(17,0,0)),1,0)</f>
        <v/>
      </c>
      <c r="W117">
        <f>IF(F117&gt;TIME(17,0,0),1,0)</f>
        <v/>
      </c>
    </row>
    <row r="118">
      <c r="I118">
        <f>IFERROR(VLOOKUP(D118,'Schedule Lookup'!$A:$H,2,0),0)</f>
        <v/>
      </c>
      <c r="J118">
        <f>IFERROR(VLOOKUP(D118,'Schedule Lookup'!$A:$H,3,0),0)</f>
        <v/>
      </c>
      <c r="K118">
        <f>IFERROR(VLOOKUP(D118,'Schedule Lookup'!$A:$H,4,0),0)</f>
        <v/>
      </c>
      <c r="L118">
        <f>IFERROR(VLOOKUP(D118,'Schedule Lookup'!$A:$H,5,0),0)</f>
        <v/>
      </c>
      <c r="M118">
        <f>IFERROR(VLOOKUP(D118,'Schedule Lookup'!$A:$H,6,0),0)</f>
        <v/>
      </c>
      <c r="N118">
        <f>IFERROR(VLOOKUP(D118,'Schedule Lookup'!$A:$H,7,0),0)</f>
        <v/>
      </c>
      <c r="O118">
        <f>IFERROR(VLOOKUP(D118,'Schedule Lookup'!$A:$H,8,0),0)</f>
        <v/>
      </c>
      <c r="T118">
        <f>IF(AND(E118&lt;TIME(9,0,0),F118&gt;TIME(0,0,1)),1,0)</f>
        <v/>
      </c>
      <c r="U118">
        <f>IF(AND(E118&lt;TIME(17,0,0),F118&gt;TIME(9,0,0)),1,0)</f>
        <v/>
      </c>
      <c r="V118">
        <f>IF(AND(E118&lt;TIME(21,0,0),F118&gt;TIME(17,0,0)),1,0)</f>
        <v/>
      </c>
      <c r="W118">
        <f>IF(F118&gt;TIME(17,0,0),1,0)</f>
        <v/>
      </c>
    </row>
    <row r="119">
      <c r="I119">
        <f>IFERROR(VLOOKUP(D119,'Schedule Lookup'!$A:$H,2,0),0)</f>
        <v/>
      </c>
      <c r="J119">
        <f>IFERROR(VLOOKUP(D119,'Schedule Lookup'!$A:$H,3,0),0)</f>
        <v/>
      </c>
      <c r="K119">
        <f>IFERROR(VLOOKUP(D119,'Schedule Lookup'!$A:$H,4,0),0)</f>
        <v/>
      </c>
      <c r="L119">
        <f>IFERROR(VLOOKUP(D119,'Schedule Lookup'!$A:$H,5,0),0)</f>
        <v/>
      </c>
      <c r="M119">
        <f>IFERROR(VLOOKUP(D119,'Schedule Lookup'!$A:$H,6,0),0)</f>
        <v/>
      </c>
      <c r="N119">
        <f>IFERROR(VLOOKUP(D119,'Schedule Lookup'!$A:$H,7,0),0)</f>
        <v/>
      </c>
      <c r="O119">
        <f>IFERROR(VLOOKUP(D119,'Schedule Lookup'!$A:$H,8,0),0)</f>
        <v/>
      </c>
      <c r="T119">
        <f>IF(AND(E119&lt;TIME(9,0,0),F119&gt;TIME(0,0,1)),1,0)</f>
        <v/>
      </c>
      <c r="U119">
        <f>IF(AND(E119&lt;TIME(17,0,0),F119&gt;TIME(9,0,0)),1,0)</f>
        <v/>
      </c>
      <c r="V119">
        <f>IF(AND(E119&lt;TIME(21,0,0),F119&gt;TIME(17,0,0)),1,0)</f>
        <v/>
      </c>
      <c r="W119">
        <f>IF(F119&gt;TIME(17,0,0),1,0)</f>
        <v/>
      </c>
    </row>
    <row r="120">
      <c r="I120">
        <f>IFERROR(VLOOKUP(D120,'Schedule Lookup'!$A:$H,2,0),0)</f>
        <v/>
      </c>
      <c r="J120">
        <f>IFERROR(VLOOKUP(D120,'Schedule Lookup'!$A:$H,3,0),0)</f>
        <v/>
      </c>
      <c r="K120">
        <f>IFERROR(VLOOKUP(D120,'Schedule Lookup'!$A:$H,4,0),0)</f>
        <v/>
      </c>
      <c r="L120">
        <f>IFERROR(VLOOKUP(D120,'Schedule Lookup'!$A:$H,5,0),0)</f>
        <v/>
      </c>
      <c r="M120">
        <f>IFERROR(VLOOKUP(D120,'Schedule Lookup'!$A:$H,6,0),0)</f>
        <v/>
      </c>
      <c r="N120">
        <f>IFERROR(VLOOKUP(D120,'Schedule Lookup'!$A:$H,7,0),0)</f>
        <v/>
      </c>
      <c r="O120">
        <f>IFERROR(VLOOKUP(D120,'Schedule Lookup'!$A:$H,8,0),0)</f>
        <v/>
      </c>
      <c r="T120">
        <f>IF(AND(E120&lt;TIME(9,0,0),F120&gt;TIME(0,0,1)),1,0)</f>
        <v/>
      </c>
      <c r="U120">
        <f>IF(AND(E120&lt;TIME(17,0,0),F120&gt;TIME(9,0,0)),1,0)</f>
        <v/>
      </c>
      <c r="V120">
        <f>IF(AND(E120&lt;TIME(21,0,0),F120&gt;TIME(17,0,0)),1,0)</f>
        <v/>
      </c>
      <c r="W120">
        <f>IF(F120&gt;TIME(17,0,0),1,0)</f>
        <v/>
      </c>
    </row>
    <row r="121">
      <c r="I121">
        <f>IFERROR(VLOOKUP(D121,'Schedule Lookup'!$A:$H,2,0),0)</f>
        <v/>
      </c>
      <c r="J121">
        <f>IFERROR(VLOOKUP(D121,'Schedule Lookup'!$A:$H,3,0),0)</f>
        <v/>
      </c>
      <c r="K121">
        <f>IFERROR(VLOOKUP(D121,'Schedule Lookup'!$A:$H,4,0),0)</f>
        <v/>
      </c>
      <c r="L121">
        <f>IFERROR(VLOOKUP(D121,'Schedule Lookup'!$A:$H,5,0),0)</f>
        <v/>
      </c>
      <c r="M121">
        <f>IFERROR(VLOOKUP(D121,'Schedule Lookup'!$A:$H,6,0),0)</f>
        <v/>
      </c>
      <c r="N121">
        <f>IFERROR(VLOOKUP(D121,'Schedule Lookup'!$A:$H,7,0),0)</f>
        <v/>
      </c>
      <c r="O121">
        <f>IFERROR(VLOOKUP(D121,'Schedule Lookup'!$A:$H,8,0),0)</f>
        <v/>
      </c>
      <c r="T121">
        <f>IF(AND(E121&lt;TIME(9,0,0),F121&gt;TIME(0,0,1)),1,0)</f>
        <v/>
      </c>
      <c r="U121">
        <f>IF(AND(E121&lt;TIME(17,0,0),F121&gt;TIME(9,0,0)),1,0)</f>
        <v/>
      </c>
      <c r="V121">
        <f>IF(AND(E121&lt;TIME(21,0,0),F121&gt;TIME(17,0,0)),1,0)</f>
        <v/>
      </c>
      <c r="W121">
        <f>IF(F121&gt;TIME(17,0,0),1,0)</f>
        <v/>
      </c>
    </row>
    <row r="122">
      <c r="I122">
        <f>IFERROR(VLOOKUP(D122,'Schedule Lookup'!$A:$H,2,0),0)</f>
        <v/>
      </c>
      <c r="J122">
        <f>IFERROR(VLOOKUP(D122,'Schedule Lookup'!$A:$H,3,0),0)</f>
        <v/>
      </c>
      <c r="K122">
        <f>IFERROR(VLOOKUP(D122,'Schedule Lookup'!$A:$H,4,0),0)</f>
        <v/>
      </c>
      <c r="L122">
        <f>IFERROR(VLOOKUP(D122,'Schedule Lookup'!$A:$H,5,0),0)</f>
        <v/>
      </c>
      <c r="M122">
        <f>IFERROR(VLOOKUP(D122,'Schedule Lookup'!$A:$H,6,0),0)</f>
        <v/>
      </c>
      <c r="N122">
        <f>IFERROR(VLOOKUP(D122,'Schedule Lookup'!$A:$H,7,0),0)</f>
        <v/>
      </c>
      <c r="O122">
        <f>IFERROR(VLOOKUP(D122,'Schedule Lookup'!$A:$H,8,0),0)</f>
        <v/>
      </c>
      <c r="T122">
        <f>IF(AND(E122&lt;TIME(9,0,0),F122&gt;TIME(0,0,1)),1,0)</f>
        <v/>
      </c>
      <c r="U122">
        <f>IF(AND(E122&lt;TIME(17,0,0),F122&gt;TIME(9,0,0)),1,0)</f>
        <v/>
      </c>
      <c r="V122">
        <f>IF(AND(E122&lt;TIME(21,0,0),F122&gt;TIME(17,0,0)),1,0)</f>
        <v/>
      </c>
      <c r="W122">
        <f>IF(F122&gt;TIME(17,0,0),1,0)</f>
        <v/>
      </c>
    </row>
    <row r="123">
      <c r="I123">
        <f>IFERROR(VLOOKUP(D123,'Schedule Lookup'!$A:$H,2,0),0)</f>
        <v/>
      </c>
      <c r="J123">
        <f>IFERROR(VLOOKUP(D123,'Schedule Lookup'!$A:$H,3,0),0)</f>
        <v/>
      </c>
      <c r="K123">
        <f>IFERROR(VLOOKUP(D123,'Schedule Lookup'!$A:$H,4,0),0)</f>
        <v/>
      </c>
      <c r="L123">
        <f>IFERROR(VLOOKUP(D123,'Schedule Lookup'!$A:$H,5,0),0)</f>
        <v/>
      </c>
      <c r="M123">
        <f>IFERROR(VLOOKUP(D123,'Schedule Lookup'!$A:$H,6,0),0)</f>
        <v/>
      </c>
      <c r="N123">
        <f>IFERROR(VLOOKUP(D123,'Schedule Lookup'!$A:$H,7,0),0)</f>
        <v/>
      </c>
      <c r="O123">
        <f>IFERROR(VLOOKUP(D123,'Schedule Lookup'!$A:$H,8,0),0)</f>
        <v/>
      </c>
      <c r="T123">
        <f>IF(AND(E123&lt;TIME(9,0,0),F123&gt;TIME(0,0,1)),1,0)</f>
        <v/>
      </c>
      <c r="U123">
        <f>IF(AND(E123&lt;TIME(17,0,0),F123&gt;TIME(9,0,0)),1,0)</f>
        <v/>
      </c>
      <c r="V123">
        <f>IF(AND(E123&lt;TIME(21,0,0),F123&gt;TIME(17,0,0)),1,0)</f>
        <v/>
      </c>
      <c r="W123">
        <f>IF(F123&gt;TIME(17,0,0),1,0)</f>
        <v/>
      </c>
    </row>
    <row r="124">
      <c r="I124">
        <f>IFERROR(VLOOKUP(D124,'Schedule Lookup'!$A:$H,2,0),0)</f>
        <v/>
      </c>
      <c r="J124">
        <f>IFERROR(VLOOKUP(D124,'Schedule Lookup'!$A:$H,3,0),0)</f>
        <v/>
      </c>
      <c r="K124">
        <f>IFERROR(VLOOKUP(D124,'Schedule Lookup'!$A:$H,4,0),0)</f>
        <v/>
      </c>
      <c r="L124">
        <f>IFERROR(VLOOKUP(D124,'Schedule Lookup'!$A:$H,5,0),0)</f>
        <v/>
      </c>
      <c r="M124">
        <f>IFERROR(VLOOKUP(D124,'Schedule Lookup'!$A:$H,6,0),0)</f>
        <v/>
      </c>
      <c r="N124">
        <f>IFERROR(VLOOKUP(D124,'Schedule Lookup'!$A:$H,7,0),0)</f>
        <v/>
      </c>
      <c r="O124">
        <f>IFERROR(VLOOKUP(D124,'Schedule Lookup'!$A:$H,8,0),0)</f>
        <v/>
      </c>
      <c r="T124">
        <f>IF(AND(E124&lt;TIME(9,0,0),F124&gt;TIME(0,0,1)),1,0)</f>
        <v/>
      </c>
      <c r="U124">
        <f>IF(AND(E124&lt;TIME(17,0,0),F124&gt;TIME(9,0,0)),1,0)</f>
        <v/>
      </c>
      <c r="V124">
        <f>IF(AND(E124&lt;TIME(21,0,0),F124&gt;TIME(17,0,0)),1,0)</f>
        <v/>
      </c>
      <c r="W124">
        <f>IF(F124&gt;TIME(17,0,0),1,0)</f>
        <v/>
      </c>
    </row>
    <row r="125">
      <c r="I125">
        <f>IFERROR(VLOOKUP(D125,'Schedule Lookup'!$A:$H,2,0),0)</f>
        <v/>
      </c>
      <c r="J125">
        <f>IFERROR(VLOOKUP(D125,'Schedule Lookup'!$A:$H,3,0),0)</f>
        <v/>
      </c>
      <c r="K125">
        <f>IFERROR(VLOOKUP(D125,'Schedule Lookup'!$A:$H,4,0),0)</f>
        <v/>
      </c>
      <c r="L125">
        <f>IFERROR(VLOOKUP(D125,'Schedule Lookup'!$A:$H,5,0),0)</f>
        <v/>
      </c>
      <c r="M125">
        <f>IFERROR(VLOOKUP(D125,'Schedule Lookup'!$A:$H,6,0),0)</f>
        <v/>
      </c>
      <c r="N125">
        <f>IFERROR(VLOOKUP(D125,'Schedule Lookup'!$A:$H,7,0),0)</f>
        <v/>
      </c>
      <c r="O125">
        <f>IFERROR(VLOOKUP(D125,'Schedule Lookup'!$A:$H,8,0),0)</f>
        <v/>
      </c>
      <c r="T125">
        <f>IF(AND(E125&lt;TIME(9,0,0),F125&gt;TIME(0,0,1)),1,0)</f>
        <v/>
      </c>
      <c r="U125">
        <f>IF(AND(E125&lt;TIME(17,0,0),F125&gt;TIME(9,0,0)),1,0)</f>
        <v/>
      </c>
      <c r="V125">
        <f>IF(AND(E125&lt;TIME(21,0,0),F125&gt;TIME(17,0,0)),1,0)</f>
        <v/>
      </c>
      <c r="W125">
        <f>IF(F125&gt;TIME(17,0,0),1,0)</f>
        <v/>
      </c>
    </row>
    <row r="126">
      <c r="I126">
        <f>IFERROR(VLOOKUP(D126,'Schedule Lookup'!$A:$H,2,0),0)</f>
        <v/>
      </c>
      <c r="J126">
        <f>IFERROR(VLOOKUP(D126,'Schedule Lookup'!$A:$H,3,0),0)</f>
        <v/>
      </c>
      <c r="K126">
        <f>IFERROR(VLOOKUP(D126,'Schedule Lookup'!$A:$H,4,0),0)</f>
        <v/>
      </c>
      <c r="L126">
        <f>IFERROR(VLOOKUP(D126,'Schedule Lookup'!$A:$H,5,0),0)</f>
        <v/>
      </c>
      <c r="M126">
        <f>IFERROR(VLOOKUP(D126,'Schedule Lookup'!$A:$H,6,0),0)</f>
        <v/>
      </c>
      <c r="N126">
        <f>IFERROR(VLOOKUP(D126,'Schedule Lookup'!$A:$H,7,0),0)</f>
        <v/>
      </c>
      <c r="O126">
        <f>IFERROR(VLOOKUP(D126,'Schedule Lookup'!$A:$H,8,0),0)</f>
        <v/>
      </c>
      <c r="T126">
        <f>IF(AND(E126&lt;TIME(9,0,0),F126&gt;TIME(0,0,1)),1,0)</f>
        <v/>
      </c>
      <c r="U126">
        <f>IF(AND(E126&lt;TIME(17,0,0),F126&gt;TIME(9,0,0)),1,0)</f>
        <v/>
      </c>
      <c r="V126">
        <f>IF(AND(E126&lt;TIME(21,0,0),F126&gt;TIME(17,0,0)),1,0)</f>
        <v/>
      </c>
      <c r="W126">
        <f>IF(F126&gt;TIME(17,0,0),1,0)</f>
        <v/>
      </c>
    </row>
    <row r="127">
      <c r="I127">
        <f>IFERROR(VLOOKUP(D127,'Schedule Lookup'!$A:$H,2,0),0)</f>
        <v/>
      </c>
      <c r="J127">
        <f>IFERROR(VLOOKUP(D127,'Schedule Lookup'!$A:$H,3,0),0)</f>
        <v/>
      </c>
      <c r="K127">
        <f>IFERROR(VLOOKUP(D127,'Schedule Lookup'!$A:$H,4,0),0)</f>
        <v/>
      </c>
      <c r="L127">
        <f>IFERROR(VLOOKUP(D127,'Schedule Lookup'!$A:$H,5,0),0)</f>
        <v/>
      </c>
      <c r="M127">
        <f>IFERROR(VLOOKUP(D127,'Schedule Lookup'!$A:$H,6,0),0)</f>
        <v/>
      </c>
      <c r="N127">
        <f>IFERROR(VLOOKUP(D127,'Schedule Lookup'!$A:$H,7,0),0)</f>
        <v/>
      </c>
      <c r="O127">
        <f>IFERROR(VLOOKUP(D127,'Schedule Lookup'!$A:$H,8,0),0)</f>
        <v/>
      </c>
      <c r="T127">
        <f>IF(AND(E127&lt;TIME(9,0,0),F127&gt;TIME(0,0,1)),1,0)</f>
        <v/>
      </c>
      <c r="U127">
        <f>IF(AND(E127&lt;TIME(17,0,0),F127&gt;TIME(9,0,0)),1,0)</f>
        <v/>
      </c>
      <c r="V127">
        <f>IF(AND(E127&lt;TIME(21,0,0),F127&gt;TIME(17,0,0)),1,0)</f>
        <v/>
      </c>
      <c r="W127">
        <f>IF(F127&gt;TIME(17,0,0),1,0)</f>
        <v/>
      </c>
    </row>
    <row r="128">
      <c r="I128">
        <f>IFERROR(VLOOKUP(D128,'Schedule Lookup'!$A:$H,2,0),0)</f>
        <v/>
      </c>
      <c r="J128">
        <f>IFERROR(VLOOKUP(D128,'Schedule Lookup'!$A:$H,3,0),0)</f>
        <v/>
      </c>
      <c r="K128">
        <f>IFERROR(VLOOKUP(D128,'Schedule Lookup'!$A:$H,4,0),0)</f>
        <v/>
      </c>
      <c r="L128">
        <f>IFERROR(VLOOKUP(D128,'Schedule Lookup'!$A:$H,5,0),0)</f>
        <v/>
      </c>
      <c r="M128">
        <f>IFERROR(VLOOKUP(D128,'Schedule Lookup'!$A:$H,6,0),0)</f>
        <v/>
      </c>
      <c r="N128">
        <f>IFERROR(VLOOKUP(D128,'Schedule Lookup'!$A:$H,7,0),0)</f>
        <v/>
      </c>
      <c r="O128">
        <f>IFERROR(VLOOKUP(D128,'Schedule Lookup'!$A:$H,8,0),0)</f>
        <v/>
      </c>
      <c r="T128">
        <f>IF(AND(E128&lt;TIME(9,0,0),F128&gt;TIME(0,0,1)),1,0)</f>
        <v/>
      </c>
      <c r="U128">
        <f>IF(AND(E128&lt;TIME(17,0,0),F128&gt;TIME(9,0,0)),1,0)</f>
        <v/>
      </c>
      <c r="V128">
        <f>IF(AND(E128&lt;TIME(21,0,0),F128&gt;TIME(17,0,0)),1,0)</f>
        <v/>
      </c>
      <c r="W128">
        <f>IF(F128&gt;TIME(17,0,0),1,0)</f>
        <v/>
      </c>
    </row>
    <row r="129">
      <c r="I129">
        <f>IFERROR(VLOOKUP(D129,'Schedule Lookup'!$A:$H,2,0),0)</f>
        <v/>
      </c>
      <c r="J129">
        <f>IFERROR(VLOOKUP(D129,'Schedule Lookup'!$A:$H,3,0),0)</f>
        <v/>
      </c>
      <c r="K129">
        <f>IFERROR(VLOOKUP(D129,'Schedule Lookup'!$A:$H,4,0),0)</f>
        <v/>
      </c>
      <c r="L129">
        <f>IFERROR(VLOOKUP(D129,'Schedule Lookup'!$A:$H,5,0),0)</f>
        <v/>
      </c>
      <c r="M129">
        <f>IFERROR(VLOOKUP(D129,'Schedule Lookup'!$A:$H,6,0),0)</f>
        <v/>
      </c>
      <c r="N129">
        <f>IFERROR(VLOOKUP(D129,'Schedule Lookup'!$A:$H,7,0),0)</f>
        <v/>
      </c>
      <c r="O129">
        <f>IFERROR(VLOOKUP(D129,'Schedule Lookup'!$A:$H,8,0),0)</f>
        <v/>
      </c>
      <c r="T129">
        <f>IF(AND(E129&lt;TIME(9,0,0),F129&gt;TIME(0,0,1)),1,0)</f>
        <v/>
      </c>
      <c r="U129">
        <f>IF(AND(E129&lt;TIME(17,0,0),F129&gt;TIME(9,0,0)),1,0)</f>
        <v/>
      </c>
      <c r="V129">
        <f>IF(AND(E129&lt;TIME(21,0,0),F129&gt;TIME(17,0,0)),1,0)</f>
        <v/>
      </c>
      <c r="W129">
        <f>IF(F129&gt;TIME(17,0,0),1,0)</f>
        <v/>
      </c>
    </row>
    <row r="130">
      <c r="I130">
        <f>IFERROR(VLOOKUP(D130,'Schedule Lookup'!$A:$H,2,0),0)</f>
        <v/>
      </c>
      <c r="J130">
        <f>IFERROR(VLOOKUP(D130,'Schedule Lookup'!$A:$H,3,0),0)</f>
        <v/>
      </c>
      <c r="K130">
        <f>IFERROR(VLOOKUP(D130,'Schedule Lookup'!$A:$H,4,0),0)</f>
        <v/>
      </c>
      <c r="L130">
        <f>IFERROR(VLOOKUP(D130,'Schedule Lookup'!$A:$H,5,0),0)</f>
        <v/>
      </c>
      <c r="M130">
        <f>IFERROR(VLOOKUP(D130,'Schedule Lookup'!$A:$H,6,0),0)</f>
        <v/>
      </c>
      <c r="N130">
        <f>IFERROR(VLOOKUP(D130,'Schedule Lookup'!$A:$H,7,0),0)</f>
        <v/>
      </c>
      <c r="O130">
        <f>IFERROR(VLOOKUP(D130,'Schedule Lookup'!$A:$H,8,0),0)</f>
        <v/>
      </c>
      <c r="T130">
        <f>IF(AND(E130&lt;TIME(9,0,0),F130&gt;TIME(0,0,1)),1,0)</f>
        <v/>
      </c>
      <c r="U130">
        <f>IF(AND(E130&lt;TIME(17,0,0),F130&gt;TIME(9,0,0)),1,0)</f>
        <v/>
      </c>
      <c r="V130">
        <f>IF(AND(E130&lt;TIME(21,0,0),F130&gt;TIME(17,0,0)),1,0)</f>
        <v/>
      </c>
      <c r="W130">
        <f>IF(F130&gt;TIME(17,0,0),1,0)</f>
        <v/>
      </c>
    </row>
    <row r="131">
      <c r="I131">
        <f>IFERROR(VLOOKUP(D131,'Schedule Lookup'!$A:$H,2,0),0)</f>
        <v/>
      </c>
      <c r="J131">
        <f>IFERROR(VLOOKUP(D131,'Schedule Lookup'!$A:$H,3,0),0)</f>
        <v/>
      </c>
      <c r="K131">
        <f>IFERROR(VLOOKUP(D131,'Schedule Lookup'!$A:$H,4,0),0)</f>
        <v/>
      </c>
      <c r="L131">
        <f>IFERROR(VLOOKUP(D131,'Schedule Lookup'!$A:$H,5,0),0)</f>
        <v/>
      </c>
      <c r="M131">
        <f>IFERROR(VLOOKUP(D131,'Schedule Lookup'!$A:$H,6,0),0)</f>
        <v/>
      </c>
      <c r="N131">
        <f>IFERROR(VLOOKUP(D131,'Schedule Lookup'!$A:$H,7,0),0)</f>
        <v/>
      </c>
      <c r="O131">
        <f>IFERROR(VLOOKUP(D131,'Schedule Lookup'!$A:$H,8,0),0)</f>
        <v/>
      </c>
      <c r="T131">
        <f>IF(AND(E131&lt;TIME(9,0,0),F131&gt;TIME(0,0,1)),1,0)</f>
        <v/>
      </c>
      <c r="U131">
        <f>IF(AND(E131&lt;TIME(17,0,0),F131&gt;TIME(9,0,0)),1,0)</f>
        <v/>
      </c>
      <c r="V131">
        <f>IF(AND(E131&lt;TIME(21,0,0),F131&gt;TIME(17,0,0)),1,0)</f>
        <v/>
      </c>
      <c r="W131">
        <f>IF(F131&gt;TIME(17,0,0),1,0)</f>
        <v/>
      </c>
    </row>
    <row r="132">
      <c r="I132">
        <f>IFERROR(VLOOKUP(D132,'Schedule Lookup'!$A:$H,2,0),0)</f>
        <v/>
      </c>
      <c r="J132">
        <f>IFERROR(VLOOKUP(D132,'Schedule Lookup'!$A:$H,3,0),0)</f>
        <v/>
      </c>
      <c r="K132">
        <f>IFERROR(VLOOKUP(D132,'Schedule Lookup'!$A:$H,4,0),0)</f>
        <v/>
      </c>
      <c r="L132">
        <f>IFERROR(VLOOKUP(D132,'Schedule Lookup'!$A:$H,5,0),0)</f>
        <v/>
      </c>
      <c r="M132">
        <f>IFERROR(VLOOKUP(D132,'Schedule Lookup'!$A:$H,6,0),0)</f>
        <v/>
      </c>
      <c r="N132">
        <f>IFERROR(VLOOKUP(D132,'Schedule Lookup'!$A:$H,7,0),0)</f>
        <v/>
      </c>
      <c r="O132">
        <f>IFERROR(VLOOKUP(D132,'Schedule Lookup'!$A:$H,8,0),0)</f>
        <v/>
      </c>
      <c r="T132">
        <f>IF(AND(E132&lt;TIME(9,0,0),F132&gt;TIME(0,0,1)),1,0)</f>
        <v/>
      </c>
      <c r="U132">
        <f>IF(AND(E132&lt;TIME(17,0,0),F132&gt;TIME(9,0,0)),1,0)</f>
        <v/>
      </c>
      <c r="V132">
        <f>IF(AND(E132&lt;TIME(21,0,0),F132&gt;TIME(17,0,0)),1,0)</f>
        <v/>
      </c>
      <c r="W132">
        <f>IF(F132&gt;TIME(17,0,0),1,0)</f>
        <v/>
      </c>
    </row>
    <row r="133">
      <c r="I133">
        <f>IFERROR(VLOOKUP(D133,'Schedule Lookup'!$A:$H,2,0),0)</f>
        <v/>
      </c>
      <c r="J133">
        <f>IFERROR(VLOOKUP(D133,'Schedule Lookup'!$A:$H,3,0),0)</f>
        <v/>
      </c>
      <c r="K133">
        <f>IFERROR(VLOOKUP(D133,'Schedule Lookup'!$A:$H,4,0),0)</f>
        <v/>
      </c>
      <c r="L133">
        <f>IFERROR(VLOOKUP(D133,'Schedule Lookup'!$A:$H,5,0),0)</f>
        <v/>
      </c>
      <c r="M133">
        <f>IFERROR(VLOOKUP(D133,'Schedule Lookup'!$A:$H,6,0),0)</f>
        <v/>
      </c>
      <c r="N133">
        <f>IFERROR(VLOOKUP(D133,'Schedule Lookup'!$A:$H,7,0),0)</f>
        <v/>
      </c>
      <c r="O133">
        <f>IFERROR(VLOOKUP(D133,'Schedule Lookup'!$A:$H,8,0),0)</f>
        <v/>
      </c>
      <c r="T133">
        <f>IF(AND(E133&lt;TIME(9,0,0),F133&gt;TIME(0,0,1)),1,0)</f>
        <v/>
      </c>
      <c r="U133">
        <f>IF(AND(E133&lt;TIME(17,0,0),F133&gt;TIME(9,0,0)),1,0)</f>
        <v/>
      </c>
      <c r="V133">
        <f>IF(AND(E133&lt;TIME(21,0,0),F133&gt;TIME(17,0,0)),1,0)</f>
        <v/>
      </c>
      <c r="W133">
        <f>IF(F133&gt;TIME(17,0,0),1,0)</f>
        <v/>
      </c>
    </row>
    <row r="134">
      <c r="I134">
        <f>IFERROR(VLOOKUP(D134,'Schedule Lookup'!$A:$H,2,0),0)</f>
        <v/>
      </c>
      <c r="J134">
        <f>IFERROR(VLOOKUP(D134,'Schedule Lookup'!$A:$H,3,0),0)</f>
        <v/>
      </c>
      <c r="K134">
        <f>IFERROR(VLOOKUP(D134,'Schedule Lookup'!$A:$H,4,0),0)</f>
        <v/>
      </c>
      <c r="L134">
        <f>IFERROR(VLOOKUP(D134,'Schedule Lookup'!$A:$H,5,0),0)</f>
        <v/>
      </c>
      <c r="M134">
        <f>IFERROR(VLOOKUP(D134,'Schedule Lookup'!$A:$H,6,0),0)</f>
        <v/>
      </c>
      <c r="N134">
        <f>IFERROR(VLOOKUP(D134,'Schedule Lookup'!$A:$H,7,0),0)</f>
        <v/>
      </c>
      <c r="O134">
        <f>IFERROR(VLOOKUP(D134,'Schedule Lookup'!$A:$H,8,0),0)</f>
        <v/>
      </c>
      <c r="T134">
        <f>IF(AND(E134&lt;TIME(9,0,0),F134&gt;TIME(0,0,1)),1,0)</f>
        <v/>
      </c>
      <c r="U134">
        <f>IF(AND(E134&lt;TIME(17,0,0),F134&gt;TIME(9,0,0)),1,0)</f>
        <v/>
      </c>
      <c r="V134">
        <f>IF(AND(E134&lt;TIME(21,0,0),F134&gt;TIME(17,0,0)),1,0)</f>
        <v/>
      </c>
      <c r="W134">
        <f>IF(F134&gt;TIME(17,0,0),1,0)</f>
        <v/>
      </c>
    </row>
    <row r="135">
      <c r="I135">
        <f>IFERROR(VLOOKUP(D135,'Schedule Lookup'!$A:$H,2,0),0)</f>
        <v/>
      </c>
      <c r="J135">
        <f>IFERROR(VLOOKUP(D135,'Schedule Lookup'!$A:$H,3,0),0)</f>
        <v/>
      </c>
      <c r="K135">
        <f>IFERROR(VLOOKUP(D135,'Schedule Lookup'!$A:$H,4,0),0)</f>
        <v/>
      </c>
      <c r="L135">
        <f>IFERROR(VLOOKUP(D135,'Schedule Lookup'!$A:$H,5,0),0)</f>
        <v/>
      </c>
      <c r="M135">
        <f>IFERROR(VLOOKUP(D135,'Schedule Lookup'!$A:$H,6,0),0)</f>
        <v/>
      </c>
      <c r="N135">
        <f>IFERROR(VLOOKUP(D135,'Schedule Lookup'!$A:$H,7,0),0)</f>
        <v/>
      </c>
      <c r="O135">
        <f>IFERROR(VLOOKUP(D135,'Schedule Lookup'!$A:$H,8,0),0)</f>
        <v/>
      </c>
      <c r="T135">
        <f>IF(AND(E135&lt;TIME(9,0,0),F135&gt;TIME(0,0,1)),1,0)</f>
        <v/>
      </c>
      <c r="U135">
        <f>IF(AND(E135&lt;TIME(17,0,0),F135&gt;TIME(9,0,0)),1,0)</f>
        <v/>
      </c>
      <c r="V135">
        <f>IF(AND(E135&lt;TIME(21,0,0),F135&gt;TIME(17,0,0)),1,0)</f>
        <v/>
      </c>
      <c r="W135">
        <f>IF(F135&gt;TIME(17,0,0),1,0)</f>
        <v/>
      </c>
    </row>
    <row r="136">
      <c r="I136">
        <f>IFERROR(VLOOKUP(D136,'Schedule Lookup'!$A:$H,2,0),0)</f>
        <v/>
      </c>
      <c r="J136">
        <f>IFERROR(VLOOKUP(D136,'Schedule Lookup'!$A:$H,3,0),0)</f>
        <v/>
      </c>
      <c r="K136">
        <f>IFERROR(VLOOKUP(D136,'Schedule Lookup'!$A:$H,4,0),0)</f>
        <v/>
      </c>
      <c r="L136">
        <f>IFERROR(VLOOKUP(D136,'Schedule Lookup'!$A:$H,5,0),0)</f>
        <v/>
      </c>
      <c r="M136">
        <f>IFERROR(VLOOKUP(D136,'Schedule Lookup'!$A:$H,6,0),0)</f>
        <v/>
      </c>
      <c r="N136">
        <f>IFERROR(VLOOKUP(D136,'Schedule Lookup'!$A:$H,7,0),0)</f>
        <v/>
      </c>
      <c r="O136">
        <f>IFERROR(VLOOKUP(D136,'Schedule Lookup'!$A:$H,8,0),0)</f>
        <v/>
      </c>
      <c r="T136">
        <f>IF(AND(E136&lt;TIME(9,0,0),F136&gt;TIME(0,0,1)),1,0)</f>
        <v/>
      </c>
      <c r="U136">
        <f>IF(AND(E136&lt;TIME(17,0,0),F136&gt;TIME(9,0,0)),1,0)</f>
        <v/>
      </c>
      <c r="V136">
        <f>IF(AND(E136&lt;TIME(21,0,0),F136&gt;TIME(17,0,0)),1,0)</f>
        <v/>
      </c>
      <c r="W136">
        <f>IF(F136&gt;TIME(17,0,0),1,0)</f>
        <v/>
      </c>
    </row>
    <row r="137">
      <c r="I137">
        <f>IFERROR(VLOOKUP(D137,'Schedule Lookup'!$A:$H,2,0),0)</f>
        <v/>
      </c>
      <c r="J137">
        <f>IFERROR(VLOOKUP(D137,'Schedule Lookup'!$A:$H,3,0),0)</f>
        <v/>
      </c>
      <c r="K137">
        <f>IFERROR(VLOOKUP(D137,'Schedule Lookup'!$A:$H,4,0),0)</f>
        <v/>
      </c>
      <c r="L137">
        <f>IFERROR(VLOOKUP(D137,'Schedule Lookup'!$A:$H,5,0),0)</f>
        <v/>
      </c>
      <c r="M137">
        <f>IFERROR(VLOOKUP(D137,'Schedule Lookup'!$A:$H,6,0),0)</f>
        <v/>
      </c>
      <c r="N137">
        <f>IFERROR(VLOOKUP(D137,'Schedule Lookup'!$A:$H,7,0),0)</f>
        <v/>
      </c>
      <c r="O137">
        <f>IFERROR(VLOOKUP(D137,'Schedule Lookup'!$A:$H,8,0),0)</f>
        <v/>
      </c>
      <c r="T137">
        <f>IF(AND(E137&lt;TIME(9,0,0),F137&gt;TIME(0,0,1)),1,0)</f>
        <v/>
      </c>
      <c r="U137">
        <f>IF(AND(E137&lt;TIME(17,0,0),F137&gt;TIME(9,0,0)),1,0)</f>
        <v/>
      </c>
      <c r="V137">
        <f>IF(AND(E137&lt;TIME(21,0,0),F137&gt;TIME(17,0,0)),1,0)</f>
        <v/>
      </c>
      <c r="W137">
        <f>IF(F137&gt;TIME(17,0,0),1,0)</f>
        <v/>
      </c>
    </row>
    <row r="138">
      <c r="I138">
        <f>IFERROR(VLOOKUP(D138,'Schedule Lookup'!$A:$H,2,0),0)</f>
        <v/>
      </c>
      <c r="J138">
        <f>IFERROR(VLOOKUP(D138,'Schedule Lookup'!$A:$H,3,0),0)</f>
        <v/>
      </c>
      <c r="K138">
        <f>IFERROR(VLOOKUP(D138,'Schedule Lookup'!$A:$H,4,0),0)</f>
        <v/>
      </c>
      <c r="L138">
        <f>IFERROR(VLOOKUP(D138,'Schedule Lookup'!$A:$H,5,0),0)</f>
        <v/>
      </c>
      <c r="M138">
        <f>IFERROR(VLOOKUP(D138,'Schedule Lookup'!$A:$H,6,0),0)</f>
        <v/>
      </c>
      <c r="N138">
        <f>IFERROR(VLOOKUP(D138,'Schedule Lookup'!$A:$H,7,0),0)</f>
        <v/>
      </c>
      <c r="O138">
        <f>IFERROR(VLOOKUP(D138,'Schedule Lookup'!$A:$H,8,0),0)</f>
        <v/>
      </c>
      <c r="T138">
        <f>IF(AND(E138&lt;TIME(9,0,0),F138&gt;TIME(0,0,1)),1,0)</f>
        <v/>
      </c>
      <c r="U138">
        <f>IF(AND(E138&lt;TIME(17,0,0),F138&gt;TIME(9,0,0)),1,0)</f>
        <v/>
      </c>
      <c r="V138">
        <f>IF(AND(E138&lt;TIME(21,0,0),F138&gt;TIME(17,0,0)),1,0)</f>
        <v/>
      </c>
      <c r="W138">
        <f>IF(F138&gt;TIME(17,0,0),1,0)</f>
        <v/>
      </c>
    </row>
    <row r="139">
      <c r="I139">
        <f>IFERROR(VLOOKUP(D139,'Schedule Lookup'!$A:$H,2,0),0)</f>
        <v/>
      </c>
      <c r="J139">
        <f>IFERROR(VLOOKUP(D139,'Schedule Lookup'!$A:$H,3,0),0)</f>
        <v/>
      </c>
      <c r="K139">
        <f>IFERROR(VLOOKUP(D139,'Schedule Lookup'!$A:$H,4,0),0)</f>
        <v/>
      </c>
      <c r="L139">
        <f>IFERROR(VLOOKUP(D139,'Schedule Lookup'!$A:$H,5,0),0)</f>
        <v/>
      </c>
      <c r="M139">
        <f>IFERROR(VLOOKUP(D139,'Schedule Lookup'!$A:$H,6,0),0)</f>
        <v/>
      </c>
      <c r="N139">
        <f>IFERROR(VLOOKUP(D139,'Schedule Lookup'!$A:$H,7,0),0)</f>
        <v/>
      </c>
      <c r="O139">
        <f>IFERROR(VLOOKUP(D139,'Schedule Lookup'!$A:$H,8,0),0)</f>
        <v/>
      </c>
      <c r="T139">
        <f>IF(AND(E139&lt;TIME(9,0,0),F139&gt;TIME(0,0,1)),1,0)</f>
        <v/>
      </c>
      <c r="U139">
        <f>IF(AND(E139&lt;TIME(17,0,0),F139&gt;TIME(9,0,0)),1,0)</f>
        <v/>
      </c>
      <c r="V139">
        <f>IF(AND(E139&lt;TIME(21,0,0),F139&gt;TIME(17,0,0)),1,0)</f>
        <v/>
      </c>
      <c r="W139">
        <f>IF(F139&gt;TIME(17,0,0),1,0)</f>
        <v/>
      </c>
    </row>
    <row r="140">
      <c r="I140">
        <f>IFERROR(VLOOKUP(D140,'Schedule Lookup'!$A:$H,2,0),0)</f>
        <v/>
      </c>
      <c r="J140">
        <f>IFERROR(VLOOKUP(D140,'Schedule Lookup'!$A:$H,3,0),0)</f>
        <v/>
      </c>
      <c r="K140">
        <f>IFERROR(VLOOKUP(D140,'Schedule Lookup'!$A:$H,4,0),0)</f>
        <v/>
      </c>
      <c r="L140">
        <f>IFERROR(VLOOKUP(D140,'Schedule Lookup'!$A:$H,5,0),0)</f>
        <v/>
      </c>
      <c r="M140">
        <f>IFERROR(VLOOKUP(D140,'Schedule Lookup'!$A:$H,6,0),0)</f>
        <v/>
      </c>
      <c r="N140">
        <f>IFERROR(VLOOKUP(D140,'Schedule Lookup'!$A:$H,7,0),0)</f>
        <v/>
      </c>
      <c r="O140">
        <f>IFERROR(VLOOKUP(D140,'Schedule Lookup'!$A:$H,8,0),0)</f>
        <v/>
      </c>
      <c r="T140">
        <f>IF(AND(E140&lt;TIME(9,0,0),F140&gt;TIME(0,0,1)),1,0)</f>
        <v/>
      </c>
      <c r="U140">
        <f>IF(AND(E140&lt;TIME(17,0,0),F140&gt;TIME(9,0,0)),1,0)</f>
        <v/>
      </c>
      <c r="V140">
        <f>IF(AND(E140&lt;TIME(21,0,0),F140&gt;TIME(17,0,0)),1,0)</f>
        <v/>
      </c>
      <c r="W140">
        <f>IF(F140&gt;TIME(17,0,0),1,0)</f>
        <v/>
      </c>
    </row>
    <row r="141">
      <c r="I141">
        <f>IFERROR(VLOOKUP(D141,'Schedule Lookup'!$A:$H,2,0),0)</f>
        <v/>
      </c>
      <c r="J141">
        <f>IFERROR(VLOOKUP(D141,'Schedule Lookup'!$A:$H,3,0),0)</f>
        <v/>
      </c>
      <c r="K141">
        <f>IFERROR(VLOOKUP(D141,'Schedule Lookup'!$A:$H,4,0),0)</f>
        <v/>
      </c>
      <c r="L141">
        <f>IFERROR(VLOOKUP(D141,'Schedule Lookup'!$A:$H,5,0),0)</f>
        <v/>
      </c>
      <c r="M141">
        <f>IFERROR(VLOOKUP(D141,'Schedule Lookup'!$A:$H,6,0),0)</f>
        <v/>
      </c>
      <c r="N141">
        <f>IFERROR(VLOOKUP(D141,'Schedule Lookup'!$A:$H,7,0),0)</f>
        <v/>
      </c>
      <c r="O141">
        <f>IFERROR(VLOOKUP(D141,'Schedule Lookup'!$A:$H,8,0),0)</f>
        <v/>
      </c>
      <c r="T141">
        <f>IF(AND(E141&lt;TIME(9,0,0),F141&gt;TIME(0,0,1)),1,0)</f>
        <v/>
      </c>
      <c r="U141">
        <f>IF(AND(E141&lt;TIME(17,0,0),F141&gt;TIME(9,0,0)),1,0)</f>
        <v/>
      </c>
      <c r="V141">
        <f>IF(AND(E141&lt;TIME(21,0,0),F141&gt;TIME(17,0,0)),1,0)</f>
        <v/>
      </c>
      <c r="W141">
        <f>IF(F141&gt;TIME(17,0,0),1,0)</f>
        <v/>
      </c>
    </row>
    <row r="142">
      <c r="I142">
        <f>IFERROR(VLOOKUP(D142,'Schedule Lookup'!$A:$H,2,0),0)</f>
        <v/>
      </c>
      <c r="J142">
        <f>IFERROR(VLOOKUP(D142,'Schedule Lookup'!$A:$H,3,0),0)</f>
        <v/>
      </c>
      <c r="K142">
        <f>IFERROR(VLOOKUP(D142,'Schedule Lookup'!$A:$H,4,0),0)</f>
        <v/>
      </c>
      <c r="L142">
        <f>IFERROR(VLOOKUP(D142,'Schedule Lookup'!$A:$H,5,0),0)</f>
        <v/>
      </c>
      <c r="M142">
        <f>IFERROR(VLOOKUP(D142,'Schedule Lookup'!$A:$H,6,0),0)</f>
        <v/>
      </c>
      <c r="N142">
        <f>IFERROR(VLOOKUP(D142,'Schedule Lookup'!$A:$H,7,0),0)</f>
        <v/>
      </c>
      <c r="O142">
        <f>IFERROR(VLOOKUP(D142,'Schedule Lookup'!$A:$H,8,0),0)</f>
        <v/>
      </c>
      <c r="T142">
        <f>IF(AND(E142&lt;TIME(9,0,0),F142&gt;TIME(0,0,1)),1,0)</f>
        <v/>
      </c>
      <c r="U142">
        <f>IF(AND(E142&lt;TIME(17,0,0),F142&gt;TIME(9,0,0)),1,0)</f>
        <v/>
      </c>
      <c r="V142">
        <f>IF(AND(E142&lt;TIME(21,0,0),F142&gt;TIME(17,0,0)),1,0)</f>
        <v/>
      </c>
      <c r="W142">
        <f>IF(F142&gt;TIME(17,0,0),1,0)</f>
        <v/>
      </c>
    </row>
    <row r="143">
      <c r="I143">
        <f>IFERROR(VLOOKUP(D143,'Schedule Lookup'!$A:$H,2,0),0)</f>
        <v/>
      </c>
      <c r="J143">
        <f>IFERROR(VLOOKUP(D143,'Schedule Lookup'!$A:$H,3,0),0)</f>
        <v/>
      </c>
      <c r="K143">
        <f>IFERROR(VLOOKUP(D143,'Schedule Lookup'!$A:$H,4,0),0)</f>
        <v/>
      </c>
      <c r="L143">
        <f>IFERROR(VLOOKUP(D143,'Schedule Lookup'!$A:$H,5,0),0)</f>
        <v/>
      </c>
      <c r="M143">
        <f>IFERROR(VLOOKUP(D143,'Schedule Lookup'!$A:$H,6,0),0)</f>
        <v/>
      </c>
      <c r="N143">
        <f>IFERROR(VLOOKUP(D143,'Schedule Lookup'!$A:$H,7,0),0)</f>
        <v/>
      </c>
      <c r="O143">
        <f>IFERROR(VLOOKUP(D143,'Schedule Lookup'!$A:$H,8,0),0)</f>
        <v/>
      </c>
      <c r="T143">
        <f>IF(AND(E143&lt;TIME(9,0,0),F143&gt;TIME(0,0,1)),1,0)</f>
        <v/>
      </c>
      <c r="U143">
        <f>IF(AND(E143&lt;TIME(17,0,0),F143&gt;TIME(9,0,0)),1,0)</f>
        <v/>
      </c>
      <c r="V143">
        <f>IF(AND(E143&lt;TIME(21,0,0),F143&gt;TIME(17,0,0)),1,0)</f>
        <v/>
      </c>
      <c r="W143">
        <f>IF(F143&gt;TIME(17,0,0),1,0)</f>
        <v/>
      </c>
    </row>
    <row r="144">
      <c r="I144">
        <f>IFERROR(VLOOKUP(D144,'Schedule Lookup'!$A:$H,2,0),0)</f>
        <v/>
      </c>
      <c r="J144">
        <f>IFERROR(VLOOKUP(D144,'Schedule Lookup'!$A:$H,3,0),0)</f>
        <v/>
      </c>
      <c r="K144">
        <f>IFERROR(VLOOKUP(D144,'Schedule Lookup'!$A:$H,4,0),0)</f>
        <v/>
      </c>
      <c r="L144">
        <f>IFERROR(VLOOKUP(D144,'Schedule Lookup'!$A:$H,5,0),0)</f>
        <v/>
      </c>
      <c r="M144">
        <f>IFERROR(VLOOKUP(D144,'Schedule Lookup'!$A:$H,6,0),0)</f>
        <v/>
      </c>
      <c r="N144">
        <f>IFERROR(VLOOKUP(D144,'Schedule Lookup'!$A:$H,7,0),0)</f>
        <v/>
      </c>
      <c r="O144">
        <f>IFERROR(VLOOKUP(D144,'Schedule Lookup'!$A:$H,8,0),0)</f>
        <v/>
      </c>
      <c r="T144">
        <f>IF(AND(E144&lt;TIME(9,0,0),F144&gt;TIME(0,0,1)),1,0)</f>
        <v/>
      </c>
      <c r="U144">
        <f>IF(AND(E144&lt;TIME(17,0,0),F144&gt;TIME(9,0,0)),1,0)</f>
        <v/>
      </c>
      <c r="V144">
        <f>IF(AND(E144&lt;TIME(21,0,0),F144&gt;TIME(17,0,0)),1,0)</f>
        <v/>
      </c>
      <c r="W144">
        <f>IF(F144&gt;TIME(17,0,0),1,0)</f>
        <v/>
      </c>
    </row>
    <row r="145">
      <c r="I145">
        <f>IFERROR(VLOOKUP(D145,'Schedule Lookup'!$A:$H,2,0),0)</f>
        <v/>
      </c>
      <c r="J145">
        <f>IFERROR(VLOOKUP(D145,'Schedule Lookup'!$A:$H,3,0),0)</f>
        <v/>
      </c>
      <c r="K145">
        <f>IFERROR(VLOOKUP(D145,'Schedule Lookup'!$A:$H,4,0),0)</f>
        <v/>
      </c>
      <c r="L145">
        <f>IFERROR(VLOOKUP(D145,'Schedule Lookup'!$A:$H,5,0),0)</f>
        <v/>
      </c>
      <c r="M145">
        <f>IFERROR(VLOOKUP(D145,'Schedule Lookup'!$A:$H,6,0),0)</f>
        <v/>
      </c>
      <c r="N145">
        <f>IFERROR(VLOOKUP(D145,'Schedule Lookup'!$A:$H,7,0),0)</f>
        <v/>
      </c>
      <c r="O145">
        <f>IFERROR(VLOOKUP(D145,'Schedule Lookup'!$A:$H,8,0),0)</f>
        <v/>
      </c>
      <c r="T145">
        <f>IF(AND(E145&lt;TIME(9,0,0),F145&gt;TIME(0,0,1)),1,0)</f>
        <v/>
      </c>
      <c r="U145">
        <f>IF(AND(E145&lt;TIME(17,0,0),F145&gt;TIME(9,0,0)),1,0)</f>
        <v/>
      </c>
      <c r="V145">
        <f>IF(AND(E145&lt;TIME(21,0,0),F145&gt;TIME(17,0,0)),1,0)</f>
        <v/>
      </c>
      <c r="W145">
        <f>IF(F145&gt;TIME(17,0,0),1,0)</f>
        <v/>
      </c>
    </row>
    <row r="146">
      <c r="I146">
        <f>IFERROR(VLOOKUP(D146,'Schedule Lookup'!$A:$H,2,0),0)</f>
        <v/>
      </c>
      <c r="J146">
        <f>IFERROR(VLOOKUP(D146,'Schedule Lookup'!$A:$H,3,0),0)</f>
        <v/>
      </c>
      <c r="K146">
        <f>IFERROR(VLOOKUP(D146,'Schedule Lookup'!$A:$H,4,0),0)</f>
        <v/>
      </c>
      <c r="L146">
        <f>IFERROR(VLOOKUP(D146,'Schedule Lookup'!$A:$H,5,0),0)</f>
        <v/>
      </c>
      <c r="M146">
        <f>IFERROR(VLOOKUP(D146,'Schedule Lookup'!$A:$H,6,0),0)</f>
        <v/>
      </c>
      <c r="N146">
        <f>IFERROR(VLOOKUP(D146,'Schedule Lookup'!$A:$H,7,0),0)</f>
        <v/>
      </c>
      <c r="O146">
        <f>IFERROR(VLOOKUP(D146,'Schedule Lookup'!$A:$H,8,0),0)</f>
        <v/>
      </c>
      <c r="T146">
        <f>IF(AND(E146&lt;TIME(9,0,0),F146&gt;TIME(0,0,1)),1,0)</f>
        <v/>
      </c>
      <c r="U146">
        <f>IF(AND(E146&lt;TIME(17,0,0),F146&gt;TIME(9,0,0)),1,0)</f>
        <v/>
      </c>
      <c r="V146">
        <f>IF(AND(E146&lt;TIME(21,0,0),F146&gt;TIME(17,0,0)),1,0)</f>
        <v/>
      </c>
      <c r="W146">
        <f>IF(F146&gt;TIME(17,0,0),1,0)</f>
        <v/>
      </c>
    </row>
    <row r="147">
      <c r="I147">
        <f>IFERROR(VLOOKUP(D147,'Schedule Lookup'!$A:$H,2,0),0)</f>
        <v/>
      </c>
      <c r="J147">
        <f>IFERROR(VLOOKUP(D147,'Schedule Lookup'!$A:$H,3,0),0)</f>
        <v/>
      </c>
      <c r="K147">
        <f>IFERROR(VLOOKUP(D147,'Schedule Lookup'!$A:$H,4,0),0)</f>
        <v/>
      </c>
      <c r="L147">
        <f>IFERROR(VLOOKUP(D147,'Schedule Lookup'!$A:$H,5,0),0)</f>
        <v/>
      </c>
      <c r="M147">
        <f>IFERROR(VLOOKUP(D147,'Schedule Lookup'!$A:$H,6,0),0)</f>
        <v/>
      </c>
      <c r="N147">
        <f>IFERROR(VLOOKUP(D147,'Schedule Lookup'!$A:$H,7,0),0)</f>
        <v/>
      </c>
      <c r="O147">
        <f>IFERROR(VLOOKUP(D147,'Schedule Lookup'!$A:$H,8,0),0)</f>
        <v/>
      </c>
      <c r="T147">
        <f>IF(AND(E147&lt;TIME(9,0,0),F147&gt;TIME(0,0,1)),1,0)</f>
        <v/>
      </c>
      <c r="U147">
        <f>IF(AND(E147&lt;TIME(17,0,0),F147&gt;TIME(9,0,0)),1,0)</f>
        <v/>
      </c>
      <c r="V147">
        <f>IF(AND(E147&lt;TIME(21,0,0),F147&gt;TIME(17,0,0)),1,0)</f>
        <v/>
      </c>
      <c r="W147">
        <f>IF(F147&gt;TIME(17,0,0),1,0)</f>
        <v/>
      </c>
    </row>
    <row r="148">
      <c r="I148">
        <f>IFERROR(VLOOKUP(D148,'Schedule Lookup'!$A:$H,2,0),0)</f>
        <v/>
      </c>
      <c r="J148">
        <f>IFERROR(VLOOKUP(D148,'Schedule Lookup'!$A:$H,3,0),0)</f>
        <v/>
      </c>
      <c r="K148">
        <f>IFERROR(VLOOKUP(D148,'Schedule Lookup'!$A:$H,4,0),0)</f>
        <v/>
      </c>
      <c r="L148">
        <f>IFERROR(VLOOKUP(D148,'Schedule Lookup'!$A:$H,5,0),0)</f>
        <v/>
      </c>
      <c r="M148">
        <f>IFERROR(VLOOKUP(D148,'Schedule Lookup'!$A:$H,6,0),0)</f>
        <v/>
      </c>
      <c r="N148">
        <f>IFERROR(VLOOKUP(D148,'Schedule Lookup'!$A:$H,7,0),0)</f>
        <v/>
      </c>
      <c r="O148">
        <f>IFERROR(VLOOKUP(D148,'Schedule Lookup'!$A:$H,8,0),0)</f>
        <v/>
      </c>
      <c r="T148">
        <f>IF(AND(E148&lt;TIME(9,0,0),F148&gt;TIME(0,0,1)),1,0)</f>
        <v/>
      </c>
      <c r="U148">
        <f>IF(AND(E148&lt;TIME(17,0,0),F148&gt;TIME(9,0,0)),1,0)</f>
        <v/>
      </c>
      <c r="V148">
        <f>IF(AND(E148&lt;TIME(21,0,0),F148&gt;TIME(17,0,0)),1,0)</f>
        <v/>
      </c>
      <c r="W148">
        <f>IF(F148&gt;TIME(17,0,0),1,0)</f>
        <v/>
      </c>
    </row>
    <row r="149">
      <c r="I149">
        <f>IFERROR(VLOOKUP(D149,'Schedule Lookup'!$A:$H,2,0),0)</f>
        <v/>
      </c>
      <c r="J149">
        <f>IFERROR(VLOOKUP(D149,'Schedule Lookup'!$A:$H,3,0),0)</f>
        <v/>
      </c>
      <c r="K149">
        <f>IFERROR(VLOOKUP(D149,'Schedule Lookup'!$A:$H,4,0),0)</f>
        <v/>
      </c>
      <c r="L149">
        <f>IFERROR(VLOOKUP(D149,'Schedule Lookup'!$A:$H,5,0),0)</f>
        <v/>
      </c>
      <c r="M149">
        <f>IFERROR(VLOOKUP(D149,'Schedule Lookup'!$A:$H,6,0),0)</f>
        <v/>
      </c>
      <c r="N149">
        <f>IFERROR(VLOOKUP(D149,'Schedule Lookup'!$A:$H,7,0),0)</f>
        <v/>
      </c>
      <c r="O149">
        <f>IFERROR(VLOOKUP(D149,'Schedule Lookup'!$A:$H,8,0),0)</f>
        <v/>
      </c>
      <c r="T149">
        <f>IF(AND(E149&lt;TIME(9,0,0),F149&gt;TIME(0,0,1)),1,0)</f>
        <v/>
      </c>
      <c r="U149">
        <f>IF(AND(E149&lt;TIME(17,0,0),F149&gt;TIME(9,0,0)),1,0)</f>
        <v/>
      </c>
      <c r="V149">
        <f>IF(AND(E149&lt;TIME(21,0,0),F149&gt;TIME(17,0,0)),1,0)</f>
        <v/>
      </c>
      <c r="W149">
        <f>IF(F149&gt;TIME(17,0,0),1,0)</f>
        <v/>
      </c>
    </row>
    <row r="150">
      <c r="I150">
        <f>IFERROR(VLOOKUP(D150,'Schedule Lookup'!$A:$H,2,0),0)</f>
        <v/>
      </c>
      <c r="J150">
        <f>IFERROR(VLOOKUP(D150,'Schedule Lookup'!$A:$H,3,0),0)</f>
        <v/>
      </c>
      <c r="K150">
        <f>IFERROR(VLOOKUP(D150,'Schedule Lookup'!$A:$H,4,0),0)</f>
        <v/>
      </c>
      <c r="L150">
        <f>IFERROR(VLOOKUP(D150,'Schedule Lookup'!$A:$H,5,0),0)</f>
        <v/>
      </c>
      <c r="M150">
        <f>IFERROR(VLOOKUP(D150,'Schedule Lookup'!$A:$H,6,0),0)</f>
        <v/>
      </c>
      <c r="N150">
        <f>IFERROR(VLOOKUP(D150,'Schedule Lookup'!$A:$H,7,0),0)</f>
        <v/>
      </c>
      <c r="O150">
        <f>IFERROR(VLOOKUP(D150,'Schedule Lookup'!$A:$H,8,0),0)</f>
        <v/>
      </c>
      <c r="T150">
        <f>IF(AND(E150&lt;TIME(9,0,0),F150&gt;TIME(0,0,1)),1,0)</f>
        <v/>
      </c>
      <c r="U150">
        <f>IF(AND(E150&lt;TIME(17,0,0),F150&gt;TIME(9,0,0)),1,0)</f>
        <v/>
      </c>
      <c r="V150">
        <f>IF(AND(E150&lt;TIME(21,0,0),F150&gt;TIME(17,0,0)),1,0)</f>
        <v/>
      </c>
      <c r="W150">
        <f>IF(F150&gt;TIME(17,0,0),1,0)</f>
        <v/>
      </c>
    </row>
    <row r="151">
      <c r="I151">
        <f>IFERROR(VLOOKUP(D151,'Schedule Lookup'!$A:$H,2,0),0)</f>
        <v/>
      </c>
      <c r="J151">
        <f>IFERROR(VLOOKUP(D151,'Schedule Lookup'!$A:$H,3,0),0)</f>
        <v/>
      </c>
      <c r="K151">
        <f>IFERROR(VLOOKUP(D151,'Schedule Lookup'!$A:$H,4,0),0)</f>
        <v/>
      </c>
      <c r="L151">
        <f>IFERROR(VLOOKUP(D151,'Schedule Lookup'!$A:$H,5,0),0)</f>
        <v/>
      </c>
      <c r="M151">
        <f>IFERROR(VLOOKUP(D151,'Schedule Lookup'!$A:$H,6,0),0)</f>
        <v/>
      </c>
      <c r="N151">
        <f>IFERROR(VLOOKUP(D151,'Schedule Lookup'!$A:$H,7,0),0)</f>
        <v/>
      </c>
      <c r="O151">
        <f>IFERROR(VLOOKUP(D151,'Schedule Lookup'!$A:$H,8,0),0)</f>
        <v/>
      </c>
      <c r="T151">
        <f>IF(AND(E151&lt;TIME(9,0,0),F151&gt;TIME(0,0,1)),1,0)</f>
        <v/>
      </c>
      <c r="U151">
        <f>IF(AND(E151&lt;TIME(17,0,0),F151&gt;TIME(9,0,0)),1,0)</f>
        <v/>
      </c>
      <c r="V151">
        <f>IF(AND(E151&lt;TIME(21,0,0),F151&gt;TIME(17,0,0)),1,0)</f>
        <v/>
      </c>
      <c r="W151">
        <f>IF(F151&gt;TIME(17,0,0),1,0)</f>
        <v/>
      </c>
    </row>
    <row r="152">
      <c r="I152">
        <f>IFERROR(VLOOKUP(D152,'Schedule Lookup'!$A:$H,2,0),0)</f>
        <v/>
      </c>
      <c r="J152">
        <f>IFERROR(VLOOKUP(D152,'Schedule Lookup'!$A:$H,3,0),0)</f>
        <v/>
      </c>
      <c r="K152">
        <f>IFERROR(VLOOKUP(D152,'Schedule Lookup'!$A:$H,4,0),0)</f>
        <v/>
      </c>
      <c r="L152">
        <f>IFERROR(VLOOKUP(D152,'Schedule Lookup'!$A:$H,5,0),0)</f>
        <v/>
      </c>
      <c r="M152">
        <f>IFERROR(VLOOKUP(D152,'Schedule Lookup'!$A:$H,6,0),0)</f>
        <v/>
      </c>
      <c r="N152">
        <f>IFERROR(VLOOKUP(D152,'Schedule Lookup'!$A:$H,7,0),0)</f>
        <v/>
      </c>
      <c r="O152">
        <f>IFERROR(VLOOKUP(D152,'Schedule Lookup'!$A:$H,8,0),0)</f>
        <v/>
      </c>
      <c r="T152">
        <f>IF(AND(E152&lt;TIME(9,0,0),F152&gt;TIME(0,0,1)),1,0)</f>
        <v/>
      </c>
      <c r="U152">
        <f>IF(AND(E152&lt;TIME(17,0,0),F152&gt;TIME(9,0,0)),1,0)</f>
        <v/>
      </c>
      <c r="V152">
        <f>IF(AND(E152&lt;TIME(21,0,0),F152&gt;TIME(17,0,0)),1,0)</f>
        <v/>
      </c>
      <c r="W152">
        <f>IF(F152&gt;TIME(17,0,0),1,0)</f>
        <v/>
      </c>
    </row>
    <row r="153">
      <c r="I153">
        <f>IFERROR(VLOOKUP(D153,'Schedule Lookup'!$A:$H,2,0),0)</f>
        <v/>
      </c>
      <c r="J153">
        <f>IFERROR(VLOOKUP(D153,'Schedule Lookup'!$A:$H,3,0),0)</f>
        <v/>
      </c>
      <c r="K153">
        <f>IFERROR(VLOOKUP(D153,'Schedule Lookup'!$A:$H,4,0),0)</f>
        <v/>
      </c>
      <c r="L153">
        <f>IFERROR(VLOOKUP(D153,'Schedule Lookup'!$A:$H,5,0),0)</f>
        <v/>
      </c>
      <c r="M153">
        <f>IFERROR(VLOOKUP(D153,'Schedule Lookup'!$A:$H,6,0),0)</f>
        <v/>
      </c>
      <c r="N153">
        <f>IFERROR(VLOOKUP(D153,'Schedule Lookup'!$A:$H,7,0),0)</f>
        <v/>
      </c>
      <c r="O153">
        <f>IFERROR(VLOOKUP(D153,'Schedule Lookup'!$A:$H,8,0),0)</f>
        <v/>
      </c>
      <c r="T153">
        <f>IF(AND(E153&lt;TIME(9,0,0),F153&gt;TIME(0,0,1)),1,0)</f>
        <v/>
      </c>
      <c r="U153">
        <f>IF(AND(E153&lt;TIME(17,0,0),F153&gt;TIME(9,0,0)),1,0)</f>
        <v/>
      </c>
      <c r="V153">
        <f>IF(AND(E153&lt;TIME(21,0,0),F153&gt;TIME(17,0,0)),1,0)</f>
        <v/>
      </c>
      <c r="W153">
        <f>IF(F153&gt;TIME(17,0,0),1,0)</f>
        <v/>
      </c>
    </row>
    <row r="154">
      <c r="I154">
        <f>IFERROR(VLOOKUP(D154,'Schedule Lookup'!$A:$H,2,0),0)</f>
        <v/>
      </c>
      <c r="J154">
        <f>IFERROR(VLOOKUP(D154,'Schedule Lookup'!$A:$H,3,0),0)</f>
        <v/>
      </c>
      <c r="K154">
        <f>IFERROR(VLOOKUP(D154,'Schedule Lookup'!$A:$H,4,0),0)</f>
        <v/>
      </c>
      <c r="L154">
        <f>IFERROR(VLOOKUP(D154,'Schedule Lookup'!$A:$H,5,0),0)</f>
        <v/>
      </c>
      <c r="M154">
        <f>IFERROR(VLOOKUP(D154,'Schedule Lookup'!$A:$H,6,0),0)</f>
        <v/>
      </c>
      <c r="N154">
        <f>IFERROR(VLOOKUP(D154,'Schedule Lookup'!$A:$H,7,0),0)</f>
        <v/>
      </c>
      <c r="O154">
        <f>IFERROR(VLOOKUP(D154,'Schedule Lookup'!$A:$H,8,0),0)</f>
        <v/>
      </c>
      <c r="T154">
        <f>IF(AND(E154&lt;TIME(9,0,0),F154&gt;TIME(0,0,1)),1,0)</f>
        <v/>
      </c>
      <c r="U154">
        <f>IF(AND(E154&lt;TIME(17,0,0),F154&gt;TIME(9,0,0)),1,0)</f>
        <v/>
      </c>
      <c r="V154">
        <f>IF(AND(E154&lt;TIME(21,0,0),F154&gt;TIME(17,0,0)),1,0)</f>
        <v/>
      </c>
      <c r="W154">
        <f>IF(F154&gt;TIME(17,0,0),1,0)</f>
        <v/>
      </c>
    </row>
    <row r="155">
      <c r="I155">
        <f>IFERROR(VLOOKUP(D155,'Schedule Lookup'!$A:$H,2,0),0)</f>
        <v/>
      </c>
      <c r="J155">
        <f>IFERROR(VLOOKUP(D155,'Schedule Lookup'!$A:$H,3,0),0)</f>
        <v/>
      </c>
      <c r="K155">
        <f>IFERROR(VLOOKUP(D155,'Schedule Lookup'!$A:$H,4,0),0)</f>
        <v/>
      </c>
      <c r="L155">
        <f>IFERROR(VLOOKUP(D155,'Schedule Lookup'!$A:$H,5,0),0)</f>
        <v/>
      </c>
      <c r="M155">
        <f>IFERROR(VLOOKUP(D155,'Schedule Lookup'!$A:$H,6,0),0)</f>
        <v/>
      </c>
      <c r="N155">
        <f>IFERROR(VLOOKUP(D155,'Schedule Lookup'!$A:$H,7,0),0)</f>
        <v/>
      </c>
      <c r="O155">
        <f>IFERROR(VLOOKUP(D155,'Schedule Lookup'!$A:$H,8,0),0)</f>
        <v/>
      </c>
      <c r="T155">
        <f>IF(AND(E155&lt;TIME(9,0,0),F155&gt;TIME(0,0,1)),1,0)</f>
        <v/>
      </c>
      <c r="U155">
        <f>IF(AND(E155&lt;TIME(17,0,0),F155&gt;TIME(9,0,0)),1,0)</f>
        <v/>
      </c>
      <c r="V155">
        <f>IF(AND(E155&lt;TIME(21,0,0),F155&gt;TIME(17,0,0)),1,0)</f>
        <v/>
      </c>
      <c r="W155">
        <f>IF(F155&gt;TIME(17,0,0),1,0)</f>
        <v/>
      </c>
    </row>
    <row r="156">
      <c r="I156">
        <f>IFERROR(VLOOKUP(D156,'Schedule Lookup'!$A:$H,2,0),0)</f>
        <v/>
      </c>
      <c r="J156">
        <f>IFERROR(VLOOKUP(D156,'Schedule Lookup'!$A:$H,3,0),0)</f>
        <v/>
      </c>
      <c r="K156">
        <f>IFERROR(VLOOKUP(D156,'Schedule Lookup'!$A:$H,4,0),0)</f>
        <v/>
      </c>
      <c r="L156">
        <f>IFERROR(VLOOKUP(D156,'Schedule Lookup'!$A:$H,5,0),0)</f>
        <v/>
      </c>
      <c r="M156">
        <f>IFERROR(VLOOKUP(D156,'Schedule Lookup'!$A:$H,6,0),0)</f>
        <v/>
      </c>
      <c r="N156">
        <f>IFERROR(VLOOKUP(D156,'Schedule Lookup'!$A:$H,7,0),0)</f>
        <v/>
      </c>
      <c r="O156">
        <f>IFERROR(VLOOKUP(D156,'Schedule Lookup'!$A:$H,8,0),0)</f>
        <v/>
      </c>
      <c r="T156">
        <f>IF(AND(E156&lt;TIME(9,0,0),F156&gt;TIME(0,0,1)),1,0)</f>
        <v/>
      </c>
      <c r="U156">
        <f>IF(AND(E156&lt;TIME(17,0,0),F156&gt;TIME(9,0,0)),1,0)</f>
        <v/>
      </c>
      <c r="V156">
        <f>IF(AND(E156&lt;TIME(21,0,0),F156&gt;TIME(17,0,0)),1,0)</f>
        <v/>
      </c>
      <c r="W156">
        <f>IF(F156&gt;TIME(17,0,0),1,0)</f>
        <v/>
      </c>
    </row>
    <row r="157">
      <c r="I157">
        <f>IFERROR(VLOOKUP(D157,'Schedule Lookup'!$A:$H,2,0),0)</f>
        <v/>
      </c>
      <c r="J157">
        <f>IFERROR(VLOOKUP(D157,'Schedule Lookup'!$A:$H,3,0),0)</f>
        <v/>
      </c>
      <c r="K157">
        <f>IFERROR(VLOOKUP(D157,'Schedule Lookup'!$A:$H,4,0),0)</f>
        <v/>
      </c>
      <c r="L157">
        <f>IFERROR(VLOOKUP(D157,'Schedule Lookup'!$A:$H,5,0),0)</f>
        <v/>
      </c>
      <c r="M157">
        <f>IFERROR(VLOOKUP(D157,'Schedule Lookup'!$A:$H,6,0),0)</f>
        <v/>
      </c>
      <c r="N157">
        <f>IFERROR(VLOOKUP(D157,'Schedule Lookup'!$A:$H,7,0),0)</f>
        <v/>
      </c>
      <c r="O157">
        <f>IFERROR(VLOOKUP(D157,'Schedule Lookup'!$A:$H,8,0),0)</f>
        <v/>
      </c>
      <c r="T157">
        <f>IF(AND(E157&lt;TIME(9,0,0),F157&gt;TIME(0,0,1)),1,0)</f>
        <v/>
      </c>
      <c r="U157">
        <f>IF(AND(E157&lt;TIME(17,0,0),F157&gt;TIME(9,0,0)),1,0)</f>
        <v/>
      </c>
      <c r="V157">
        <f>IF(AND(E157&lt;TIME(21,0,0),F157&gt;TIME(17,0,0)),1,0)</f>
        <v/>
      </c>
      <c r="W157">
        <f>IF(F157&gt;TIME(17,0,0),1,0)</f>
        <v/>
      </c>
    </row>
    <row r="158">
      <c r="I158">
        <f>IFERROR(VLOOKUP(D158,'Schedule Lookup'!$A:$H,2,0),0)</f>
        <v/>
      </c>
      <c r="J158">
        <f>IFERROR(VLOOKUP(D158,'Schedule Lookup'!$A:$H,3,0),0)</f>
        <v/>
      </c>
      <c r="K158">
        <f>IFERROR(VLOOKUP(D158,'Schedule Lookup'!$A:$H,4,0),0)</f>
        <v/>
      </c>
      <c r="L158">
        <f>IFERROR(VLOOKUP(D158,'Schedule Lookup'!$A:$H,5,0),0)</f>
        <v/>
      </c>
      <c r="M158">
        <f>IFERROR(VLOOKUP(D158,'Schedule Lookup'!$A:$H,6,0),0)</f>
        <v/>
      </c>
      <c r="N158">
        <f>IFERROR(VLOOKUP(D158,'Schedule Lookup'!$A:$H,7,0),0)</f>
        <v/>
      </c>
      <c r="O158">
        <f>IFERROR(VLOOKUP(D158,'Schedule Lookup'!$A:$H,8,0),0)</f>
        <v/>
      </c>
      <c r="T158">
        <f>IF(AND(E158&lt;TIME(9,0,0),F158&gt;TIME(0,0,1)),1,0)</f>
        <v/>
      </c>
      <c r="U158">
        <f>IF(AND(E158&lt;TIME(17,0,0),F158&gt;TIME(9,0,0)),1,0)</f>
        <v/>
      </c>
      <c r="V158">
        <f>IF(AND(E158&lt;TIME(21,0,0),F158&gt;TIME(17,0,0)),1,0)</f>
        <v/>
      </c>
      <c r="W158">
        <f>IF(F158&gt;TIME(17,0,0),1,0)</f>
        <v/>
      </c>
    </row>
    <row r="159">
      <c r="I159">
        <f>IFERROR(VLOOKUP(D159,'Schedule Lookup'!$A:$H,2,0),0)</f>
        <v/>
      </c>
      <c r="J159">
        <f>IFERROR(VLOOKUP(D159,'Schedule Lookup'!$A:$H,3,0),0)</f>
        <v/>
      </c>
      <c r="K159">
        <f>IFERROR(VLOOKUP(D159,'Schedule Lookup'!$A:$H,4,0),0)</f>
        <v/>
      </c>
      <c r="L159">
        <f>IFERROR(VLOOKUP(D159,'Schedule Lookup'!$A:$H,5,0),0)</f>
        <v/>
      </c>
      <c r="M159">
        <f>IFERROR(VLOOKUP(D159,'Schedule Lookup'!$A:$H,6,0),0)</f>
        <v/>
      </c>
      <c r="N159">
        <f>IFERROR(VLOOKUP(D159,'Schedule Lookup'!$A:$H,7,0),0)</f>
        <v/>
      </c>
      <c r="O159">
        <f>IFERROR(VLOOKUP(D159,'Schedule Lookup'!$A:$H,8,0),0)</f>
        <v/>
      </c>
      <c r="T159">
        <f>IF(AND(E159&lt;TIME(9,0,0),F159&gt;TIME(0,0,1)),1,0)</f>
        <v/>
      </c>
      <c r="U159">
        <f>IF(AND(E159&lt;TIME(17,0,0),F159&gt;TIME(9,0,0)),1,0)</f>
        <v/>
      </c>
      <c r="V159">
        <f>IF(AND(E159&lt;TIME(21,0,0),F159&gt;TIME(17,0,0)),1,0)</f>
        <v/>
      </c>
      <c r="W159">
        <f>IF(F159&gt;TIME(17,0,0),1,0)</f>
        <v/>
      </c>
    </row>
    <row r="160">
      <c r="I160">
        <f>IFERROR(VLOOKUP(D160,'Schedule Lookup'!$A:$H,2,0),0)</f>
        <v/>
      </c>
      <c r="J160">
        <f>IFERROR(VLOOKUP(D160,'Schedule Lookup'!$A:$H,3,0),0)</f>
        <v/>
      </c>
      <c r="K160">
        <f>IFERROR(VLOOKUP(D160,'Schedule Lookup'!$A:$H,4,0),0)</f>
        <v/>
      </c>
      <c r="L160">
        <f>IFERROR(VLOOKUP(D160,'Schedule Lookup'!$A:$H,5,0),0)</f>
        <v/>
      </c>
      <c r="M160">
        <f>IFERROR(VLOOKUP(D160,'Schedule Lookup'!$A:$H,6,0),0)</f>
        <v/>
      </c>
      <c r="N160">
        <f>IFERROR(VLOOKUP(D160,'Schedule Lookup'!$A:$H,7,0),0)</f>
        <v/>
      </c>
      <c r="O160">
        <f>IFERROR(VLOOKUP(D160,'Schedule Lookup'!$A:$H,8,0),0)</f>
        <v/>
      </c>
      <c r="T160">
        <f>IF(AND(E160&lt;TIME(9,0,0),F160&gt;TIME(0,0,1)),1,0)</f>
        <v/>
      </c>
      <c r="U160">
        <f>IF(AND(E160&lt;TIME(17,0,0),F160&gt;TIME(9,0,0)),1,0)</f>
        <v/>
      </c>
      <c r="V160">
        <f>IF(AND(E160&lt;TIME(21,0,0),F160&gt;TIME(17,0,0)),1,0)</f>
        <v/>
      </c>
      <c r="W160">
        <f>IF(F160&gt;TIME(17,0,0),1,0)</f>
        <v/>
      </c>
    </row>
    <row r="161">
      <c r="I161">
        <f>IFERROR(VLOOKUP(D161,'Schedule Lookup'!$A:$H,2,0),0)</f>
        <v/>
      </c>
      <c r="J161">
        <f>IFERROR(VLOOKUP(D161,'Schedule Lookup'!$A:$H,3,0),0)</f>
        <v/>
      </c>
      <c r="K161">
        <f>IFERROR(VLOOKUP(D161,'Schedule Lookup'!$A:$H,4,0),0)</f>
        <v/>
      </c>
      <c r="L161">
        <f>IFERROR(VLOOKUP(D161,'Schedule Lookup'!$A:$H,5,0),0)</f>
        <v/>
      </c>
      <c r="M161">
        <f>IFERROR(VLOOKUP(D161,'Schedule Lookup'!$A:$H,6,0),0)</f>
        <v/>
      </c>
      <c r="N161">
        <f>IFERROR(VLOOKUP(D161,'Schedule Lookup'!$A:$H,7,0),0)</f>
        <v/>
      </c>
      <c r="O161">
        <f>IFERROR(VLOOKUP(D161,'Schedule Lookup'!$A:$H,8,0),0)</f>
        <v/>
      </c>
      <c r="T161">
        <f>IF(AND(E161&lt;TIME(9,0,0),F161&gt;TIME(0,0,1)),1,0)</f>
        <v/>
      </c>
      <c r="U161">
        <f>IF(AND(E161&lt;TIME(17,0,0),F161&gt;TIME(9,0,0)),1,0)</f>
        <v/>
      </c>
      <c r="V161">
        <f>IF(AND(E161&lt;TIME(21,0,0),F161&gt;TIME(17,0,0)),1,0)</f>
        <v/>
      </c>
      <c r="W161">
        <f>IF(F161&gt;TIME(17,0,0),1,0)</f>
        <v/>
      </c>
    </row>
    <row r="162">
      <c r="I162">
        <f>IFERROR(VLOOKUP(D162,'Schedule Lookup'!$A:$H,2,0),0)</f>
        <v/>
      </c>
      <c r="J162">
        <f>IFERROR(VLOOKUP(D162,'Schedule Lookup'!$A:$H,3,0),0)</f>
        <v/>
      </c>
      <c r="K162">
        <f>IFERROR(VLOOKUP(D162,'Schedule Lookup'!$A:$H,4,0),0)</f>
        <v/>
      </c>
      <c r="L162">
        <f>IFERROR(VLOOKUP(D162,'Schedule Lookup'!$A:$H,5,0),0)</f>
        <v/>
      </c>
      <c r="M162">
        <f>IFERROR(VLOOKUP(D162,'Schedule Lookup'!$A:$H,6,0),0)</f>
        <v/>
      </c>
      <c r="N162">
        <f>IFERROR(VLOOKUP(D162,'Schedule Lookup'!$A:$H,7,0),0)</f>
        <v/>
      </c>
      <c r="O162">
        <f>IFERROR(VLOOKUP(D162,'Schedule Lookup'!$A:$H,8,0),0)</f>
        <v/>
      </c>
      <c r="T162">
        <f>IF(AND(E162&lt;TIME(9,0,0),F162&gt;TIME(0,0,1)),1,0)</f>
        <v/>
      </c>
      <c r="U162">
        <f>IF(AND(E162&lt;TIME(17,0,0),F162&gt;TIME(9,0,0)),1,0)</f>
        <v/>
      </c>
      <c r="V162">
        <f>IF(AND(E162&lt;TIME(21,0,0),F162&gt;TIME(17,0,0)),1,0)</f>
        <v/>
      </c>
      <c r="W162">
        <f>IF(F162&gt;TIME(17,0,0),1,0)</f>
        <v/>
      </c>
    </row>
    <row r="163">
      <c r="I163">
        <f>IFERROR(VLOOKUP(D163,'Schedule Lookup'!$A:$H,2,0),0)</f>
        <v/>
      </c>
      <c r="J163">
        <f>IFERROR(VLOOKUP(D163,'Schedule Lookup'!$A:$H,3,0),0)</f>
        <v/>
      </c>
      <c r="K163">
        <f>IFERROR(VLOOKUP(D163,'Schedule Lookup'!$A:$H,4,0),0)</f>
        <v/>
      </c>
      <c r="L163">
        <f>IFERROR(VLOOKUP(D163,'Schedule Lookup'!$A:$H,5,0),0)</f>
        <v/>
      </c>
      <c r="M163">
        <f>IFERROR(VLOOKUP(D163,'Schedule Lookup'!$A:$H,6,0),0)</f>
        <v/>
      </c>
      <c r="N163">
        <f>IFERROR(VLOOKUP(D163,'Schedule Lookup'!$A:$H,7,0),0)</f>
        <v/>
      </c>
      <c r="O163">
        <f>IFERROR(VLOOKUP(D163,'Schedule Lookup'!$A:$H,8,0),0)</f>
        <v/>
      </c>
      <c r="T163">
        <f>IF(AND(E163&lt;TIME(9,0,0),F163&gt;TIME(0,0,1)),1,0)</f>
        <v/>
      </c>
      <c r="U163">
        <f>IF(AND(E163&lt;TIME(17,0,0),F163&gt;TIME(9,0,0)),1,0)</f>
        <v/>
      </c>
      <c r="V163">
        <f>IF(AND(E163&lt;TIME(21,0,0),F163&gt;TIME(17,0,0)),1,0)</f>
        <v/>
      </c>
      <c r="W163">
        <f>IF(F163&gt;TIME(17,0,0),1,0)</f>
        <v/>
      </c>
    </row>
    <row r="164">
      <c r="I164">
        <f>IFERROR(VLOOKUP(D164,'Schedule Lookup'!$A:$H,2,0),0)</f>
        <v/>
      </c>
      <c r="J164">
        <f>IFERROR(VLOOKUP(D164,'Schedule Lookup'!$A:$H,3,0),0)</f>
        <v/>
      </c>
      <c r="K164">
        <f>IFERROR(VLOOKUP(D164,'Schedule Lookup'!$A:$H,4,0),0)</f>
        <v/>
      </c>
      <c r="L164">
        <f>IFERROR(VLOOKUP(D164,'Schedule Lookup'!$A:$H,5,0),0)</f>
        <v/>
      </c>
      <c r="M164">
        <f>IFERROR(VLOOKUP(D164,'Schedule Lookup'!$A:$H,6,0),0)</f>
        <v/>
      </c>
      <c r="N164">
        <f>IFERROR(VLOOKUP(D164,'Schedule Lookup'!$A:$H,7,0),0)</f>
        <v/>
      </c>
      <c r="O164">
        <f>IFERROR(VLOOKUP(D164,'Schedule Lookup'!$A:$H,8,0),0)</f>
        <v/>
      </c>
      <c r="T164">
        <f>IF(AND(E164&lt;TIME(9,0,0),F164&gt;TIME(0,0,1)),1,0)</f>
        <v/>
      </c>
      <c r="U164">
        <f>IF(AND(E164&lt;TIME(17,0,0),F164&gt;TIME(9,0,0)),1,0)</f>
        <v/>
      </c>
      <c r="V164">
        <f>IF(AND(E164&lt;TIME(21,0,0),F164&gt;TIME(17,0,0)),1,0)</f>
        <v/>
      </c>
      <c r="W164">
        <f>IF(F164&gt;TIME(17,0,0),1,0)</f>
        <v/>
      </c>
    </row>
    <row r="165">
      <c r="I165">
        <f>IFERROR(VLOOKUP(D165,'Schedule Lookup'!$A:$H,2,0),0)</f>
        <v/>
      </c>
      <c r="J165">
        <f>IFERROR(VLOOKUP(D165,'Schedule Lookup'!$A:$H,3,0),0)</f>
        <v/>
      </c>
      <c r="K165">
        <f>IFERROR(VLOOKUP(D165,'Schedule Lookup'!$A:$H,4,0),0)</f>
        <v/>
      </c>
      <c r="L165">
        <f>IFERROR(VLOOKUP(D165,'Schedule Lookup'!$A:$H,5,0),0)</f>
        <v/>
      </c>
      <c r="M165">
        <f>IFERROR(VLOOKUP(D165,'Schedule Lookup'!$A:$H,6,0),0)</f>
        <v/>
      </c>
      <c r="N165">
        <f>IFERROR(VLOOKUP(D165,'Schedule Lookup'!$A:$H,7,0),0)</f>
        <v/>
      </c>
      <c r="O165">
        <f>IFERROR(VLOOKUP(D165,'Schedule Lookup'!$A:$H,8,0),0)</f>
        <v/>
      </c>
      <c r="T165">
        <f>IF(AND(E165&lt;TIME(9,0,0),F165&gt;TIME(0,0,1)),1,0)</f>
        <v/>
      </c>
      <c r="U165">
        <f>IF(AND(E165&lt;TIME(17,0,0),F165&gt;TIME(9,0,0)),1,0)</f>
        <v/>
      </c>
      <c r="V165">
        <f>IF(AND(E165&lt;TIME(21,0,0),F165&gt;TIME(17,0,0)),1,0)</f>
        <v/>
      </c>
      <c r="W165">
        <f>IF(F165&gt;TIME(17,0,0),1,0)</f>
        <v/>
      </c>
    </row>
    <row r="166">
      <c r="I166">
        <f>IFERROR(VLOOKUP(D166,'Schedule Lookup'!$A:$H,2,0),0)</f>
        <v/>
      </c>
      <c r="J166">
        <f>IFERROR(VLOOKUP(D166,'Schedule Lookup'!$A:$H,3,0),0)</f>
        <v/>
      </c>
      <c r="K166">
        <f>IFERROR(VLOOKUP(D166,'Schedule Lookup'!$A:$H,4,0),0)</f>
        <v/>
      </c>
      <c r="L166">
        <f>IFERROR(VLOOKUP(D166,'Schedule Lookup'!$A:$H,5,0),0)</f>
        <v/>
      </c>
      <c r="M166">
        <f>IFERROR(VLOOKUP(D166,'Schedule Lookup'!$A:$H,6,0),0)</f>
        <v/>
      </c>
      <c r="N166">
        <f>IFERROR(VLOOKUP(D166,'Schedule Lookup'!$A:$H,7,0),0)</f>
        <v/>
      </c>
      <c r="O166">
        <f>IFERROR(VLOOKUP(D166,'Schedule Lookup'!$A:$H,8,0),0)</f>
        <v/>
      </c>
      <c r="T166">
        <f>IF(AND(E166&lt;TIME(9,0,0),F166&gt;TIME(0,0,1)),1,0)</f>
        <v/>
      </c>
      <c r="U166">
        <f>IF(AND(E166&lt;TIME(17,0,0),F166&gt;TIME(9,0,0)),1,0)</f>
        <v/>
      </c>
      <c r="V166">
        <f>IF(AND(E166&lt;TIME(21,0,0),F166&gt;TIME(17,0,0)),1,0)</f>
        <v/>
      </c>
      <c r="W166">
        <f>IF(F166&gt;TIME(17,0,0),1,0)</f>
        <v/>
      </c>
    </row>
    <row r="167">
      <c r="I167">
        <f>IFERROR(VLOOKUP(D167,'Schedule Lookup'!$A:$H,2,0),0)</f>
        <v/>
      </c>
      <c r="J167">
        <f>IFERROR(VLOOKUP(D167,'Schedule Lookup'!$A:$H,3,0),0)</f>
        <v/>
      </c>
      <c r="K167">
        <f>IFERROR(VLOOKUP(D167,'Schedule Lookup'!$A:$H,4,0),0)</f>
        <v/>
      </c>
      <c r="L167">
        <f>IFERROR(VLOOKUP(D167,'Schedule Lookup'!$A:$H,5,0),0)</f>
        <v/>
      </c>
      <c r="M167">
        <f>IFERROR(VLOOKUP(D167,'Schedule Lookup'!$A:$H,6,0),0)</f>
        <v/>
      </c>
      <c r="N167">
        <f>IFERROR(VLOOKUP(D167,'Schedule Lookup'!$A:$H,7,0),0)</f>
        <v/>
      </c>
      <c r="O167">
        <f>IFERROR(VLOOKUP(D167,'Schedule Lookup'!$A:$H,8,0),0)</f>
        <v/>
      </c>
      <c r="T167">
        <f>IF(AND(E167&lt;TIME(9,0,0),F167&gt;TIME(0,0,1)),1,0)</f>
        <v/>
      </c>
      <c r="U167">
        <f>IF(AND(E167&lt;TIME(17,0,0),F167&gt;TIME(9,0,0)),1,0)</f>
        <v/>
      </c>
      <c r="V167">
        <f>IF(AND(E167&lt;TIME(21,0,0),F167&gt;TIME(17,0,0)),1,0)</f>
        <v/>
      </c>
      <c r="W167">
        <f>IF(F167&gt;TIME(17,0,0),1,0)</f>
        <v/>
      </c>
    </row>
    <row r="168">
      <c r="I168">
        <f>IFERROR(VLOOKUP(D168,'Schedule Lookup'!$A:$H,2,0),0)</f>
        <v/>
      </c>
      <c r="J168">
        <f>IFERROR(VLOOKUP(D168,'Schedule Lookup'!$A:$H,3,0),0)</f>
        <v/>
      </c>
      <c r="K168">
        <f>IFERROR(VLOOKUP(D168,'Schedule Lookup'!$A:$H,4,0),0)</f>
        <v/>
      </c>
      <c r="L168">
        <f>IFERROR(VLOOKUP(D168,'Schedule Lookup'!$A:$H,5,0),0)</f>
        <v/>
      </c>
      <c r="M168">
        <f>IFERROR(VLOOKUP(D168,'Schedule Lookup'!$A:$H,6,0),0)</f>
        <v/>
      </c>
      <c r="N168">
        <f>IFERROR(VLOOKUP(D168,'Schedule Lookup'!$A:$H,7,0),0)</f>
        <v/>
      </c>
      <c r="O168">
        <f>IFERROR(VLOOKUP(D168,'Schedule Lookup'!$A:$H,8,0),0)</f>
        <v/>
      </c>
      <c r="T168">
        <f>IF(AND(E168&lt;TIME(9,0,0),F168&gt;TIME(0,0,1)),1,0)</f>
        <v/>
      </c>
      <c r="U168">
        <f>IF(AND(E168&lt;TIME(17,0,0),F168&gt;TIME(9,0,0)),1,0)</f>
        <v/>
      </c>
      <c r="V168">
        <f>IF(AND(E168&lt;TIME(21,0,0),F168&gt;TIME(17,0,0)),1,0)</f>
        <v/>
      </c>
      <c r="W168">
        <f>IF(F168&gt;TIME(17,0,0),1,0)</f>
        <v/>
      </c>
    </row>
    <row r="169">
      <c r="I169">
        <f>IFERROR(VLOOKUP(D169,'Schedule Lookup'!$A:$H,2,0),0)</f>
        <v/>
      </c>
      <c r="J169">
        <f>IFERROR(VLOOKUP(D169,'Schedule Lookup'!$A:$H,3,0),0)</f>
        <v/>
      </c>
      <c r="K169">
        <f>IFERROR(VLOOKUP(D169,'Schedule Lookup'!$A:$H,4,0),0)</f>
        <v/>
      </c>
      <c r="L169">
        <f>IFERROR(VLOOKUP(D169,'Schedule Lookup'!$A:$H,5,0),0)</f>
        <v/>
      </c>
      <c r="M169">
        <f>IFERROR(VLOOKUP(D169,'Schedule Lookup'!$A:$H,6,0),0)</f>
        <v/>
      </c>
      <c r="N169">
        <f>IFERROR(VLOOKUP(D169,'Schedule Lookup'!$A:$H,7,0),0)</f>
        <v/>
      </c>
      <c r="O169">
        <f>IFERROR(VLOOKUP(D169,'Schedule Lookup'!$A:$H,8,0),0)</f>
        <v/>
      </c>
      <c r="T169">
        <f>IF(AND(E169&lt;TIME(9,0,0),F169&gt;TIME(0,0,1)),1,0)</f>
        <v/>
      </c>
      <c r="U169">
        <f>IF(AND(E169&lt;TIME(17,0,0),F169&gt;TIME(9,0,0)),1,0)</f>
        <v/>
      </c>
      <c r="V169">
        <f>IF(AND(E169&lt;TIME(21,0,0),F169&gt;TIME(17,0,0)),1,0)</f>
        <v/>
      </c>
      <c r="W169">
        <f>IF(F169&gt;TIME(17,0,0),1,0)</f>
        <v/>
      </c>
    </row>
    <row r="170">
      <c r="I170">
        <f>IFERROR(VLOOKUP(D170,'Schedule Lookup'!$A:$H,2,0),0)</f>
        <v/>
      </c>
      <c r="J170">
        <f>IFERROR(VLOOKUP(D170,'Schedule Lookup'!$A:$H,3,0),0)</f>
        <v/>
      </c>
      <c r="K170">
        <f>IFERROR(VLOOKUP(D170,'Schedule Lookup'!$A:$H,4,0),0)</f>
        <v/>
      </c>
      <c r="L170">
        <f>IFERROR(VLOOKUP(D170,'Schedule Lookup'!$A:$H,5,0),0)</f>
        <v/>
      </c>
      <c r="M170">
        <f>IFERROR(VLOOKUP(D170,'Schedule Lookup'!$A:$H,6,0),0)</f>
        <v/>
      </c>
      <c r="N170">
        <f>IFERROR(VLOOKUP(D170,'Schedule Lookup'!$A:$H,7,0),0)</f>
        <v/>
      </c>
      <c r="O170">
        <f>IFERROR(VLOOKUP(D170,'Schedule Lookup'!$A:$H,8,0),0)</f>
        <v/>
      </c>
      <c r="T170">
        <f>IF(AND(E170&lt;TIME(9,0,0),F170&gt;TIME(0,0,1)),1,0)</f>
        <v/>
      </c>
      <c r="U170">
        <f>IF(AND(E170&lt;TIME(17,0,0),F170&gt;TIME(9,0,0)),1,0)</f>
        <v/>
      </c>
      <c r="V170">
        <f>IF(AND(E170&lt;TIME(21,0,0),F170&gt;TIME(17,0,0)),1,0)</f>
        <v/>
      </c>
      <c r="W170">
        <f>IF(F170&gt;TIME(17,0,0),1,0)</f>
        <v/>
      </c>
    </row>
    <row r="171">
      <c r="I171">
        <f>IFERROR(VLOOKUP(D171,'Schedule Lookup'!$A:$H,2,0),0)</f>
        <v/>
      </c>
      <c r="J171">
        <f>IFERROR(VLOOKUP(D171,'Schedule Lookup'!$A:$H,3,0),0)</f>
        <v/>
      </c>
      <c r="K171">
        <f>IFERROR(VLOOKUP(D171,'Schedule Lookup'!$A:$H,4,0),0)</f>
        <v/>
      </c>
      <c r="L171">
        <f>IFERROR(VLOOKUP(D171,'Schedule Lookup'!$A:$H,5,0),0)</f>
        <v/>
      </c>
      <c r="M171">
        <f>IFERROR(VLOOKUP(D171,'Schedule Lookup'!$A:$H,6,0),0)</f>
        <v/>
      </c>
      <c r="N171">
        <f>IFERROR(VLOOKUP(D171,'Schedule Lookup'!$A:$H,7,0),0)</f>
        <v/>
      </c>
      <c r="O171">
        <f>IFERROR(VLOOKUP(D171,'Schedule Lookup'!$A:$H,8,0),0)</f>
        <v/>
      </c>
      <c r="T171">
        <f>IF(AND(E171&lt;TIME(9,0,0),F171&gt;TIME(0,0,1)),1,0)</f>
        <v/>
      </c>
      <c r="U171">
        <f>IF(AND(E171&lt;TIME(17,0,0),F171&gt;TIME(9,0,0)),1,0)</f>
        <v/>
      </c>
      <c r="V171">
        <f>IF(AND(E171&lt;TIME(21,0,0),F171&gt;TIME(17,0,0)),1,0)</f>
        <v/>
      </c>
      <c r="W171">
        <f>IF(F171&gt;TIME(17,0,0),1,0)</f>
        <v/>
      </c>
    </row>
    <row r="172">
      <c r="I172">
        <f>IFERROR(VLOOKUP(D172,'Schedule Lookup'!$A:$H,2,0),0)</f>
        <v/>
      </c>
      <c r="J172">
        <f>IFERROR(VLOOKUP(D172,'Schedule Lookup'!$A:$H,3,0),0)</f>
        <v/>
      </c>
      <c r="K172">
        <f>IFERROR(VLOOKUP(D172,'Schedule Lookup'!$A:$H,4,0),0)</f>
        <v/>
      </c>
      <c r="L172">
        <f>IFERROR(VLOOKUP(D172,'Schedule Lookup'!$A:$H,5,0),0)</f>
        <v/>
      </c>
      <c r="M172">
        <f>IFERROR(VLOOKUP(D172,'Schedule Lookup'!$A:$H,6,0),0)</f>
        <v/>
      </c>
      <c r="N172">
        <f>IFERROR(VLOOKUP(D172,'Schedule Lookup'!$A:$H,7,0),0)</f>
        <v/>
      </c>
      <c r="O172">
        <f>IFERROR(VLOOKUP(D172,'Schedule Lookup'!$A:$H,8,0),0)</f>
        <v/>
      </c>
      <c r="T172">
        <f>IF(AND(E172&lt;TIME(9,0,0),F172&gt;TIME(0,0,1)),1,0)</f>
        <v/>
      </c>
      <c r="U172">
        <f>IF(AND(E172&lt;TIME(17,0,0),F172&gt;TIME(9,0,0)),1,0)</f>
        <v/>
      </c>
      <c r="V172">
        <f>IF(AND(E172&lt;TIME(21,0,0),F172&gt;TIME(17,0,0)),1,0)</f>
        <v/>
      </c>
      <c r="W172">
        <f>IF(F172&gt;TIME(17,0,0),1,0)</f>
        <v/>
      </c>
    </row>
    <row r="173">
      <c r="I173">
        <f>IFERROR(VLOOKUP(D173,'Schedule Lookup'!$A:$H,2,0),0)</f>
        <v/>
      </c>
      <c r="J173">
        <f>IFERROR(VLOOKUP(D173,'Schedule Lookup'!$A:$H,3,0),0)</f>
        <v/>
      </c>
      <c r="K173">
        <f>IFERROR(VLOOKUP(D173,'Schedule Lookup'!$A:$H,4,0),0)</f>
        <v/>
      </c>
      <c r="L173">
        <f>IFERROR(VLOOKUP(D173,'Schedule Lookup'!$A:$H,5,0),0)</f>
        <v/>
      </c>
      <c r="M173">
        <f>IFERROR(VLOOKUP(D173,'Schedule Lookup'!$A:$H,6,0),0)</f>
        <v/>
      </c>
      <c r="N173">
        <f>IFERROR(VLOOKUP(D173,'Schedule Lookup'!$A:$H,7,0),0)</f>
        <v/>
      </c>
      <c r="O173">
        <f>IFERROR(VLOOKUP(D173,'Schedule Lookup'!$A:$H,8,0),0)</f>
        <v/>
      </c>
      <c r="T173">
        <f>IF(AND(E173&lt;TIME(9,0,0),F173&gt;TIME(0,0,1)),1,0)</f>
        <v/>
      </c>
      <c r="U173">
        <f>IF(AND(E173&lt;TIME(17,0,0),F173&gt;TIME(9,0,0)),1,0)</f>
        <v/>
      </c>
      <c r="V173">
        <f>IF(AND(E173&lt;TIME(21,0,0),F173&gt;TIME(17,0,0)),1,0)</f>
        <v/>
      </c>
      <c r="W173">
        <f>IF(F173&gt;TIME(17,0,0),1,0)</f>
        <v/>
      </c>
    </row>
    <row r="174">
      <c r="I174">
        <f>IFERROR(VLOOKUP(D174,'Schedule Lookup'!$A:$H,2,0),0)</f>
        <v/>
      </c>
      <c r="J174">
        <f>IFERROR(VLOOKUP(D174,'Schedule Lookup'!$A:$H,3,0),0)</f>
        <v/>
      </c>
      <c r="K174">
        <f>IFERROR(VLOOKUP(D174,'Schedule Lookup'!$A:$H,4,0),0)</f>
        <v/>
      </c>
      <c r="L174">
        <f>IFERROR(VLOOKUP(D174,'Schedule Lookup'!$A:$H,5,0),0)</f>
        <v/>
      </c>
      <c r="M174">
        <f>IFERROR(VLOOKUP(D174,'Schedule Lookup'!$A:$H,6,0),0)</f>
        <v/>
      </c>
      <c r="N174">
        <f>IFERROR(VLOOKUP(D174,'Schedule Lookup'!$A:$H,7,0),0)</f>
        <v/>
      </c>
      <c r="O174">
        <f>IFERROR(VLOOKUP(D174,'Schedule Lookup'!$A:$H,8,0),0)</f>
        <v/>
      </c>
      <c r="T174">
        <f>IF(AND(E174&lt;TIME(9,0,0),F174&gt;TIME(0,0,1)),1,0)</f>
        <v/>
      </c>
      <c r="U174">
        <f>IF(AND(E174&lt;TIME(17,0,0),F174&gt;TIME(9,0,0)),1,0)</f>
        <v/>
      </c>
      <c r="V174">
        <f>IF(AND(E174&lt;TIME(21,0,0),F174&gt;TIME(17,0,0)),1,0)</f>
        <v/>
      </c>
      <c r="W174">
        <f>IF(F174&gt;TIME(17,0,0),1,0)</f>
        <v/>
      </c>
    </row>
    <row r="175">
      <c r="I175">
        <f>IFERROR(VLOOKUP(D175,'Schedule Lookup'!$A:$H,2,0),0)</f>
        <v/>
      </c>
      <c r="J175">
        <f>IFERROR(VLOOKUP(D175,'Schedule Lookup'!$A:$H,3,0),0)</f>
        <v/>
      </c>
      <c r="K175">
        <f>IFERROR(VLOOKUP(D175,'Schedule Lookup'!$A:$H,4,0),0)</f>
        <v/>
      </c>
      <c r="L175">
        <f>IFERROR(VLOOKUP(D175,'Schedule Lookup'!$A:$H,5,0),0)</f>
        <v/>
      </c>
      <c r="M175">
        <f>IFERROR(VLOOKUP(D175,'Schedule Lookup'!$A:$H,6,0),0)</f>
        <v/>
      </c>
      <c r="N175">
        <f>IFERROR(VLOOKUP(D175,'Schedule Lookup'!$A:$H,7,0),0)</f>
        <v/>
      </c>
      <c r="O175">
        <f>IFERROR(VLOOKUP(D175,'Schedule Lookup'!$A:$H,8,0),0)</f>
        <v/>
      </c>
      <c r="T175">
        <f>IF(AND(E175&lt;TIME(9,0,0),F175&gt;TIME(0,0,1)),1,0)</f>
        <v/>
      </c>
      <c r="U175">
        <f>IF(AND(E175&lt;TIME(17,0,0),F175&gt;TIME(9,0,0)),1,0)</f>
        <v/>
      </c>
      <c r="V175">
        <f>IF(AND(E175&lt;TIME(21,0,0),F175&gt;TIME(17,0,0)),1,0)</f>
        <v/>
      </c>
      <c r="W175">
        <f>IF(F175&gt;TIME(17,0,0),1,0)</f>
        <v/>
      </c>
    </row>
    <row r="176">
      <c r="I176">
        <f>IFERROR(VLOOKUP(D176,'Schedule Lookup'!$A:$H,2,0),0)</f>
        <v/>
      </c>
      <c r="J176">
        <f>IFERROR(VLOOKUP(D176,'Schedule Lookup'!$A:$H,3,0),0)</f>
        <v/>
      </c>
      <c r="K176">
        <f>IFERROR(VLOOKUP(D176,'Schedule Lookup'!$A:$H,4,0),0)</f>
        <v/>
      </c>
      <c r="L176">
        <f>IFERROR(VLOOKUP(D176,'Schedule Lookup'!$A:$H,5,0),0)</f>
        <v/>
      </c>
      <c r="M176">
        <f>IFERROR(VLOOKUP(D176,'Schedule Lookup'!$A:$H,6,0),0)</f>
        <v/>
      </c>
      <c r="N176">
        <f>IFERROR(VLOOKUP(D176,'Schedule Lookup'!$A:$H,7,0),0)</f>
        <v/>
      </c>
      <c r="O176">
        <f>IFERROR(VLOOKUP(D176,'Schedule Lookup'!$A:$H,8,0),0)</f>
        <v/>
      </c>
      <c r="T176">
        <f>IF(AND(E176&lt;TIME(9,0,0),F176&gt;TIME(0,0,1)),1,0)</f>
        <v/>
      </c>
      <c r="U176">
        <f>IF(AND(E176&lt;TIME(17,0,0),F176&gt;TIME(9,0,0)),1,0)</f>
        <v/>
      </c>
      <c r="V176">
        <f>IF(AND(E176&lt;TIME(21,0,0),F176&gt;TIME(17,0,0)),1,0)</f>
        <v/>
      </c>
      <c r="W176">
        <f>IF(F176&gt;TIME(17,0,0),1,0)</f>
        <v/>
      </c>
    </row>
    <row r="177">
      <c r="I177">
        <f>IFERROR(VLOOKUP(D177,'Schedule Lookup'!$A:$H,2,0),0)</f>
        <v/>
      </c>
      <c r="J177">
        <f>IFERROR(VLOOKUP(D177,'Schedule Lookup'!$A:$H,3,0),0)</f>
        <v/>
      </c>
      <c r="K177">
        <f>IFERROR(VLOOKUP(D177,'Schedule Lookup'!$A:$H,4,0),0)</f>
        <v/>
      </c>
      <c r="L177">
        <f>IFERROR(VLOOKUP(D177,'Schedule Lookup'!$A:$H,5,0),0)</f>
        <v/>
      </c>
      <c r="M177">
        <f>IFERROR(VLOOKUP(D177,'Schedule Lookup'!$A:$H,6,0),0)</f>
        <v/>
      </c>
      <c r="N177">
        <f>IFERROR(VLOOKUP(D177,'Schedule Lookup'!$A:$H,7,0),0)</f>
        <v/>
      </c>
      <c r="O177">
        <f>IFERROR(VLOOKUP(D177,'Schedule Lookup'!$A:$H,8,0),0)</f>
        <v/>
      </c>
      <c r="T177">
        <f>IF(AND(E177&lt;TIME(9,0,0),F177&gt;TIME(0,0,1)),1,0)</f>
        <v/>
      </c>
      <c r="U177">
        <f>IF(AND(E177&lt;TIME(17,0,0),F177&gt;TIME(9,0,0)),1,0)</f>
        <v/>
      </c>
      <c r="V177">
        <f>IF(AND(E177&lt;TIME(21,0,0),F177&gt;TIME(17,0,0)),1,0)</f>
        <v/>
      </c>
      <c r="W177">
        <f>IF(F177&gt;TIME(17,0,0),1,0)</f>
        <v/>
      </c>
    </row>
    <row r="178">
      <c r="I178">
        <f>IFERROR(VLOOKUP(D178,'Schedule Lookup'!$A:$H,2,0),0)</f>
        <v/>
      </c>
      <c r="J178">
        <f>IFERROR(VLOOKUP(D178,'Schedule Lookup'!$A:$H,3,0),0)</f>
        <v/>
      </c>
      <c r="K178">
        <f>IFERROR(VLOOKUP(D178,'Schedule Lookup'!$A:$H,4,0),0)</f>
        <v/>
      </c>
      <c r="L178">
        <f>IFERROR(VLOOKUP(D178,'Schedule Lookup'!$A:$H,5,0),0)</f>
        <v/>
      </c>
      <c r="M178">
        <f>IFERROR(VLOOKUP(D178,'Schedule Lookup'!$A:$H,6,0),0)</f>
        <v/>
      </c>
      <c r="N178">
        <f>IFERROR(VLOOKUP(D178,'Schedule Lookup'!$A:$H,7,0),0)</f>
        <v/>
      </c>
      <c r="O178">
        <f>IFERROR(VLOOKUP(D178,'Schedule Lookup'!$A:$H,8,0),0)</f>
        <v/>
      </c>
      <c r="T178">
        <f>IF(AND(E178&lt;TIME(9,0,0),F178&gt;TIME(0,0,1)),1,0)</f>
        <v/>
      </c>
      <c r="U178">
        <f>IF(AND(E178&lt;TIME(17,0,0),F178&gt;TIME(9,0,0)),1,0)</f>
        <v/>
      </c>
      <c r="V178">
        <f>IF(AND(E178&lt;TIME(21,0,0),F178&gt;TIME(17,0,0)),1,0)</f>
        <v/>
      </c>
      <c r="W178">
        <f>IF(F178&gt;TIME(17,0,0),1,0)</f>
        <v/>
      </c>
    </row>
    <row r="179">
      <c r="I179">
        <f>IFERROR(VLOOKUP(D179,'Schedule Lookup'!$A:$H,2,0),0)</f>
        <v/>
      </c>
      <c r="J179">
        <f>IFERROR(VLOOKUP(D179,'Schedule Lookup'!$A:$H,3,0),0)</f>
        <v/>
      </c>
      <c r="K179">
        <f>IFERROR(VLOOKUP(D179,'Schedule Lookup'!$A:$H,4,0),0)</f>
        <v/>
      </c>
      <c r="L179">
        <f>IFERROR(VLOOKUP(D179,'Schedule Lookup'!$A:$H,5,0),0)</f>
        <v/>
      </c>
      <c r="M179">
        <f>IFERROR(VLOOKUP(D179,'Schedule Lookup'!$A:$H,6,0),0)</f>
        <v/>
      </c>
      <c r="N179">
        <f>IFERROR(VLOOKUP(D179,'Schedule Lookup'!$A:$H,7,0),0)</f>
        <v/>
      </c>
      <c r="O179">
        <f>IFERROR(VLOOKUP(D179,'Schedule Lookup'!$A:$H,8,0),0)</f>
        <v/>
      </c>
      <c r="T179">
        <f>IF(AND(E179&lt;TIME(9,0,0),F179&gt;TIME(0,0,1)),1,0)</f>
        <v/>
      </c>
      <c r="U179">
        <f>IF(AND(E179&lt;TIME(17,0,0),F179&gt;TIME(9,0,0)),1,0)</f>
        <v/>
      </c>
      <c r="V179">
        <f>IF(AND(E179&lt;TIME(21,0,0),F179&gt;TIME(17,0,0)),1,0)</f>
        <v/>
      </c>
      <c r="W179">
        <f>IF(F179&gt;TIME(17,0,0),1,0)</f>
        <v/>
      </c>
    </row>
    <row r="180">
      <c r="I180">
        <f>IFERROR(VLOOKUP(D180,'Schedule Lookup'!$A:$H,2,0),0)</f>
        <v/>
      </c>
      <c r="J180">
        <f>IFERROR(VLOOKUP(D180,'Schedule Lookup'!$A:$H,3,0),0)</f>
        <v/>
      </c>
      <c r="K180">
        <f>IFERROR(VLOOKUP(D180,'Schedule Lookup'!$A:$H,4,0),0)</f>
        <v/>
      </c>
      <c r="L180">
        <f>IFERROR(VLOOKUP(D180,'Schedule Lookup'!$A:$H,5,0),0)</f>
        <v/>
      </c>
      <c r="M180">
        <f>IFERROR(VLOOKUP(D180,'Schedule Lookup'!$A:$H,6,0),0)</f>
        <v/>
      </c>
      <c r="N180">
        <f>IFERROR(VLOOKUP(D180,'Schedule Lookup'!$A:$H,7,0),0)</f>
        <v/>
      </c>
      <c r="O180">
        <f>IFERROR(VLOOKUP(D180,'Schedule Lookup'!$A:$H,8,0),0)</f>
        <v/>
      </c>
      <c r="T180">
        <f>IF(AND(E180&lt;TIME(9,0,0),F180&gt;TIME(0,0,1)),1,0)</f>
        <v/>
      </c>
      <c r="U180">
        <f>IF(AND(E180&lt;TIME(17,0,0),F180&gt;TIME(9,0,0)),1,0)</f>
        <v/>
      </c>
      <c r="V180">
        <f>IF(AND(E180&lt;TIME(21,0,0),F180&gt;TIME(17,0,0)),1,0)</f>
        <v/>
      </c>
      <c r="W180">
        <f>IF(F180&gt;TIME(17,0,0),1,0)</f>
        <v/>
      </c>
    </row>
    <row r="181">
      <c r="I181">
        <f>IFERROR(VLOOKUP(D181,'Schedule Lookup'!$A:$H,2,0),0)</f>
        <v/>
      </c>
      <c r="J181">
        <f>IFERROR(VLOOKUP(D181,'Schedule Lookup'!$A:$H,3,0),0)</f>
        <v/>
      </c>
      <c r="K181">
        <f>IFERROR(VLOOKUP(D181,'Schedule Lookup'!$A:$H,4,0),0)</f>
        <v/>
      </c>
      <c r="L181">
        <f>IFERROR(VLOOKUP(D181,'Schedule Lookup'!$A:$H,5,0),0)</f>
        <v/>
      </c>
      <c r="M181">
        <f>IFERROR(VLOOKUP(D181,'Schedule Lookup'!$A:$H,6,0),0)</f>
        <v/>
      </c>
      <c r="N181">
        <f>IFERROR(VLOOKUP(D181,'Schedule Lookup'!$A:$H,7,0),0)</f>
        <v/>
      </c>
      <c r="O181">
        <f>IFERROR(VLOOKUP(D181,'Schedule Lookup'!$A:$H,8,0),0)</f>
        <v/>
      </c>
      <c r="T181">
        <f>IF(AND(E181&lt;TIME(9,0,0),F181&gt;TIME(0,0,1)),1,0)</f>
        <v/>
      </c>
      <c r="U181">
        <f>IF(AND(E181&lt;TIME(17,0,0),F181&gt;TIME(9,0,0)),1,0)</f>
        <v/>
      </c>
      <c r="V181">
        <f>IF(AND(E181&lt;TIME(21,0,0),F181&gt;TIME(17,0,0)),1,0)</f>
        <v/>
      </c>
      <c r="W181">
        <f>IF(F181&gt;TIME(17,0,0),1,0)</f>
        <v/>
      </c>
    </row>
    <row r="182">
      <c r="I182">
        <f>IFERROR(VLOOKUP(D182,'Schedule Lookup'!$A:$H,2,0),0)</f>
        <v/>
      </c>
      <c r="J182">
        <f>IFERROR(VLOOKUP(D182,'Schedule Lookup'!$A:$H,3,0),0)</f>
        <v/>
      </c>
      <c r="K182">
        <f>IFERROR(VLOOKUP(D182,'Schedule Lookup'!$A:$H,4,0),0)</f>
        <v/>
      </c>
      <c r="L182">
        <f>IFERROR(VLOOKUP(D182,'Schedule Lookup'!$A:$H,5,0),0)</f>
        <v/>
      </c>
      <c r="M182">
        <f>IFERROR(VLOOKUP(D182,'Schedule Lookup'!$A:$H,6,0),0)</f>
        <v/>
      </c>
      <c r="N182">
        <f>IFERROR(VLOOKUP(D182,'Schedule Lookup'!$A:$H,7,0),0)</f>
        <v/>
      </c>
      <c r="O182">
        <f>IFERROR(VLOOKUP(D182,'Schedule Lookup'!$A:$H,8,0),0)</f>
        <v/>
      </c>
      <c r="T182">
        <f>IF(AND(E182&lt;TIME(9,0,0),F182&gt;TIME(0,0,1)),1,0)</f>
        <v/>
      </c>
      <c r="U182">
        <f>IF(AND(E182&lt;TIME(17,0,0),F182&gt;TIME(9,0,0)),1,0)</f>
        <v/>
      </c>
      <c r="V182">
        <f>IF(AND(E182&lt;TIME(21,0,0),F182&gt;TIME(17,0,0)),1,0)</f>
        <v/>
      </c>
      <c r="W182">
        <f>IF(F182&gt;TIME(17,0,0),1,0)</f>
        <v/>
      </c>
    </row>
    <row r="183">
      <c r="I183">
        <f>IFERROR(VLOOKUP(D183,'Schedule Lookup'!$A:$H,2,0),0)</f>
        <v/>
      </c>
      <c r="J183">
        <f>IFERROR(VLOOKUP(D183,'Schedule Lookup'!$A:$H,3,0),0)</f>
        <v/>
      </c>
      <c r="K183">
        <f>IFERROR(VLOOKUP(D183,'Schedule Lookup'!$A:$H,4,0),0)</f>
        <v/>
      </c>
      <c r="L183">
        <f>IFERROR(VLOOKUP(D183,'Schedule Lookup'!$A:$H,5,0),0)</f>
        <v/>
      </c>
      <c r="M183">
        <f>IFERROR(VLOOKUP(D183,'Schedule Lookup'!$A:$H,6,0),0)</f>
        <v/>
      </c>
      <c r="N183">
        <f>IFERROR(VLOOKUP(D183,'Schedule Lookup'!$A:$H,7,0),0)</f>
        <v/>
      </c>
      <c r="O183">
        <f>IFERROR(VLOOKUP(D183,'Schedule Lookup'!$A:$H,8,0),0)</f>
        <v/>
      </c>
      <c r="T183">
        <f>IF(AND(E183&lt;TIME(9,0,0),F183&gt;TIME(0,0,1)),1,0)</f>
        <v/>
      </c>
      <c r="U183">
        <f>IF(AND(E183&lt;TIME(17,0,0),F183&gt;TIME(9,0,0)),1,0)</f>
        <v/>
      </c>
      <c r="V183">
        <f>IF(AND(E183&lt;TIME(21,0,0),F183&gt;TIME(17,0,0)),1,0)</f>
        <v/>
      </c>
      <c r="W183">
        <f>IF(F183&gt;TIME(17,0,0),1,0)</f>
        <v/>
      </c>
    </row>
    <row r="184">
      <c r="I184">
        <f>IFERROR(VLOOKUP(D184,'Schedule Lookup'!$A:$H,2,0),0)</f>
        <v/>
      </c>
      <c r="J184">
        <f>IFERROR(VLOOKUP(D184,'Schedule Lookup'!$A:$H,3,0),0)</f>
        <v/>
      </c>
      <c r="K184">
        <f>IFERROR(VLOOKUP(D184,'Schedule Lookup'!$A:$H,4,0),0)</f>
        <v/>
      </c>
      <c r="L184">
        <f>IFERROR(VLOOKUP(D184,'Schedule Lookup'!$A:$H,5,0),0)</f>
        <v/>
      </c>
      <c r="M184">
        <f>IFERROR(VLOOKUP(D184,'Schedule Lookup'!$A:$H,6,0),0)</f>
        <v/>
      </c>
      <c r="N184">
        <f>IFERROR(VLOOKUP(D184,'Schedule Lookup'!$A:$H,7,0),0)</f>
        <v/>
      </c>
      <c r="O184">
        <f>IFERROR(VLOOKUP(D184,'Schedule Lookup'!$A:$H,8,0),0)</f>
        <v/>
      </c>
      <c r="T184">
        <f>IF(AND(E184&lt;TIME(9,0,0),F184&gt;TIME(0,0,1)),1,0)</f>
        <v/>
      </c>
      <c r="U184">
        <f>IF(AND(E184&lt;TIME(17,0,0),F184&gt;TIME(9,0,0)),1,0)</f>
        <v/>
      </c>
      <c r="V184">
        <f>IF(AND(E184&lt;TIME(21,0,0),F184&gt;TIME(17,0,0)),1,0)</f>
        <v/>
      </c>
      <c r="W184">
        <f>IF(F184&gt;TIME(17,0,0),1,0)</f>
        <v/>
      </c>
    </row>
    <row r="185">
      <c r="I185">
        <f>IFERROR(VLOOKUP(D185,'Schedule Lookup'!$A:$H,2,0),0)</f>
        <v/>
      </c>
      <c r="J185">
        <f>IFERROR(VLOOKUP(D185,'Schedule Lookup'!$A:$H,3,0),0)</f>
        <v/>
      </c>
      <c r="K185">
        <f>IFERROR(VLOOKUP(D185,'Schedule Lookup'!$A:$H,4,0),0)</f>
        <v/>
      </c>
      <c r="L185">
        <f>IFERROR(VLOOKUP(D185,'Schedule Lookup'!$A:$H,5,0),0)</f>
        <v/>
      </c>
      <c r="M185">
        <f>IFERROR(VLOOKUP(D185,'Schedule Lookup'!$A:$H,6,0),0)</f>
        <v/>
      </c>
      <c r="N185">
        <f>IFERROR(VLOOKUP(D185,'Schedule Lookup'!$A:$H,7,0),0)</f>
        <v/>
      </c>
      <c r="O185">
        <f>IFERROR(VLOOKUP(D185,'Schedule Lookup'!$A:$H,8,0),0)</f>
        <v/>
      </c>
      <c r="T185">
        <f>IF(AND(E185&lt;TIME(9,0,0),F185&gt;TIME(0,0,1)),1,0)</f>
        <v/>
      </c>
      <c r="U185">
        <f>IF(AND(E185&lt;TIME(17,0,0),F185&gt;TIME(9,0,0)),1,0)</f>
        <v/>
      </c>
      <c r="V185">
        <f>IF(AND(E185&lt;TIME(21,0,0),F185&gt;TIME(17,0,0)),1,0)</f>
        <v/>
      </c>
      <c r="W185">
        <f>IF(F185&gt;TIME(17,0,0),1,0)</f>
        <v/>
      </c>
    </row>
    <row r="186">
      <c r="I186">
        <f>IFERROR(VLOOKUP(D186,'Schedule Lookup'!$A:$H,2,0),0)</f>
        <v/>
      </c>
      <c r="J186">
        <f>IFERROR(VLOOKUP(D186,'Schedule Lookup'!$A:$H,3,0),0)</f>
        <v/>
      </c>
      <c r="K186">
        <f>IFERROR(VLOOKUP(D186,'Schedule Lookup'!$A:$H,4,0),0)</f>
        <v/>
      </c>
      <c r="L186">
        <f>IFERROR(VLOOKUP(D186,'Schedule Lookup'!$A:$H,5,0),0)</f>
        <v/>
      </c>
      <c r="M186">
        <f>IFERROR(VLOOKUP(D186,'Schedule Lookup'!$A:$H,6,0),0)</f>
        <v/>
      </c>
      <c r="N186">
        <f>IFERROR(VLOOKUP(D186,'Schedule Lookup'!$A:$H,7,0),0)</f>
        <v/>
      </c>
      <c r="O186">
        <f>IFERROR(VLOOKUP(D186,'Schedule Lookup'!$A:$H,8,0),0)</f>
        <v/>
      </c>
      <c r="T186">
        <f>IF(AND(E186&lt;TIME(9,0,0),F186&gt;TIME(0,0,1)),1,0)</f>
        <v/>
      </c>
      <c r="U186">
        <f>IF(AND(E186&lt;TIME(17,0,0),F186&gt;TIME(9,0,0)),1,0)</f>
        <v/>
      </c>
      <c r="V186">
        <f>IF(AND(E186&lt;TIME(21,0,0),F186&gt;TIME(17,0,0)),1,0)</f>
        <v/>
      </c>
      <c r="W186">
        <f>IF(F186&gt;TIME(17,0,0),1,0)</f>
        <v/>
      </c>
    </row>
    <row r="187">
      <c r="I187">
        <f>IFERROR(VLOOKUP(D187,'Schedule Lookup'!$A:$H,2,0),0)</f>
        <v/>
      </c>
      <c r="J187">
        <f>IFERROR(VLOOKUP(D187,'Schedule Lookup'!$A:$H,3,0),0)</f>
        <v/>
      </c>
      <c r="K187">
        <f>IFERROR(VLOOKUP(D187,'Schedule Lookup'!$A:$H,4,0),0)</f>
        <v/>
      </c>
      <c r="L187">
        <f>IFERROR(VLOOKUP(D187,'Schedule Lookup'!$A:$H,5,0),0)</f>
        <v/>
      </c>
      <c r="M187">
        <f>IFERROR(VLOOKUP(D187,'Schedule Lookup'!$A:$H,6,0),0)</f>
        <v/>
      </c>
      <c r="N187">
        <f>IFERROR(VLOOKUP(D187,'Schedule Lookup'!$A:$H,7,0),0)</f>
        <v/>
      </c>
      <c r="O187">
        <f>IFERROR(VLOOKUP(D187,'Schedule Lookup'!$A:$H,8,0),0)</f>
        <v/>
      </c>
      <c r="T187">
        <f>IF(AND(E187&lt;TIME(9,0,0),F187&gt;TIME(0,0,1)),1,0)</f>
        <v/>
      </c>
      <c r="U187">
        <f>IF(AND(E187&lt;TIME(17,0,0),F187&gt;TIME(9,0,0)),1,0)</f>
        <v/>
      </c>
      <c r="V187">
        <f>IF(AND(E187&lt;TIME(21,0,0),F187&gt;TIME(17,0,0)),1,0)</f>
        <v/>
      </c>
      <c r="W187">
        <f>IF(F187&gt;TIME(17,0,0),1,0)</f>
        <v/>
      </c>
    </row>
    <row r="188">
      <c r="I188">
        <f>IFERROR(VLOOKUP(D188,'Schedule Lookup'!$A:$H,2,0),0)</f>
        <v/>
      </c>
      <c r="J188">
        <f>IFERROR(VLOOKUP(D188,'Schedule Lookup'!$A:$H,3,0),0)</f>
        <v/>
      </c>
      <c r="K188">
        <f>IFERROR(VLOOKUP(D188,'Schedule Lookup'!$A:$H,4,0),0)</f>
        <v/>
      </c>
      <c r="L188">
        <f>IFERROR(VLOOKUP(D188,'Schedule Lookup'!$A:$H,5,0),0)</f>
        <v/>
      </c>
      <c r="M188">
        <f>IFERROR(VLOOKUP(D188,'Schedule Lookup'!$A:$H,6,0),0)</f>
        <v/>
      </c>
      <c r="N188">
        <f>IFERROR(VLOOKUP(D188,'Schedule Lookup'!$A:$H,7,0),0)</f>
        <v/>
      </c>
      <c r="O188">
        <f>IFERROR(VLOOKUP(D188,'Schedule Lookup'!$A:$H,8,0),0)</f>
        <v/>
      </c>
      <c r="T188">
        <f>IF(AND(E188&lt;TIME(9,0,0),F188&gt;TIME(0,0,1)),1,0)</f>
        <v/>
      </c>
      <c r="U188">
        <f>IF(AND(E188&lt;TIME(17,0,0),F188&gt;TIME(9,0,0)),1,0)</f>
        <v/>
      </c>
      <c r="V188">
        <f>IF(AND(E188&lt;TIME(21,0,0),F188&gt;TIME(17,0,0)),1,0)</f>
        <v/>
      </c>
      <c r="W188">
        <f>IF(F188&gt;TIME(17,0,0),1,0)</f>
        <v/>
      </c>
    </row>
    <row r="189">
      <c r="I189">
        <f>IFERROR(VLOOKUP(D189,'Schedule Lookup'!$A:$H,2,0),0)</f>
        <v/>
      </c>
      <c r="J189">
        <f>IFERROR(VLOOKUP(D189,'Schedule Lookup'!$A:$H,3,0),0)</f>
        <v/>
      </c>
      <c r="K189">
        <f>IFERROR(VLOOKUP(D189,'Schedule Lookup'!$A:$H,4,0),0)</f>
        <v/>
      </c>
      <c r="L189">
        <f>IFERROR(VLOOKUP(D189,'Schedule Lookup'!$A:$H,5,0),0)</f>
        <v/>
      </c>
      <c r="M189">
        <f>IFERROR(VLOOKUP(D189,'Schedule Lookup'!$A:$H,6,0),0)</f>
        <v/>
      </c>
      <c r="N189">
        <f>IFERROR(VLOOKUP(D189,'Schedule Lookup'!$A:$H,7,0),0)</f>
        <v/>
      </c>
      <c r="O189">
        <f>IFERROR(VLOOKUP(D189,'Schedule Lookup'!$A:$H,8,0),0)</f>
        <v/>
      </c>
      <c r="T189">
        <f>IF(AND(E189&lt;TIME(9,0,0),F189&gt;TIME(0,0,1)),1,0)</f>
        <v/>
      </c>
      <c r="U189">
        <f>IF(AND(E189&lt;TIME(17,0,0),F189&gt;TIME(9,0,0)),1,0)</f>
        <v/>
      </c>
      <c r="V189">
        <f>IF(AND(E189&lt;TIME(21,0,0),F189&gt;TIME(17,0,0)),1,0)</f>
        <v/>
      </c>
      <c r="W189">
        <f>IF(F189&gt;TIME(17,0,0),1,0)</f>
        <v/>
      </c>
    </row>
    <row r="190">
      <c r="I190">
        <f>IFERROR(VLOOKUP(D190,'Schedule Lookup'!$A:$H,2,0),0)</f>
        <v/>
      </c>
      <c r="J190">
        <f>IFERROR(VLOOKUP(D190,'Schedule Lookup'!$A:$H,3,0),0)</f>
        <v/>
      </c>
      <c r="K190">
        <f>IFERROR(VLOOKUP(D190,'Schedule Lookup'!$A:$H,4,0),0)</f>
        <v/>
      </c>
      <c r="L190">
        <f>IFERROR(VLOOKUP(D190,'Schedule Lookup'!$A:$H,5,0),0)</f>
        <v/>
      </c>
      <c r="M190">
        <f>IFERROR(VLOOKUP(D190,'Schedule Lookup'!$A:$H,6,0),0)</f>
        <v/>
      </c>
      <c r="N190">
        <f>IFERROR(VLOOKUP(D190,'Schedule Lookup'!$A:$H,7,0),0)</f>
        <v/>
      </c>
      <c r="O190">
        <f>IFERROR(VLOOKUP(D190,'Schedule Lookup'!$A:$H,8,0),0)</f>
        <v/>
      </c>
      <c r="T190">
        <f>IF(AND(E190&lt;TIME(9,0,0),F190&gt;TIME(0,0,1)),1,0)</f>
        <v/>
      </c>
      <c r="U190">
        <f>IF(AND(E190&lt;TIME(17,0,0),F190&gt;TIME(9,0,0)),1,0)</f>
        <v/>
      </c>
      <c r="V190">
        <f>IF(AND(E190&lt;TIME(21,0,0),F190&gt;TIME(17,0,0)),1,0)</f>
        <v/>
      </c>
      <c r="W190">
        <f>IF(F190&gt;TIME(17,0,0),1,0)</f>
        <v/>
      </c>
    </row>
    <row r="191">
      <c r="I191">
        <f>IFERROR(VLOOKUP(D191,'Schedule Lookup'!$A:$H,2,0),0)</f>
        <v/>
      </c>
      <c r="J191">
        <f>IFERROR(VLOOKUP(D191,'Schedule Lookup'!$A:$H,3,0),0)</f>
        <v/>
      </c>
      <c r="K191">
        <f>IFERROR(VLOOKUP(D191,'Schedule Lookup'!$A:$H,4,0),0)</f>
        <v/>
      </c>
      <c r="L191">
        <f>IFERROR(VLOOKUP(D191,'Schedule Lookup'!$A:$H,5,0),0)</f>
        <v/>
      </c>
      <c r="M191">
        <f>IFERROR(VLOOKUP(D191,'Schedule Lookup'!$A:$H,6,0),0)</f>
        <v/>
      </c>
      <c r="N191">
        <f>IFERROR(VLOOKUP(D191,'Schedule Lookup'!$A:$H,7,0),0)</f>
        <v/>
      </c>
      <c r="O191">
        <f>IFERROR(VLOOKUP(D191,'Schedule Lookup'!$A:$H,8,0),0)</f>
        <v/>
      </c>
      <c r="T191">
        <f>IF(AND(E191&lt;TIME(9,0,0),F191&gt;TIME(0,0,1)),1,0)</f>
        <v/>
      </c>
      <c r="U191">
        <f>IF(AND(E191&lt;TIME(17,0,0),F191&gt;TIME(9,0,0)),1,0)</f>
        <v/>
      </c>
      <c r="V191">
        <f>IF(AND(E191&lt;TIME(21,0,0),F191&gt;TIME(17,0,0)),1,0)</f>
        <v/>
      </c>
      <c r="W191">
        <f>IF(F191&gt;TIME(17,0,0),1,0)</f>
        <v/>
      </c>
    </row>
    <row r="192">
      <c r="I192">
        <f>IFERROR(VLOOKUP(D192,'Schedule Lookup'!$A:$H,2,0),0)</f>
        <v/>
      </c>
      <c r="J192">
        <f>IFERROR(VLOOKUP(D192,'Schedule Lookup'!$A:$H,3,0),0)</f>
        <v/>
      </c>
      <c r="K192">
        <f>IFERROR(VLOOKUP(D192,'Schedule Lookup'!$A:$H,4,0),0)</f>
        <v/>
      </c>
      <c r="L192">
        <f>IFERROR(VLOOKUP(D192,'Schedule Lookup'!$A:$H,5,0),0)</f>
        <v/>
      </c>
      <c r="M192">
        <f>IFERROR(VLOOKUP(D192,'Schedule Lookup'!$A:$H,6,0),0)</f>
        <v/>
      </c>
      <c r="N192">
        <f>IFERROR(VLOOKUP(D192,'Schedule Lookup'!$A:$H,7,0),0)</f>
        <v/>
      </c>
      <c r="O192">
        <f>IFERROR(VLOOKUP(D192,'Schedule Lookup'!$A:$H,8,0),0)</f>
        <v/>
      </c>
      <c r="T192">
        <f>IF(AND(E192&lt;TIME(9,0,0),F192&gt;TIME(0,0,1)),1,0)</f>
        <v/>
      </c>
      <c r="U192">
        <f>IF(AND(E192&lt;TIME(17,0,0),F192&gt;TIME(9,0,0)),1,0)</f>
        <v/>
      </c>
      <c r="V192">
        <f>IF(AND(E192&lt;TIME(21,0,0),F192&gt;TIME(17,0,0)),1,0)</f>
        <v/>
      </c>
      <c r="W192">
        <f>IF(F192&gt;TIME(17,0,0),1,0)</f>
        <v/>
      </c>
    </row>
    <row r="193">
      <c r="I193">
        <f>IFERROR(VLOOKUP(D193,'Schedule Lookup'!$A:$H,2,0),0)</f>
        <v/>
      </c>
      <c r="J193">
        <f>IFERROR(VLOOKUP(D193,'Schedule Lookup'!$A:$H,3,0),0)</f>
        <v/>
      </c>
      <c r="K193">
        <f>IFERROR(VLOOKUP(D193,'Schedule Lookup'!$A:$H,4,0),0)</f>
        <v/>
      </c>
      <c r="L193">
        <f>IFERROR(VLOOKUP(D193,'Schedule Lookup'!$A:$H,5,0),0)</f>
        <v/>
      </c>
      <c r="M193">
        <f>IFERROR(VLOOKUP(D193,'Schedule Lookup'!$A:$H,6,0),0)</f>
        <v/>
      </c>
      <c r="N193">
        <f>IFERROR(VLOOKUP(D193,'Schedule Lookup'!$A:$H,7,0),0)</f>
        <v/>
      </c>
      <c r="O193">
        <f>IFERROR(VLOOKUP(D193,'Schedule Lookup'!$A:$H,8,0),0)</f>
        <v/>
      </c>
      <c r="T193">
        <f>IF(AND(E193&lt;TIME(9,0,0),F193&gt;TIME(0,0,1)),1,0)</f>
        <v/>
      </c>
      <c r="U193">
        <f>IF(AND(E193&lt;TIME(17,0,0),F193&gt;TIME(9,0,0)),1,0)</f>
        <v/>
      </c>
      <c r="V193">
        <f>IF(AND(E193&lt;TIME(21,0,0),F193&gt;TIME(17,0,0)),1,0)</f>
        <v/>
      </c>
      <c r="W193">
        <f>IF(F193&gt;TIME(17,0,0),1,0)</f>
        <v/>
      </c>
    </row>
    <row r="194">
      <c r="I194">
        <f>IFERROR(VLOOKUP(D194,'Schedule Lookup'!$A:$H,2,0),0)</f>
        <v/>
      </c>
      <c r="J194">
        <f>IFERROR(VLOOKUP(D194,'Schedule Lookup'!$A:$H,3,0),0)</f>
        <v/>
      </c>
      <c r="K194">
        <f>IFERROR(VLOOKUP(D194,'Schedule Lookup'!$A:$H,4,0),0)</f>
        <v/>
      </c>
      <c r="L194">
        <f>IFERROR(VLOOKUP(D194,'Schedule Lookup'!$A:$H,5,0),0)</f>
        <v/>
      </c>
      <c r="M194">
        <f>IFERROR(VLOOKUP(D194,'Schedule Lookup'!$A:$H,6,0),0)</f>
        <v/>
      </c>
      <c r="N194">
        <f>IFERROR(VLOOKUP(D194,'Schedule Lookup'!$A:$H,7,0),0)</f>
        <v/>
      </c>
      <c r="O194">
        <f>IFERROR(VLOOKUP(D194,'Schedule Lookup'!$A:$H,8,0),0)</f>
        <v/>
      </c>
      <c r="T194">
        <f>IF(AND(E194&lt;TIME(9,0,0),F194&gt;TIME(0,0,1)),1,0)</f>
        <v/>
      </c>
      <c r="U194">
        <f>IF(AND(E194&lt;TIME(17,0,0),F194&gt;TIME(9,0,0)),1,0)</f>
        <v/>
      </c>
      <c r="V194">
        <f>IF(AND(E194&lt;TIME(21,0,0),F194&gt;TIME(17,0,0)),1,0)</f>
        <v/>
      </c>
      <c r="W194">
        <f>IF(F194&gt;TIME(17,0,0),1,0)</f>
        <v/>
      </c>
    </row>
    <row r="195">
      <c r="I195">
        <f>IFERROR(VLOOKUP(D195,'Schedule Lookup'!$A:$H,2,0),0)</f>
        <v/>
      </c>
      <c r="J195">
        <f>IFERROR(VLOOKUP(D195,'Schedule Lookup'!$A:$H,3,0),0)</f>
        <v/>
      </c>
      <c r="K195">
        <f>IFERROR(VLOOKUP(D195,'Schedule Lookup'!$A:$H,4,0),0)</f>
        <v/>
      </c>
      <c r="L195">
        <f>IFERROR(VLOOKUP(D195,'Schedule Lookup'!$A:$H,5,0),0)</f>
        <v/>
      </c>
      <c r="M195">
        <f>IFERROR(VLOOKUP(D195,'Schedule Lookup'!$A:$H,6,0),0)</f>
        <v/>
      </c>
      <c r="N195">
        <f>IFERROR(VLOOKUP(D195,'Schedule Lookup'!$A:$H,7,0),0)</f>
        <v/>
      </c>
      <c r="O195">
        <f>IFERROR(VLOOKUP(D195,'Schedule Lookup'!$A:$H,8,0),0)</f>
        <v/>
      </c>
      <c r="T195">
        <f>IF(AND(E195&lt;TIME(9,0,0),F195&gt;TIME(0,0,1)),1,0)</f>
        <v/>
      </c>
      <c r="U195">
        <f>IF(AND(E195&lt;TIME(17,0,0),F195&gt;TIME(9,0,0)),1,0)</f>
        <v/>
      </c>
      <c r="V195">
        <f>IF(AND(E195&lt;TIME(21,0,0),F195&gt;TIME(17,0,0)),1,0)</f>
        <v/>
      </c>
      <c r="W195">
        <f>IF(F195&gt;TIME(17,0,0),1,0)</f>
        <v/>
      </c>
    </row>
    <row r="196">
      <c r="I196">
        <f>IFERROR(VLOOKUP(D196,'Schedule Lookup'!$A:$H,2,0),0)</f>
        <v/>
      </c>
      <c r="J196">
        <f>IFERROR(VLOOKUP(D196,'Schedule Lookup'!$A:$H,3,0),0)</f>
        <v/>
      </c>
      <c r="K196">
        <f>IFERROR(VLOOKUP(D196,'Schedule Lookup'!$A:$H,4,0),0)</f>
        <v/>
      </c>
      <c r="L196">
        <f>IFERROR(VLOOKUP(D196,'Schedule Lookup'!$A:$H,5,0),0)</f>
        <v/>
      </c>
      <c r="M196">
        <f>IFERROR(VLOOKUP(D196,'Schedule Lookup'!$A:$H,6,0),0)</f>
        <v/>
      </c>
      <c r="N196">
        <f>IFERROR(VLOOKUP(D196,'Schedule Lookup'!$A:$H,7,0),0)</f>
        <v/>
      </c>
      <c r="O196">
        <f>IFERROR(VLOOKUP(D196,'Schedule Lookup'!$A:$H,8,0),0)</f>
        <v/>
      </c>
      <c r="T196">
        <f>IF(AND(E196&lt;TIME(9,0,0),F196&gt;TIME(0,0,1)),1,0)</f>
        <v/>
      </c>
      <c r="U196">
        <f>IF(AND(E196&lt;TIME(17,0,0),F196&gt;TIME(9,0,0)),1,0)</f>
        <v/>
      </c>
      <c r="V196">
        <f>IF(AND(E196&lt;TIME(21,0,0),F196&gt;TIME(17,0,0)),1,0)</f>
        <v/>
      </c>
      <c r="W196">
        <f>IF(F196&gt;TIME(17,0,0),1,0)</f>
        <v/>
      </c>
    </row>
    <row r="197">
      <c r="I197">
        <f>IFERROR(VLOOKUP(D197,'Schedule Lookup'!$A:$H,2,0),0)</f>
        <v/>
      </c>
      <c r="J197">
        <f>IFERROR(VLOOKUP(D197,'Schedule Lookup'!$A:$H,3,0),0)</f>
        <v/>
      </c>
      <c r="K197">
        <f>IFERROR(VLOOKUP(D197,'Schedule Lookup'!$A:$H,4,0),0)</f>
        <v/>
      </c>
      <c r="L197">
        <f>IFERROR(VLOOKUP(D197,'Schedule Lookup'!$A:$H,5,0),0)</f>
        <v/>
      </c>
      <c r="M197">
        <f>IFERROR(VLOOKUP(D197,'Schedule Lookup'!$A:$H,6,0),0)</f>
        <v/>
      </c>
      <c r="N197">
        <f>IFERROR(VLOOKUP(D197,'Schedule Lookup'!$A:$H,7,0),0)</f>
        <v/>
      </c>
      <c r="O197">
        <f>IFERROR(VLOOKUP(D197,'Schedule Lookup'!$A:$H,8,0),0)</f>
        <v/>
      </c>
      <c r="T197">
        <f>IF(AND(E197&lt;TIME(9,0,0),F197&gt;TIME(0,0,1)),1,0)</f>
        <v/>
      </c>
      <c r="U197">
        <f>IF(AND(E197&lt;TIME(17,0,0),F197&gt;TIME(9,0,0)),1,0)</f>
        <v/>
      </c>
      <c r="V197">
        <f>IF(AND(E197&lt;TIME(21,0,0),F197&gt;TIME(17,0,0)),1,0)</f>
        <v/>
      </c>
      <c r="W197">
        <f>IF(F197&gt;TIME(17,0,0),1,0)</f>
        <v/>
      </c>
    </row>
    <row r="198">
      <c r="I198">
        <f>IFERROR(VLOOKUP(D198,'Schedule Lookup'!$A:$H,2,0),0)</f>
        <v/>
      </c>
      <c r="J198">
        <f>IFERROR(VLOOKUP(D198,'Schedule Lookup'!$A:$H,3,0),0)</f>
        <v/>
      </c>
      <c r="K198">
        <f>IFERROR(VLOOKUP(D198,'Schedule Lookup'!$A:$H,4,0),0)</f>
        <v/>
      </c>
      <c r="L198">
        <f>IFERROR(VLOOKUP(D198,'Schedule Lookup'!$A:$H,5,0),0)</f>
        <v/>
      </c>
      <c r="M198">
        <f>IFERROR(VLOOKUP(D198,'Schedule Lookup'!$A:$H,6,0),0)</f>
        <v/>
      </c>
      <c r="N198">
        <f>IFERROR(VLOOKUP(D198,'Schedule Lookup'!$A:$H,7,0),0)</f>
        <v/>
      </c>
      <c r="O198">
        <f>IFERROR(VLOOKUP(D198,'Schedule Lookup'!$A:$H,8,0),0)</f>
        <v/>
      </c>
      <c r="T198">
        <f>IF(AND(E198&lt;TIME(9,0,0),F198&gt;TIME(0,0,1)),1,0)</f>
        <v/>
      </c>
      <c r="U198">
        <f>IF(AND(E198&lt;TIME(17,0,0),F198&gt;TIME(9,0,0)),1,0)</f>
        <v/>
      </c>
      <c r="V198">
        <f>IF(AND(E198&lt;TIME(21,0,0),F198&gt;TIME(17,0,0)),1,0)</f>
        <v/>
      </c>
      <c r="W198">
        <f>IF(F198&gt;TIME(17,0,0),1,0)</f>
        <v/>
      </c>
    </row>
    <row r="199">
      <c r="I199">
        <f>IFERROR(VLOOKUP(D199,'Schedule Lookup'!$A:$H,2,0),0)</f>
        <v/>
      </c>
      <c r="J199">
        <f>IFERROR(VLOOKUP(D199,'Schedule Lookup'!$A:$H,3,0),0)</f>
        <v/>
      </c>
      <c r="K199">
        <f>IFERROR(VLOOKUP(D199,'Schedule Lookup'!$A:$H,4,0),0)</f>
        <v/>
      </c>
      <c r="L199">
        <f>IFERROR(VLOOKUP(D199,'Schedule Lookup'!$A:$H,5,0),0)</f>
        <v/>
      </c>
      <c r="M199">
        <f>IFERROR(VLOOKUP(D199,'Schedule Lookup'!$A:$H,6,0),0)</f>
        <v/>
      </c>
      <c r="N199">
        <f>IFERROR(VLOOKUP(D199,'Schedule Lookup'!$A:$H,7,0),0)</f>
        <v/>
      </c>
      <c r="O199">
        <f>IFERROR(VLOOKUP(D199,'Schedule Lookup'!$A:$H,8,0),0)</f>
        <v/>
      </c>
      <c r="T199">
        <f>IF(AND(E199&lt;TIME(9,0,0),F199&gt;TIME(0,0,1)),1,0)</f>
        <v/>
      </c>
      <c r="U199">
        <f>IF(AND(E199&lt;TIME(17,0,0),F199&gt;TIME(9,0,0)),1,0)</f>
        <v/>
      </c>
      <c r="V199">
        <f>IF(AND(E199&lt;TIME(21,0,0),F199&gt;TIME(17,0,0)),1,0)</f>
        <v/>
      </c>
      <c r="W199">
        <f>IF(F199&gt;TIME(17,0,0),1,0)</f>
        <v/>
      </c>
    </row>
    <row r="200">
      <c r="I200">
        <f>IFERROR(VLOOKUP(D200,'Schedule Lookup'!$A:$H,2,0),0)</f>
        <v/>
      </c>
      <c r="J200">
        <f>IFERROR(VLOOKUP(D200,'Schedule Lookup'!$A:$H,3,0),0)</f>
        <v/>
      </c>
      <c r="K200">
        <f>IFERROR(VLOOKUP(D200,'Schedule Lookup'!$A:$H,4,0),0)</f>
        <v/>
      </c>
      <c r="L200">
        <f>IFERROR(VLOOKUP(D200,'Schedule Lookup'!$A:$H,5,0),0)</f>
        <v/>
      </c>
      <c r="M200">
        <f>IFERROR(VLOOKUP(D200,'Schedule Lookup'!$A:$H,6,0),0)</f>
        <v/>
      </c>
      <c r="N200">
        <f>IFERROR(VLOOKUP(D200,'Schedule Lookup'!$A:$H,7,0),0)</f>
        <v/>
      </c>
      <c r="O200">
        <f>IFERROR(VLOOKUP(D200,'Schedule Lookup'!$A:$H,8,0),0)</f>
        <v/>
      </c>
      <c r="T200">
        <f>IF(AND(E200&lt;TIME(9,0,0),F200&gt;TIME(0,0,1)),1,0)</f>
        <v/>
      </c>
      <c r="U200">
        <f>IF(AND(E200&lt;TIME(17,0,0),F200&gt;TIME(9,0,0)),1,0)</f>
        <v/>
      </c>
      <c r="V200">
        <f>IF(AND(E200&lt;TIME(21,0,0),F200&gt;TIME(17,0,0)),1,0)</f>
        <v/>
      </c>
      <c r="W200">
        <f>IF(F200&gt;TIME(17,0,0),1,0)</f>
        <v/>
      </c>
    </row>
    <row r="201">
      <c r="I201">
        <f>IFERROR(VLOOKUP(D201,'Schedule Lookup'!$A:$H,2,0),0)</f>
        <v/>
      </c>
      <c r="J201">
        <f>IFERROR(VLOOKUP(D201,'Schedule Lookup'!$A:$H,3,0),0)</f>
        <v/>
      </c>
      <c r="K201">
        <f>IFERROR(VLOOKUP(D201,'Schedule Lookup'!$A:$H,4,0),0)</f>
        <v/>
      </c>
      <c r="L201">
        <f>IFERROR(VLOOKUP(D201,'Schedule Lookup'!$A:$H,5,0),0)</f>
        <v/>
      </c>
      <c r="M201">
        <f>IFERROR(VLOOKUP(D201,'Schedule Lookup'!$A:$H,6,0),0)</f>
        <v/>
      </c>
      <c r="N201">
        <f>IFERROR(VLOOKUP(D201,'Schedule Lookup'!$A:$H,7,0),0)</f>
        <v/>
      </c>
      <c r="O201">
        <f>IFERROR(VLOOKUP(D201,'Schedule Lookup'!$A:$H,8,0),0)</f>
        <v/>
      </c>
      <c r="T201">
        <f>IF(AND(E201&lt;TIME(9,0,0),F201&gt;TIME(0,0,1)),1,0)</f>
        <v/>
      </c>
      <c r="U201">
        <f>IF(AND(E201&lt;TIME(17,0,0),F201&gt;TIME(9,0,0)),1,0)</f>
        <v/>
      </c>
      <c r="V201">
        <f>IF(AND(E201&lt;TIME(21,0,0),F201&gt;TIME(17,0,0)),1,0)</f>
        <v/>
      </c>
      <c r="W201">
        <f>IF(F201&gt;TIME(17,0,0),1,0)</f>
        <v/>
      </c>
    </row>
    <row r="202">
      <c r="I202">
        <f>IFERROR(VLOOKUP(D202,'Schedule Lookup'!$A:$H,2,0),0)</f>
        <v/>
      </c>
      <c r="J202">
        <f>IFERROR(VLOOKUP(D202,'Schedule Lookup'!$A:$H,3,0),0)</f>
        <v/>
      </c>
      <c r="K202">
        <f>IFERROR(VLOOKUP(D202,'Schedule Lookup'!$A:$H,4,0),0)</f>
        <v/>
      </c>
      <c r="L202">
        <f>IFERROR(VLOOKUP(D202,'Schedule Lookup'!$A:$H,5,0),0)</f>
        <v/>
      </c>
      <c r="M202">
        <f>IFERROR(VLOOKUP(D202,'Schedule Lookup'!$A:$H,6,0),0)</f>
        <v/>
      </c>
      <c r="N202">
        <f>IFERROR(VLOOKUP(D202,'Schedule Lookup'!$A:$H,7,0),0)</f>
        <v/>
      </c>
      <c r="O202">
        <f>IFERROR(VLOOKUP(D202,'Schedule Lookup'!$A:$H,8,0),0)</f>
        <v/>
      </c>
      <c r="T202">
        <f>IF(AND(E202&lt;TIME(9,0,0),F202&gt;TIME(0,0,1)),1,0)</f>
        <v/>
      </c>
      <c r="U202">
        <f>IF(AND(E202&lt;TIME(17,0,0),F202&gt;TIME(9,0,0)),1,0)</f>
        <v/>
      </c>
      <c r="V202">
        <f>IF(AND(E202&lt;TIME(21,0,0),F202&gt;TIME(17,0,0)),1,0)</f>
        <v/>
      </c>
      <c r="W202">
        <f>IF(F202&gt;TIME(17,0,0),1,0)</f>
        <v/>
      </c>
    </row>
    <row r="203">
      <c r="I203">
        <f>IFERROR(VLOOKUP(D203,'Schedule Lookup'!$A:$H,2,0),0)</f>
        <v/>
      </c>
      <c r="J203">
        <f>IFERROR(VLOOKUP(D203,'Schedule Lookup'!$A:$H,3,0),0)</f>
        <v/>
      </c>
      <c r="K203">
        <f>IFERROR(VLOOKUP(D203,'Schedule Lookup'!$A:$H,4,0),0)</f>
        <v/>
      </c>
      <c r="L203">
        <f>IFERROR(VLOOKUP(D203,'Schedule Lookup'!$A:$H,5,0),0)</f>
        <v/>
      </c>
      <c r="M203">
        <f>IFERROR(VLOOKUP(D203,'Schedule Lookup'!$A:$H,6,0),0)</f>
        <v/>
      </c>
      <c r="N203">
        <f>IFERROR(VLOOKUP(D203,'Schedule Lookup'!$A:$H,7,0),0)</f>
        <v/>
      </c>
      <c r="O203">
        <f>IFERROR(VLOOKUP(D203,'Schedule Lookup'!$A:$H,8,0),0)</f>
        <v/>
      </c>
      <c r="T203">
        <f>IF(AND(E203&lt;TIME(9,0,0),F203&gt;TIME(0,0,1)),1,0)</f>
        <v/>
      </c>
      <c r="U203">
        <f>IF(AND(E203&lt;TIME(17,0,0),F203&gt;TIME(9,0,0)),1,0)</f>
        <v/>
      </c>
      <c r="V203">
        <f>IF(AND(E203&lt;TIME(21,0,0),F203&gt;TIME(17,0,0)),1,0)</f>
        <v/>
      </c>
      <c r="W203">
        <f>IF(F203&gt;TIME(17,0,0),1,0)</f>
        <v/>
      </c>
    </row>
    <row r="204">
      <c r="I204">
        <f>IFERROR(VLOOKUP(D204,'Schedule Lookup'!$A:$H,2,0),0)</f>
        <v/>
      </c>
      <c r="J204">
        <f>IFERROR(VLOOKUP(D204,'Schedule Lookup'!$A:$H,3,0),0)</f>
        <v/>
      </c>
      <c r="K204">
        <f>IFERROR(VLOOKUP(D204,'Schedule Lookup'!$A:$H,4,0),0)</f>
        <v/>
      </c>
      <c r="L204">
        <f>IFERROR(VLOOKUP(D204,'Schedule Lookup'!$A:$H,5,0),0)</f>
        <v/>
      </c>
      <c r="M204">
        <f>IFERROR(VLOOKUP(D204,'Schedule Lookup'!$A:$H,6,0),0)</f>
        <v/>
      </c>
      <c r="N204">
        <f>IFERROR(VLOOKUP(D204,'Schedule Lookup'!$A:$H,7,0),0)</f>
        <v/>
      </c>
      <c r="O204">
        <f>IFERROR(VLOOKUP(D204,'Schedule Lookup'!$A:$H,8,0),0)</f>
        <v/>
      </c>
      <c r="T204">
        <f>IF(AND(E204&lt;TIME(9,0,0),F204&gt;TIME(0,0,1)),1,0)</f>
        <v/>
      </c>
      <c r="U204">
        <f>IF(AND(E204&lt;TIME(17,0,0),F204&gt;TIME(9,0,0)),1,0)</f>
        <v/>
      </c>
      <c r="V204">
        <f>IF(AND(E204&lt;TIME(21,0,0),F204&gt;TIME(17,0,0)),1,0)</f>
        <v/>
      </c>
      <c r="W204">
        <f>IF(F204&gt;TIME(17,0,0),1,0)</f>
        <v/>
      </c>
    </row>
    <row r="205">
      <c r="I205">
        <f>IFERROR(VLOOKUP(D205,'Schedule Lookup'!$A:$H,2,0),0)</f>
        <v/>
      </c>
      <c r="J205">
        <f>IFERROR(VLOOKUP(D205,'Schedule Lookup'!$A:$H,3,0),0)</f>
        <v/>
      </c>
      <c r="K205">
        <f>IFERROR(VLOOKUP(D205,'Schedule Lookup'!$A:$H,4,0),0)</f>
        <v/>
      </c>
      <c r="L205">
        <f>IFERROR(VLOOKUP(D205,'Schedule Lookup'!$A:$H,5,0),0)</f>
        <v/>
      </c>
      <c r="M205">
        <f>IFERROR(VLOOKUP(D205,'Schedule Lookup'!$A:$H,6,0),0)</f>
        <v/>
      </c>
      <c r="N205">
        <f>IFERROR(VLOOKUP(D205,'Schedule Lookup'!$A:$H,7,0),0)</f>
        <v/>
      </c>
      <c r="O205">
        <f>IFERROR(VLOOKUP(D205,'Schedule Lookup'!$A:$H,8,0),0)</f>
        <v/>
      </c>
      <c r="T205">
        <f>IF(AND(E205&lt;TIME(9,0,0),F205&gt;TIME(0,0,1)),1,0)</f>
        <v/>
      </c>
      <c r="U205">
        <f>IF(AND(E205&lt;TIME(17,0,0),F205&gt;TIME(9,0,0)),1,0)</f>
        <v/>
      </c>
      <c r="V205">
        <f>IF(AND(E205&lt;TIME(21,0,0),F205&gt;TIME(17,0,0)),1,0)</f>
        <v/>
      </c>
      <c r="W205">
        <f>IF(F205&gt;TIME(17,0,0),1,0)</f>
        <v/>
      </c>
    </row>
    <row r="206">
      <c r="I206">
        <f>IFERROR(VLOOKUP(D206,'Schedule Lookup'!$A:$H,2,0),0)</f>
        <v/>
      </c>
      <c r="J206">
        <f>IFERROR(VLOOKUP(D206,'Schedule Lookup'!$A:$H,3,0),0)</f>
        <v/>
      </c>
      <c r="K206">
        <f>IFERROR(VLOOKUP(D206,'Schedule Lookup'!$A:$H,4,0),0)</f>
        <v/>
      </c>
      <c r="L206">
        <f>IFERROR(VLOOKUP(D206,'Schedule Lookup'!$A:$H,5,0),0)</f>
        <v/>
      </c>
      <c r="M206">
        <f>IFERROR(VLOOKUP(D206,'Schedule Lookup'!$A:$H,6,0),0)</f>
        <v/>
      </c>
      <c r="N206">
        <f>IFERROR(VLOOKUP(D206,'Schedule Lookup'!$A:$H,7,0),0)</f>
        <v/>
      </c>
      <c r="O206">
        <f>IFERROR(VLOOKUP(D206,'Schedule Lookup'!$A:$H,8,0),0)</f>
        <v/>
      </c>
      <c r="T206">
        <f>IF(AND(E206&lt;TIME(9,0,0),F206&gt;TIME(0,0,1)),1,0)</f>
        <v/>
      </c>
      <c r="U206">
        <f>IF(AND(E206&lt;TIME(17,0,0),F206&gt;TIME(9,0,0)),1,0)</f>
        <v/>
      </c>
      <c r="V206">
        <f>IF(AND(E206&lt;TIME(21,0,0),F206&gt;TIME(17,0,0)),1,0)</f>
        <v/>
      </c>
      <c r="W206">
        <f>IF(F206&gt;TIME(17,0,0),1,0)</f>
        <v/>
      </c>
    </row>
    <row r="207">
      <c r="I207">
        <f>IFERROR(VLOOKUP(D207,'Schedule Lookup'!$A:$H,2,0),0)</f>
        <v/>
      </c>
      <c r="J207">
        <f>IFERROR(VLOOKUP(D207,'Schedule Lookup'!$A:$H,3,0),0)</f>
        <v/>
      </c>
      <c r="K207">
        <f>IFERROR(VLOOKUP(D207,'Schedule Lookup'!$A:$H,4,0),0)</f>
        <v/>
      </c>
      <c r="L207">
        <f>IFERROR(VLOOKUP(D207,'Schedule Lookup'!$A:$H,5,0),0)</f>
        <v/>
      </c>
      <c r="M207">
        <f>IFERROR(VLOOKUP(D207,'Schedule Lookup'!$A:$H,6,0),0)</f>
        <v/>
      </c>
      <c r="N207">
        <f>IFERROR(VLOOKUP(D207,'Schedule Lookup'!$A:$H,7,0),0)</f>
        <v/>
      </c>
      <c r="O207">
        <f>IFERROR(VLOOKUP(D207,'Schedule Lookup'!$A:$H,8,0),0)</f>
        <v/>
      </c>
      <c r="T207">
        <f>IF(AND(E207&lt;TIME(9,0,0),F207&gt;TIME(0,0,1)),1,0)</f>
        <v/>
      </c>
      <c r="U207">
        <f>IF(AND(E207&lt;TIME(17,0,0),F207&gt;TIME(9,0,0)),1,0)</f>
        <v/>
      </c>
      <c r="V207">
        <f>IF(AND(E207&lt;TIME(21,0,0),F207&gt;TIME(17,0,0)),1,0)</f>
        <v/>
      </c>
      <c r="W207">
        <f>IF(F207&gt;TIME(17,0,0),1,0)</f>
        <v/>
      </c>
    </row>
    <row r="208">
      <c r="I208">
        <f>IFERROR(VLOOKUP(D208,'Schedule Lookup'!$A:$H,2,0),0)</f>
        <v/>
      </c>
      <c r="J208">
        <f>IFERROR(VLOOKUP(D208,'Schedule Lookup'!$A:$H,3,0),0)</f>
        <v/>
      </c>
      <c r="K208">
        <f>IFERROR(VLOOKUP(D208,'Schedule Lookup'!$A:$H,4,0),0)</f>
        <v/>
      </c>
      <c r="L208">
        <f>IFERROR(VLOOKUP(D208,'Schedule Lookup'!$A:$H,5,0),0)</f>
        <v/>
      </c>
      <c r="M208">
        <f>IFERROR(VLOOKUP(D208,'Schedule Lookup'!$A:$H,6,0),0)</f>
        <v/>
      </c>
      <c r="N208">
        <f>IFERROR(VLOOKUP(D208,'Schedule Lookup'!$A:$H,7,0),0)</f>
        <v/>
      </c>
      <c r="O208">
        <f>IFERROR(VLOOKUP(D208,'Schedule Lookup'!$A:$H,8,0),0)</f>
        <v/>
      </c>
      <c r="T208">
        <f>IF(AND(E208&lt;TIME(9,0,0),F208&gt;TIME(0,0,1)),1,0)</f>
        <v/>
      </c>
      <c r="U208">
        <f>IF(AND(E208&lt;TIME(17,0,0),F208&gt;TIME(9,0,0)),1,0)</f>
        <v/>
      </c>
      <c r="V208">
        <f>IF(AND(E208&lt;TIME(21,0,0),F208&gt;TIME(17,0,0)),1,0)</f>
        <v/>
      </c>
      <c r="W208">
        <f>IF(F208&gt;TIME(17,0,0),1,0)</f>
        <v/>
      </c>
    </row>
    <row r="209">
      <c r="I209">
        <f>IFERROR(VLOOKUP(D209,'Schedule Lookup'!$A:$H,2,0),0)</f>
        <v/>
      </c>
      <c r="J209">
        <f>IFERROR(VLOOKUP(D209,'Schedule Lookup'!$A:$H,3,0),0)</f>
        <v/>
      </c>
      <c r="K209">
        <f>IFERROR(VLOOKUP(D209,'Schedule Lookup'!$A:$H,4,0),0)</f>
        <v/>
      </c>
      <c r="L209">
        <f>IFERROR(VLOOKUP(D209,'Schedule Lookup'!$A:$H,5,0),0)</f>
        <v/>
      </c>
      <c r="M209">
        <f>IFERROR(VLOOKUP(D209,'Schedule Lookup'!$A:$H,6,0),0)</f>
        <v/>
      </c>
      <c r="N209">
        <f>IFERROR(VLOOKUP(D209,'Schedule Lookup'!$A:$H,7,0),0)</f>
        <v/>
      </c>
      <c r="O209">
        <f>IFERROR(VLOOKUP(D209,'Schedule Lookup'!$A:$H,8,0),0)</f>
        <v/>
      </c>
      <c r="T209">
        <f>IF(AND(E209&lt;TIME(9,0,0),F209&gt;TIME(0,0,1)),1,0)</f>
        <v/>
      </c>
      <c r="U209">
        <f>IF(AND(E209&lt;TIME(17,0,0),F209&gt;TIME(9,0,0)),1,0)</f>
        <v/>
      </c>
      <c r="V209">
        <f>IF(AND(E209&lt;TIME(21,0,0),F209&gt;TIME(17,0,0)),1,0)</f>
        <v/>
      </c>
      <c r="W209">
        <f>IF(F209&gt;TIME(17,0,0),1,0)</f>
        <v/>
      </c>
    </row>
    <row r="210">
      <c r="I210">
        <f>IFERROR(VLOOKUP(D210,'Schedule Lookup'!$A:$H,2,0),0)</f>
        <v/>
      </c>
      <c r="J210">
        <f>IFERROR(VLOOKUP(D210,'Schedule Lookup'!$A:$H,3,0),0)</f>
        <v/>
      </c>
      <c r="K210">
        <f>IFERROR(VLOOKUP(D210,'Schedule Lookup'!$A:$H,4,0),0)</f>
        <v/>
      </c>
      <c r="L210">
        <f>IFERROR(VLOOKUP(D210,'Schedule Lookup'!$A:$H,5,0),0)</f>
        <v/>
      </c>
      <c r="M210">
        <f>IFERROR(VLOOKUP(D210,'Schedule Lookup'!$A:$H,6,0),0)</f>
        <v/>
      </c>
      <c r="N210">
        <f>IFERROR(VLOOKUP(D210,'Schedule Lookup'!$A:$H,7,0),0)</f>
        <v/>
      </c>
      <c r="O210">
        <f>IFERROR(VLOOKUP(D210,'Schedule Lookup'!$A:$H,8,0),0)</f>
        <v/>
      </c>
      <c r="T210">
        <f>IF(AND(E210&lt;TIME(9,0,0),F210&gt;TIME(0,0,1)),1,0)</f>
        <v/>
      </c>
      <c r="U210">
        <f>IF(AND(E210&lt;TIME(17,0,0),F210&gt;TIME(9,0,0)),1,0)</f>
        <v/>
      </c>
      <c r="V210">
        <f>IF(AND(E210&lt;TIME(21,0,0),F210&gt;TIME(17,0,0)),1,0)</f>
        <v/>
      </c>
      <c r="W210">
        <f>IF(F210&gt;TIME(17,0,0),1,0)</f>
        <v/>
      </c>
    </row>
    <row r="211">
      <c r="I211">
        <f>IFERROR(VLOOKUP(D211,'Schedule Lookup'!$A:$H,2,0),0)</f>
        <v/>
      </c>
      <c r="J211">
        <f>IFERROR(VLOOKUP(D211,'Schedule Lookup'!$A:$H,3,0),0)</f>
        <v/>
      </c>
      <c r="K211">
        <f>IFERROR(VLOOKUP(D211,'Schedule Lookup'!$A:$H,4,0),0)</f>
        <v/>
      </c>
      <c r="L211">
        <f>IFERROR(VLOOKUP(D211,'Schedule Lookup'!$A:$H,5,0),0)</f>
        <v/>
      </c>
      <c r="M211">
        <f>IFERROR(VLOOKUP(D211,'Schedule Lookup'!$A:$H,6,0),0)</f>
        <v/>
      </c>
      <c r="N211">
        <f>IFERROR(VLOOKUP(D211,'Schedule Lookup'!$A:$H,7,0),0)</f>
        <v/>
      </c>
      <c r="O211">
        <f>IFERROR(VLOOKUP(D211,'Schedule Lookup'!$A:$H,8,0),0)</f>
        <v/>
      </c>
      <c r="T211">
        <f>IF(AND(E211&lt;TIME(9,0,0),F211&gt;TIME(0,0,1)),1,0)</f>
        <v/>
      </c>
      <c r="U211">
        <f>IF(AND(E211&lt;TIME(17,0,0),F211&gt;TIME(9,0,0)),1,0)</f>
        <v/>
      </c>
      <c r="V211">
        <f>IF(AND(E211&lt;TIME(21,0,0),F211&gt;TIME(17,0,0)),1,0)</f>
        <v/>
      </c>
      <c r="W211">
        <f>IF(F211&gt;TIME(17,0,0),1,0)</f>
        <v/>
      </c>
    </row>
    <row r="212">
      <c r="I212">
        <f>IFERROR(VLOOKUP(D212,'Schedule Lookup'!$A:$H,2,0),0)</f>
        <v/>
      </c>
      <c r="J212">
        <f>IFERROR(VLOOKUP(D212,'Schedule Lookup'!$A:$H,3,0),0)</f>
        <v/>
      </c>
      <c r="K212">
        <f>IFERROR(VLOOKUP(D212,'Schedule Lookup'!$A:$H,4,0),0)</f>
        <v/>
      </c>
      <c r="L212">
        <f>IFERROR(VLOOKUP(D212,'Schedule Lookup'!$A:$H,5,0),0)</f>
        <v/>
      </c>
      <c r="M212">
        <f>IFERROR(VLOOKUP(D212,'Schedule Lookup'!$A:$H,6,0),0)</f>
        <v/>
      </c>
      <c r="N212">
        <f>IFERROR(VLOOKUP(D212,'Schedule Lookup'!$A:$H,7,0),0)</f>
        <v/>
      </c>
      <c r="O212">
        <f>IFERROR(VLOOKUP(D212,'Schedule Lookup'!$A:$H,8,0),0)</f>
        <v/>
      </c>
      <c r="T212">
        <f>IF(AND(E212&lt;TIME(9,0,0),F212&gt;TIME(0,0,1)),1,0)</f>
        <v/>
      </c>
      <c r="U212">
        <f>IF(AND(E212&lt;TIME(17,0,0),F212&gt;TIME(9,0,0)),1,0)</f>
        <v/>
      </c>
      <c r="V212">
        <f>IF(AND(E212&lt;TIME(21,0,0),F212&gt;TIME(17,0,0)),1,0)</f>
        <v/>
      </c>
      <c r="W212">
        <f>IF(F212&gt;TIME(17,0,0),1,0)</f>
        <v/>
      </c>
    </row>
    <row r="213">
      <c r="I213">
        <f>IFERROR(VLOOKUP(D213,'Schedule Lookup'!$A:$H,2,0),0)</f>
        <v/>
      </c>
      <c r="J213">
        <f>IFERROR(VLOOKUP(D213,'Schedule Lookup'!$A:$H,3,0),0)</f>
        <v/>
      </c>
      <c r="K213">
        <f>IFERROR(VLOOKUP(D213,'Schedule Lookup'!$A:$H,4,0),0)</f>
        <v/>
      </c>
      <c r="L213">
        <f>IFERROR(VLOOKUP(D213,'Schedule Lookup'!$A:$H,5,0),0)</f>
        <v/>
      </c>
      <c r="M213">
        <f>IFERROR(VLOOKUP(D213,'Schedule Lookup'!$A:$H,6,0),0)</f>
        <v/>
      </c>
      <c r="N213">
        <f>IFERROR(VLOOKUP(D213,'Schedule Lookup'!$A:$H,7,0),0)</f>
        <v/>
      </c>
      <c r="O213">
        <f>IFERROR(VLOOKUP(D213,'Schedule Lookup'!$A:$H,8,0),0)</f>
        <v/>
      </c>
      <c r="T213">
        <f>IF(AND(E213&lt;TIME(9,0,0),F213&gt;TIME(0,0,1)),1,0)</f>
        <v/>
      </c>
      <c r="U213">
        <f>IF(AND(E213&lt;TIME(17,0,0),F213&gt;TIME(9,0,0)),1,0)</f>
        <v/>
      </c>
      <c r="V213">
        <f>IF(AND(E213&lt;TIME(21,0,0),F213&gt;TIME(17,0,0)),1,0)</f>
        <v/>
      </c>
      <c r="W213">
        <f>IF(F213&gt;TIME(17,0,0),1,0)</f>
        <v/>
      </c>
    </row>
    <row r="214">
      <c r="I214">
        <f>IFERROR(VLOOKUP(D214,'Schedule Lookup'!$A:$H,2,0),0)</f>
        <v/>
      </c>
      <c r="J214">
        <f>IFERROR(VLOOKUP(D214,'Schedule Lookup'!$A:$H,3,0),0)</f>
        <v/>
      </c>
      <c r="K214">
        <f>IFERROR(VLOOKUP(D214,'Schedule Lookup'!$A:$H,4,0),0)</f>
        <v/>
      </c>
      <c r="L214">
        <f>IFERROR(VLOOKUP(D214,'Schedule Lookup'!$A:$H,5,0),0)</f>
        <v/>
      </c>
      <c r="M214">
        <f>IFERROR(VLOOKUP(D214,'Schedule Lookup'!$A:$H,6,0),0)</f>
        <v/>
      </c>
      <c r="N214">
        <f>IFERROR(VLOOKUP(D214,'Schedule Lookup'!$A:$H,7,0),0)</f>
        <v/>
      </c>
      <c r="O214">
        <f>IFERROR(VLOOKUP(D214,'Schedule Lookup'!$A:$H,8,0),0)</f>
        <v/>
      </c>
      <c r="T214">
        <f>IF(AND(E214&lt;TIME(9,0,0),F214&gt;TIME(0,0,1)),1,0)</f>
        <v/>
      </c>
      <c r="U214">
        <f>IF(AND(E214&lt;TIME(17,0,0),F214&gt;TIME(9,0,0)),1,0)</f>
        <v/>
      </c>
      <c r="V214">
        <f>IF(AND(E214&lt;TIME(21,0,0),F214&gt;TIME(17,0,0)),1,0)</f>
        <v/>
      </c>
      <c r="W214">
        <f>IF(F214&gt;TIME(17,0,0),1,0)</f>
        <v/>
      </c>
    </row>
    <row r="215">
      <c r="I215">
        <f>IFERROR(VLOOKUP(D215,'Schedule Lookup'!$A:$H,2,0),0)</f>
        <v/>
      </c>
      <c r="J215">
        <f>IFERROR(VLOOKUP(D215,'Schedule Lookup'!$A:$H,3,0),0)</f>
        <v/>
      </c>
      <c r="K215">
        <f>IFERROR(VLOOKUP(D215,'Schedule Lookup'!$A:$H,4,0),0)</f>
        <v/>
      </c>
      <c r="L215">
        <f>IFERROR(VLOOKUP(D215,'Schedule Lookup'!$A:$H,5,0),0)</f>
        <v/>
      </c>
      <c r="M215">
        <f>IFERROR(VLOOKUP(D215,'Schedule Lookup'!$A:$H,6,0),0)</f>
        <v/>
      </c>
      <c r="N215">
        <f>IFERROR(VLOOKUP(D215,'Schedule Lookup'!$A:$H,7,0),0)</f>
        <v/>
      </c>
      <c r="O215">
        <f>IFERROR(VLOOKUP(D215,'Schedule Lookup'!$A:$H,8,0),0)</f>
        <v/>
      </c>
      <c r="T215">
        <f>IF(AND(E215&lt;TIME(9,0,0),F215&gt;TIME(0,0,1)),1,0)</f>
        <v/>
      </c>
      <c r="U215">
        <f>IF(AND(E215&lt;TIME(17,0,0),F215&gt;TIME(9,0,0)),1,0)</f>
        <v/>
      </c>
      <c r="V215">
        <f>IF(AND(E215&lt;TIME(21,0,0),F215&gt;TIME(17,0,0)),1,0)</f>
        <v/>
      </c>
      <c r="W215">
        <f>IF(F215&gt;TIME(17,0,0),1,0)</f>
        <v/>
      </c>
    </row>
    <row r="216">
      <c r="I216">
        <f>IFERROR(VLOOKUP(D216,'Schedule Lookup'!$A:$H,2,0),0)</f>
        <v/>
      </c>
      <c r="J216">
        <f>IFERROR(VLOOKUP(D216,'Schedule Lookup'!$A:$H,3,0),0)</f>
        <v/>
      </c>
      <c r="K216">
        <f>IFERROR(VLOOKUP(D216,'Schedule Lookup'!$A:$H,4,0),0)</f>
        <v/>
      </c>
      <c r="L216">
        <f>IFERROR(VLOOKUP(D216,'Schedule Lookup'!$A:$H,5,0),0)</f>
        <v/>
      </c>
      <c r="M216">
        <f>IFERROR(VLOOKUP(D216,'Schedule Lookup'!$A:$H,6,0),0)</f>
        <v/>
      </c>
      <c r="N216">
        <f>IFERROR(VLOOKUP(D216,'Schedule Lookup'!$A:$H,7,0),0)</f>
        <v/>
      </c>
      <c r="O216">
        <f>IFERROR(VLOOKUP(D216,'Schedule Lookup'!$A:$H,8,0),0)</f>
        <v/>
      </c>
      <c r="T216">
        <f>IF(AND(E216&lt;TIME(9,0,0),F216&gt;TIME(0,0,1)),1,0)</f>
        <v/>
      </c>
      <c r="U216">
        <f>IF(AND(E216&lt;TIME(17,0,0),F216&gt;TIME(9,0,0)),1,0)</f>
        <v/>
      </c>
      <c r="V216">
        <f>IF(AND(E216&lt;TIME(21,0,0),F216&gt;TIME(17,0,0)),1,0)</f>
        <v/>
      </c>
      <c r="W216">
        <f>IF(F216&gt;TIME(17,0,0),1,0)</f>
        <v/>
      </c>
    </row>
    <row r="217">
      <c r="I217">
        <f>IFERROR(VLOOKUP(D217,'Schedule Lookup'!$A:$H,2,0),0)</f>
        <v/>
      </c>
      <c r="J217">
        <f>IFERROR(VLOOKUP(D217,'Schedule Lookup'!$A:$H,3,0),0)</f>
        <v/>
      </c>
      <c r="K217">
        <f>IFERROR(VLOOKUP(D217,'Schedule Lookup'!$A:$H,4,0),0)</f>
        <v/>
      </c>
      <c r="L217">
        <f>IFERROR(VLOOKUP(D217,'Schedule Lookup'!$A:$H,5,0),0)</f>
        <v/>
      </c>
      <c r="M217">
        <f>IFERROR(VLOOKUP(D217,'Schedule Lookup'!$A:$H,6,0),0)</f>
        <v/>
      </c>
      <c r="N217">
        <f>IFERROR(VLOOKUP(D217,'Schedule Lookup'!$A:$H,7,0),0)</f>
        <v/>
      </c>
      <c r="O217">
        <f>IFERROR(VLOOKUP(D217,'Schedule Lookup'!$A:$H,8,0),0)</f>
        <v/>
      </c>
      <c r="T217">
        <f>IF(AND(E217&lt;TIME(9,0,0),F217&gt;TIME(0,0,1)),1,0)</f>
        <v/>
      </c>
      <c r="U217">
        <f>IF(AND(E217&lt;TIME(17,0,0),F217&gt;TIME(9,0,0)),1,0)</f>
        <v/>
      </c>
      <c r="V217">
        <f>IF(AND(E217&lt;TIME(21,0,0),F217&gt;TIME(17,0,0)),1,0)</f>
        <v/>
      </c>
      <c r="W217">
        <f>IF(F217&gt;TIME(17,0,0),1,0)</f>
        <v/>
      </c>
    </row>
    <row r="218">
      <c r="I218">
        <f>IFERROR(VLOOKUP(D218,'Schedule Lookup'!$A:$H,2,0),0)</f>
        <v/>
      </c>
      <c r="J218">
        <f>IFERROR(VLOOKUP(D218,'Schedule Lookup'!$A:$H,3,0),0)</f>
        <v/>
      </c>
      <c r="K218">
        <f>IFERROR(VLOOKUP(D218,'Schedule Lookup'!$A:$H,4,0),0)</f>
        <v/>
      </c>
      <c r="L218">
        <f>IFERROR(VLOOKUP(D218,'Schedule Lookup'!$A:$H,5,0),0)</f>
        <v/>
      </c>
      <c r="M218">
        <f>IFERROR(VLOOKUP(D218,'Schedule Lookup'!$A:$H,6,0),0)</f>
        <v/>
      </c>
      <c r="N218">
        <f>IFERROR(VLOOKUP(D218,'Schedule Lookup'!$A:$H,7,0),0)</f>
        <v/>
      </c>
      <c r="O218">
        <f>IFERROR(VLOOKUP(D218,'Schedule Lookup'!$A:$H,8,0),0)</f>
        <v/>
      </c>
      <c r="T218">
        <f>IF(AND(E218&lt;TIME(9,0,0),F218&gt;TIME(0,0,1)),1,0)</f>
        <v/>
      </c>
      <c r="U218">
        <f>IF(AND(E218&lt;TIME(17,0,0),F218&gt;TIME(9,0,0)),1,0)</f>
        <v/>
      </c>
      <c r="V218">
        <f>IF(AND(E218&lt;TIME(21,0,0),F218&gt;TIME(17,0,0)),1,0)</f>
        <v/>
      </c>
      <c r="W218">
        <f>IF(F218&gt;TIME(17,0,0),1,0)</f>
        <v/>
      </c>
    </row>
    <row r="219">
      <c r="I219">
        <f>IFERROR(VLOOKUP(D219,'Schedule Lookup'!$A:$H,2,0),0)</f>
        <v/>
      </c>
      <c r="J219">
        <f>IFERROR(VLOOKUP(D219,'Schedule Lookup'!$A:$H,3,0),0)</f>
        <v/>
      </c>
      <c r="K219">
        <f>IFERROR(VLOOKUP(D219,'Schedule Lookup'!$A:$H,4,0),0)</f>
        <v/>
      </c>
      <c r="L219">
        <f>IFERROR(VLOOKUP(D219,'Schedule Lookup'!$A:$H,5,0),0)</f>
        <v/>
      </c>
      <c r="M219">
        <f>IFERROR(VLOOKUP(D219,'Schedule Lookup'!$A:$H,6,0),0)</f>
        <v/>
      </c>
      <c r="N219">
        <f>IFERROR(VLOOKUP(D219,'Schedule Lookup'!$A:$H,7,0),0)</f>
        <v/>
      </c>
      <c r="O219">
        <f>IFERROR(VLOOKUP(D219,'Schedule Lookup'!$A:$H,8,0),0)</f>
        <v/>
      </c>
      <c r="T219">
        <f>IF(AND(E219&lt;TIME(9,0,0),F219&gt;TIME(0,0,1)),1,0)</f>
        <v/>
      </c>
      <c r="U219">
        <f>IF(AND(E219&lt;TIME(17,0,0),F219&gt;TIME(9,0,0)),1,0)</f>
        <v/>
      </c>
      <c r="V219">
        <f>IF(AND(E219&lt;TIME(21,0,0),F219&gt;TIME(17,0,0)),1,0)</f>
        <v/>
      </c>
      <c r="W219">
        <f>IF(F219&gt;TIME(17,0,0),1,0)</f>
        <v/>
      </c>
    </row>
    <row r="220">
      <c r="I220">
        <f>IFERROR(VLOOKUP(D220,'Schedule Lookup'!$A:$H,2,0),0)</f>
        <v/>
      </c>
      <c r="J220">
        <f>IFERROR(VLOOKUP(D220,'Schedule Lookup'!$A:$H,3,0),0)</f>
        <v/>
      </c>
      <c r="K220">
        <f>IFERROR(VLOOKUP(D220,'Schedule Lookup'!$A:$H,4,0),0)</f>
        <v/>
      </c>
      <c r="L220">
        <f>IFERROR(VLOOKUP(D220,'Schedule Lookup'!$A:$H,5,0),0)</f>
        <v/>
      </c>
      <c r="M220">
        <f>IFERROR(VLOOKUP(D220,'Schedule Lookup'!$A:$H,6,0),0)</f>
        <v/>
      </c>
      <c r="N220">
        <f>IFERROR(VLOOKUP(D220,'Schedule Lookup'!$A:$H,7,0),0)</f>
        <v/>
      </c>
      <c r="O220">
        <f>IFERROR(VLOOKUP(D220,'Schedule Lookup'!$A:$H,8,0),0)</f>
        <v/>
      </c>
      <c r="T220">
        <f>IF(AND(E220&lt;TIME(9,0,0),F220&gt;TIME(0,0,1)),1,0)</f>
        <v/>
      </c>
      <c r="U220">
        <f>IF(AND(E220&lt;TIME(17,0,0),F220&gt;TIME(9,0,0)),1,0)</f>
        <v/>
      </c>
      <c r="V220">
        <f>IF(AND(E220&lt;TIME(21,0,0),F220&gt;TIME(17,0,0)),1,0)</f>
        <v/>
      </c>
      <c r="W220">
        <f>IF(F220&gt;TIME(17,0,0),1,0)</f>
        <v/>
      </c>
    </row>
    <row r="221">
      <c r="I221">
        <f>IFERROR(VLOOKUP(D221,'Schedule Lookup'!$A:$H,2,0),0)</f>
        <v/>
      </c>
      <c r="J221">
        <f>IFERROR(VLOOKUP(D221,'Schedule Lookup'!$A:$H,3,0),0)</f>
        <v/>
      </c>
      <c r="K221">
        <f>IFERROR(VLOOKUP(D221,'Schedule Lookup'!$A:$H,4,0),0)</f>
        <v/>
      </c>
      <c r="L221">
        <f>IFERROR(VLOOKUP(D221,'Schedule Lookup'!$A:$H,5,0),0)</f>
        <v/>
      </c>
      <c r="M221">
        <f>IFERROR(VLOOKUP(D221,'Schedule Lookup'!$A:$H,6,0),0)</f>
        <v/>
      </c>
      <c r="N221">
        <f>IFERROR(VLOOKUP(D221,'Schedule Lookup'!$A:$H,7,0),0)</f>
        <v/>
      </c>
      <c r="O221">
        <f>IFERROR(VLOOKUP(D221,'Schedule Lookup'!$A:$H,8,0),0)</f>
        <v/>
      </c>
      <c r="T221">
        <f>IF(AND(E221&lt;TIME(9,0,0),F221&gt;TIME(0,0,1)),1,0)</f>
        <v/>
      </c>
      <c r="U221">
        <f>IF(AND(E221&lt;TIME(17,0,0),F221&gt;TIME(9,0,0)),1,0)</f>
        <v/>
      </c>
      <c r="V221">
        <f>IF(AND(E221&lt;TIME(21,0,0),F221&gt;TIME(17,0,0)),1,0)</f>
        <v/>
      </c>
      <c r="W221">
        <f>IF(F221&gt;TIME(17,0,0),1,0)</f>
        <v/>
      </c>
    </row>
    <row r="222">
      <c r="I222">
        <f>IFERROR(VLOOKUP(D222,'Schedule Lookup'!$A:$H,2,0),0)</f>
        <v/>
      </c>
      <c r="J222">
        <f>IFERROR(VLOOKUP(D222,'Schedule Lookup'!$A:$H,3,0),0)</f>
        <v/>
      </c>
      <c r="K222">
        <f>IFERROR(VLOOKUP(D222,'Schedule Lookup'!$A:$H,4,0),0)</f>
        <v/>
      </c>
      <c r="L222">
        <f>IFERROR(VLOOKUP(D222,'Schedule Lookup'!$A:$H,5,0),0)</f>
        <v/>
      </c>
      <c r="M222">
        <f>IFERROR(VLOOKUP(D222,'Schedule Lookup'!$A:$H,6,0),0)</f>
        <v/>
      </c>
      <c r="N222">
        <f>IFERROR(VLOOKUP(D222,'Schedule Lookup'!$A:$H,7,0),0)</f>
        <v/>
      </c>
      <c r="O222">
        <f>IFERROR(VLOOKUP(D222,'Schedule Lookup'!$A:$H,8,0),0)</f>
        <v/>
      </c>
      <c r="T222">
        <f>IF(AND(E222&lt;TIME(9,0,0),F222&gt;TIME(0,0,1)),1,0)</f>
        <v/>
      </c>
      <c r="U222">
        <f>IF(AND(E222&lt;TIME(17,0,0),F222&gt;TIME(9,0,0)),1,0)</f>
        <v/>
      </c>
      <c r="V222">
        <f>IF(AND(E222&lt;TIME(21,0,0),F222&gt;TIME(17,0,0)),1,0)</f>
        <v/>
      </c>
      <c r="W222">
        <f>IF(F222&gt;TIME(17,0,0),1,0)</f>
        <v/>
      </c>
    </row>
    <row r="223">
      <c r="I223">
        <f>IFERROR(VLOOKUP(D223,'Schedule Lookup'!$A:$H,2,0),0)</f>
        <v/>
      </c>
      <c r="J223">
        <f>IFERROR(VLOOKUP(D223,'Schedule Lookup'!$A:$H,3,0),0)</f>
        <v/>
      </c>
      <c r="K223">
        <f>IFERROR(VLOOKUP(D223,'Schedule Lookup'!$A:$H,4,0),0)</f>
        <v/>
      </c>
      <c r="L223">
        <f>IFERROR(VLOOKUP(D223,'Schedule Lookup'!$A:$H,5,0),0)</f>
        <v/>
      </c>
      <c r="M223">
        <f>IFERROR(VLOOKUP(D223,'Schedule Lookup'!$A:$H,6,0),0)</f>
        <v/>
      </c>
      <c r="N223">
        <f>IFERROR(VLOOKUP(D223,'Schedule Lookup'!$A:$H,7,0),0)</f>
        <v/>
      </c>
      <c r="O223">
        <f>IFERROR(VLOOKUP(D223,'Schedule Lookup'!$A:$H,8,0),0)</f>
        <v/>
      </c>
      <c r="T223">
        <f>IF(AND(E223&lt;TIME(9,0,0),F223&gt;TIME(0,0,1)),1,0)</f>
        <v/>
      </c>
      <c r="U223">
        <f>IF(AND(E223&lt;TIME(17,0,0),F223&gt;TIME(9,0,0)),1,0)</f>
        <v/>
      </c>
      <c r="V223">
        <f>IF(AND(E223&lt;TIME(21,0,0),F223&gt;TIME(17,0,0)),1,0)</f>
        <v/>
      </c>
      <c r="W223">
        <f>IF(F223&gt;TIME(17,0,0),1,0)</f>
        <v/>
      </c>
    </row>
    <row r="224">
      <c r="I224">
        <f>IFERROR(VLOOKUP(D224,'Schedule Lookup'!$A:$H,2,0),0)</f>
        <v/>
      </c>
      <c r="J224">
        <f>IFERROR(VLOOKUP(D224,'Schedule Lookup'!$A:$H,3,0),0)</f>
        <v/>
      </c>
      <c r="K224">
        <f>IFERROR(VLOOKUP(D224,'Schedule Lookup'!$A:$H,4,0),0)</f>
        <v/>
      </c>
      <c r="L224">
        <f>IFERROR(VLOOKUP(D224,'Schedule Lookup'!$A:$H,5,0),0)</f>
        <v/>
      </c>
      <c r="M224">
        <f>IFERROR(VLOOKUP(D224,'Schedule Lookup'!$A:$H,6,0),0)</f>
        <v/>
      </c>
      <c r="N224">
        <f>IFERROR(VLOOKUP(D224,'Schedule Lookup'!$A:$H,7,0),0)</f>
        <v/>
      </c>
      <c r="O224">
        <f>IFERROR(VLOOKUP(D224,'Schedule Lookup'!$A:$H,8,0),0)</f>
        <v/>
      </c>
      <c r="T224">
        <f>IF(AND(E224&lt;TIME(9,0,0),F224&gt;TIME(0,0,1)),1,0)</f>
        <v/>
      </c>
      <c r="U224">
        <f>IF(AND(E224&lt;TIME(17,0,0),F224&gt;TIME(9,0,0)),1,0)</f>
        <v/>
      </c>
      <c r="V224">
        <f>IF(AND(E224&lt;TIME(21,0,0),F224&gt;TIME(17,0,0)),1,0)</f>
        <v/>
      </c>
      <c r="W224">
        <f>IF(F224&gt;TIME(17,0,0),1,0)</f>
        <v/>
      </c>
    </row>
    <row r="225">
      <c r="I225">
        <f>IFERROR(VLOOKUP(D225,'Schedule Lookup'!$A:$H,2,0),0)</f>
        <v/>
      </c>
      <c r="J225">
        <f>IFERROR(VLOOKUP(D225,'Schedule Lookup'!$A:$H,3,0),0)</f>
        <v/>
      </c>
      <c r="K225">
        <f>IFERROR(VLOOKUP(D225,'Schedule Lookup'!$A:$H,4,0),0)</f>
        <v/>
      </c>
      <c r="L225">
        <f>IFERROR(VLOOKUP(D225,'Schedule Lookup'!$A:$H,5,0),0)</f>
        <v/>
      </c>
      <c r="M225">
        <f>IFERROR(VLOOKUP(D225,'Schedule Lookup'!$A:$H,6,0),0)</f>
        <v/>
      </c>
      <c r="N225">
        <f>IFERROR(VLOOKUP(D225,'Schedule Lookup'!$A:$H,7,0),0)</f>
        <v/>
      </c>
      <c r="O225">
        <f>IFERROR(VLOOKUP(D225,'Schedule Lookup'!$A:$H,8,0),0)</f>
        <v/>
      </c>
      <c r="T225">
        <f>IF(AND(E225&lt;TIME(9,0,0),F225&gt;TIME(0,0,1)),1,0)</f>
        <v/>
      </c>
      <c r="U225">
        <f>IF(AND(E225&lt;TIME(17,0,0),F225&gt;TIME(9,0,0)),1,0)</f>
        <v/>
      </c>
      <c r="V225">
        <f>IF(AND(E225&lt;TIME(21,0,0),F225&gt;TIME(17,0,0)),1,0)</f>
        <v/>
      </c>
      <c r="W225">
        <f>IF(F225&gt;TIME(17,0,0),1,0)</f>
        <v/>
      </c>
    </row>
    <row r="226">
      <c r="I226">
        <f>IFERROR(VLOOKUP(D226,'Schedule Lookup'!$A:$H,2,0),0)</f>
        <v/>
      </c>
      <c r="J226">
        <f>IFERROR(VLOOKUP(D226,'Schedule Lookup'!$A:$H,3,0),0)</f>
        <v/>
      </c>
      <c r="K226">
        <f>IFERROR(VLOOKUP(D226,'Schedule Lookup'!$A:$H,4,0),0)</f>
        <v/>
      </c>
      <c r="L226">
        <f>IFERROR(VLOOKUP(D226,'Schedule Lookup'!$A:$H,5,0),0)</f>
        <v/>
      </c>
      <c r="M226">
        <f>IFERROR(VLOOKUP(D226,'Schedule Lookup'!$A:$H,6,0),0)</f>
        <v/>
      </c>
      <c r="N226">
        <f>IFERROR(VLOOKUP(D226,'Schedule Lookup'!$A:$H,7,0),0)</f>
        <v/>
      </c>
      <c r="O226">
        <f>IFERROR(VLOOKUP(D226,'Schedule Lookup'!$A:$H,8,0),0)</f>
        <v/>
      </c>
      <c r="T226">
        <f>IF(AND(E226&lt;TIME(9,0,0),F226&gt;TIME(0,0,1)),1,0)</f>
        <v/>
      </c>
      <c r="U226">
        <f>IF(AND(E226&lt;TIME(17,0,0),F226&gt;TIME(9,0,0)),1,0)</f>
        <v/>
      </c>
      <c r="V226">
        <f>IF(AND(E226&lt;TIME(21,0,0),F226&gt;TIME(17,0,0)),1,0)</f>
        <v/>
      </c>
      <c r="W226">
        <f>IF(F226&gt;TIME(17,0,0),1,0)</f>
        <v/>
      </c>
    </row>
    <row r="227">
      <c r="I227">
        <f>IFERROR(VLOOKUP(D227,'Schedule Lookup'!$A:$H,2,0),0)</f>
        <v/>
      </c>
      <c r="J227">
        <f>IFERROR(VLOOKUP(D227,'Schedule Lookup'!$A:$H,3,0),0)</f>
        <v/>
      </c>
      <c r="K227">
        <f>IFERROR(VLOOKUP(D227,'Schedule Lookup'!$A:$H,4,0),0)</f>
        <v/>
      </c>
      <c r="L227">
        <f>IFERROR(VLOOKUP(D227,'Schedule Lookup'!$A:$H,5,0),0)</f>
        <v/>
      </c>
      <c r="M227">
        <f>IFERROR(VLOOKUP(D227,'Schedule Lookup'!$A:$H,6,0),0)</f>
        <v/>
      </c>
      <c r="N227">
        <f>IFERROR(VLOOKUP(D227,'Schedule Lookup'!$A:$H,7,0),0)</f>
        <v/>
      </c>
      <c r="O227">
        <f>IFERROR(VLOOKUP(D227,'Schedule Lookup'!$A:$H,8,0),0)</f>
        <v/>
      </c>
      <c r="T227">
        <f>IF(AND(E227&lt;TIME(9,0,0),F227&gt;TIME(0,0,1)),1,0)</f>
        <v/>
      </c>
      <c r="U227">
        <f>IF(AND(E227&lt;TIME(17,0,0),F227&gt;TIME(9,0,0)),1,0)</f>
        <v/>
      </c>
      <c r="V227">
        <f>IF(AND(E227&lt;TIME(21,0,0),F227&gt;TIME(17,0,0)),1,0)</f>
        <v/>
      </c>
      <c r="W227">
        <f>IF(F227&gt;TIME(17,0,0),1,0)</f>
        <v/>
      </c>
    </row>
    <row r="228">
      <c r="I228">
        <f>IFERROR(VLOOKUP(D228,'Schedule Lookup'!$A:$H,2,0),0)</f>
        <v/>
      </c>
      <c r="J228">
        <f>IFERROR(VLOOKUP(D228,'Schedule Lookup'!$A:$H,3,0),0)</f>
        <v/>
      </c>
      <c r="K228">
        <f>IFERROR(VLOOKUP(D228,'Schedule Lookup'!$A:$H,4,0),0)</f>
        <v/>
      </c>
      <c r="L228">
        <f>IFERROR(VLOOKUP(D228,'Schedule Lookup'!$A:$H,5,0),0)</f>
        <v/>
      </c>
      <c r="M228">
        <f>IFERROR(VLOOKUP(D228,'Schedule Lookup'!$A:$H,6,0),0)</f>
        <v/>
      </c>
      <c r="N228">
        <f>IFERROR(VLOOKUP(D228,'Schedule Lookup'!$A:$H,7,0),0)</f>
        <v/>
      </c>
      <c r="O228">
        <f>IFERROR(VLOOKUP(D228,'Schedule Lookup'!$A:$H,8,0),0)</f>
        <v/>
      </c>
      <c r="T228">
        <f>IF(AND(E228&lt;TIME(9,0,0),F228&gt;TIME(0,0,1)),1,0)</f>
        <v/>
      </c>
      <c r="U228">
        <f>IF(AND(E228&lt;TIME(17,0,0),F228&gt;TIME(9,0,0)),1,0)</f>
        <v/>
      </c>
      <c r="V228">
        <f>IF(AND(E228&lt;TIME(21,0,0),F228&gt;TIME(17,0,0)),1,0)</f>
        <v/>
      </c>
      <c r="W228">
        <f>IF(F228&gt;TIME(17,0,0),1,0)</f>
        <v/>
      </c>
    </row>
    <row r="229">
      <c r="I229">
        <f>IFERROR(VLOOKUP(D229,'Schedule Lookup'!$A:$H,2,0),0)</f>
        <v/>
      </c>
      <c r="J229">
        <f>IFERROR(VLOOKUP(D229,'Schedule Lookup'!$A:$H,3,0),0)</f>
        <v/>
      </c>
      <c r="K229">
        <f>IFERROR(VLOOKUP(D229,'Schedule Lookup'!$A:$H,4,0),0)</f>
        <v/>
      </c>
      <c r="L229">
        <f>IFERROR(VLOOKUP(D229,'Schedule Lookup'!$A:$H,5,0),0)</f>
        <v/>
      </c>
      <c r="M229">
        <f>IFERROR(VLOOKUP(D229,'Schedule Lookup'!$A:$H,6,0),0)</f>
        <v/>
      </c>
      <c r="N229">
        <f>IFERROR(VLOOKUP(D229,'Schedule Lookup'!$A:$H,7,0),0)</f>
        <v/>
      </c>
      <c r="O229">
        <f>IFERROR(VLOOKUP(D229,'Schedule Lookup'!$A:$H,8,0),0)</f>
        <v/>
      </c>
      <c r="T229">
        <f>IF(AND(E229&lt;TIME(9,0,0),F229&gt;TIME(0,0,1)),1,0)</f>
        <v/>
      </c>
      <c r="U229">
        <f>IF(AND(E229&lt;TIME(17,0,0),F229&gt;TIME(9,0,0)),1,0)</f>
        <v/>
      </c>
      <c r="V229">
        <f>IF(AND(E229&lt;TIME(21,0,0),F229&gt;TIME(17,0,0)),1,0)</f>
        <v/>
      </c>
      <c r="W229">
        <f>IF(F229&gt;TIME(17,0,0),1,0)</f>
        <v/>
      </c>
    </row>
    <row r="230">
      <c r="I230">
        <f>IFERROR(VLOOKUP(D230,'Schedule Lookup'!$A:$H,2,0),0)</f>
        <v/>
      </c>
      <c r="J230">
        <f>IFERROR(VLOOKUP(D230,'Schedule Lookup'!$A:$H,3,0),0)</f>
        <v/>
      </c>
      <c r="K230">
        <f>IFERROR(VLOOKUP(D230,'Schedule Lookup'!$A:$H,4,0),0)</f>
        <v/>
      </c>
      <c r="L230">
        <f>IFERROR(VLOOKUP(D230,'Schedule Lookup'!$A:$H,5,0),0)</f>
        <v/>
      </c>
      <c r="M230">
        <f>IFERROR(VLOOKUP(D230,'Schedule Lookup'!$A:$H,6,0),0)</f>
        <v/>
      </c>
      <c r="N230">
        <f>IFERROR(VLOOKUP(D230,'Schedule Lookup'!$A:$H,7,0),0)</f>
        <v/>
      </c>
      <c r="O230">
        <f>IFERROR(VLOOKUP(D230,'Schedule Lookup'!$A:$H,8,0),0)</f>
        <v/>
      </c>
      <c r="T230">
        <f>IF(AND(E230&lt;TIME(9,0,0),F230&gt;TIME(0,0,1)),1,0)</f>
        <v/>
      </c>
      <c r="U230">
        <f>IF(AND(E230&lt;TIME(17,0,0),F230&gt;TIME(9,0,0)),1,0)</f>
        <v/>
      </c>
      <c r="V230">
        <f>IF(AND(E230&lt;TIME(21,0,0),F230&gt;TIME(17,0,0)),1,0)</f>
        <v/>
      </c>
      <c r="W230">
        <f>IF(F230&gt;TIME(17,0,0),1,0)</f>
        <v/>
      </c>
    </row>
    <row r="231">
      <c r="I231">
        <f>IFERROR(VLOOKUP(D231,'Schedule Lookup'!$A:$H,2,0),0)</f>
        <v/>
      </c>
      <c r="J231">
        <f>IFERROR(VLOOKUP(D231,'Schedule Lookup'!$A:$H,3,0),0)</f>
        <v/>
      </c>
      <c r="K231">
        <f>IFERROR(VLOOKUP(D231,'Schedule Lookup'!$A:$H,4,0),0)</f>
        <v/>
      </c>
      <c r="L231">
        <f>IFERROR(VLOOKUP(D231,'Schedule Lookup'!$A:$H,5,0),0)</f>
        <v/>
      </c>
      <c r="M231">
        <f>IFERROR(VLOOKUP(D231,'Schedule Lookup'!$A:$H,6,0),0)</f>
        <v/>
      </c>
      <c r="N231">
        <f>IFERROR(VLOOKUP(D231,'Schedule Lookup'!$A:$H,7,0),0)</f>
        <v/>
      </c>
      <c r="O231">
        <f>IFERROR(VLOOKUP(D231,'Schedule Lookup'!$A:$H,8,0),0)</f>
        <v/>
      </c>
      <c r="T231">
        <f>IF(AND(E231&lt;TIME(9,0,0),F231&gt;TIME(0,0,1)),1,0)</f>
        <v/>
      </c>
      <c r="U231">
        <f>IF(AND(E231&lt;TIME(17,0,0),F231&gt;TIME(9,0,0)),1,0)</f>
        <v/>
      </c>
      <c r="V231">
        <f>IF(AND(E231&lt;TIME(21,0,0),F231&gt;TIME(17,0,0)),1,0)</f>
        <v/>
      </c>
      <c r="W231">
        <f>IF(F231&gt;TIME(17,0,0),1,0)</f>
        <v/>
      </c>
    </row>
    <row r="232">
      <c r="I232">
        <f>IFERROR(VLOOKUP(D232,'Schedule Lookup'!$A:$H,2,0),0)</f>
        <v/>
      </c>
      <c r="J232">
        <f>IFERROR(VLOOKUP(D232,'Schedule Lookup'!$A:$H,3,0),0)</f>
        <v/>
      </c>
      <c r="K232">
        <f>IFERROR(VLOOKUP(D232,'Schedule Lookup'!$A:$H,4,0),0)</f>
        <v/>
      </c>
      <c r="L232">
        <f>IFERROR(VLOOKUP(D232,'Schedule Lookup'!$A:$H,5,0),0)</f>
        <v/>
      </c>
      <c r="M232">
        <f>IFERROR(VLOOKUP(D232,'Schedule Lookup'!$A:$H,6,0),0)</f>
        <v/>
      </c>
      <c r="N232">
        <f>IFERROR(VLOOKUP(D232,'Schedule Lookup'!$A:$H,7,0),0)</f>
        <v/>
      </c>
      <c r="O232">
        <f>IFERROR(VLOOKUP(D232,'Schedule Lookup'!$A:$H,8,0),0)</f>
        <v/>
      </c>
      <c r="T232">
        <f>IF(AND(E232&lt;TIME(9,0,0),F232&gt;TIME(0,0,1)),1,0)</f>
        <v/>
      </c>
      <c r="U232">
        <f>IF(AND(E232&lt;TIME(17,0,0),F232&gt;TIME(9,0,0)),1,0)</f>
        <v/>
      </c>
      <c r="V232">
        <f>IF(AND(E232&lt;TIME(21,0,0),F232&gt;TIME(17,0,0)),1,0)</f>
        <v/>
      </c>
      <c r="W232">
        <f>IF(F232&gt;TIME(17,0,0),1,0)</f>
        <v/>
      </c>
    </row>
    <row r="233">
      <c r="I233">
        <f>IFERROR(VLOOKUP(D233,'Schedule Lookup'!$A:$H,2,0),0)</f>
        <v/>
      </c>
      <c r="J233">
        <f>IFERROR(VLOOKUP(D233,'Schedule Lookup'!$A:$H,3,0),0)</f>
        <v/>
      </c>
      <c r="K233">
        <f>IFERROR(VLOOKUP(D233,'Schedule Lookup'!$A:$H,4,0),0)</f>
        <v/>
      </c>
      <c r="L233">
        <f>IFERROR(VLOOKUP(D233,'Schedule Lookup'!$A:$H,5,0),0)</f>
        <v/>
      </c>
      <c r="M233">
        <f>IFERROR(VLOOKUP(D233,'Schedule Lookup'!$A:$H,6,0),0)</f>
        <v/>
      </c>
      <c r="N233">
        <f>IFERROR(VLOOKUP(D233,'Schedule Lookup'!$A:$H,7,0),0)</f>
        <v/>
      </c>
      <c r="O233">
        <f>IFERROR(VLOOKUP(D233,'Schedule Lookup'!$A:$H,8,0),0)</f>
        <v/>
      </c>
      <c r="T233">
        <f>IF(AND(E233&lt;TIME(9,0,0),F233&gt;TIME(0,0,1)),1,0)</f>
        <v/>
      </c>
      <c r="U233">
        <f>IF(AND(E233&lt;TIME(17,0,0),F233&gt;TIME(9,0,0)),1,0)</f>
        <v/>
      </c>
      <c r="V233">
        <f>IF(AND(E233&lt;TIME(21,0,0),F233&gt;TIME(17,0,0)),1,0)</f>
        <v/>
      </c>
      <c r="W233">
        <f>IF(F233&gt;TIME(17,0,0),1,0)</f>
        <v/>
      </c>
    </row>
    <row r="234">
      <c r="I234">
        <f>IFERROR(VLOOKUP(D234,'Schedule Lookup'!$A:$H,2,0),0)</f>
        <v/>
      </c>
      <c r="J234">
        <f>IFERROR(VLOOKUP(D234,'Schedule Lookup'!$A:$H,3,0),0)</f>
        <v/>
      </c>
      <c r="K234">
        <f>IFERROR(VLOOKUP(D234,'Schedule Lookup'!$A:$H,4,0),0)</f>
        <v/>
      </c>
      <c r="L234">
        <f>IFERROR(VLOOKUP(D234,'Schedule Lookup'!$A:$H,5,0),0)</f>
        <v/>
      </c>
      <c r="M234">
        <f>IFERROR(VLOOKUP(D234,'Schedule Lookup'!$A:$H,6,0),0)</f>
        <v/>
      </c>
      <c r="N234">
        <f>IFERROR(VLOOKUP(D234,'Schedule Lookup'!$A:$H,7,0),0)</f>
        <v/>
      </c>
      <c r="O234">
        <f>IFERROR(VLOOKUP(D234,'Schedule Lookup'!$A:$H,8,0),0)</f>
        <v/>
      </c>
      <c r="T234">
        <f>IF(AND(E234&lt;TIME(9,0,0),F234&gt;TIME(0,0,1)),1,0)</f>
        <v/>
      </c>
      <c r="U234">
        <f>IF(AND(E234&lt;TIME(17,0,0),F234&gt;TIME(9,0,0)),1,0)</f>
        <v/>
      </c>
      <c r="V234">
        <f>IF(AND(E234&lt;TIME(21,0,0),F234&gt;TIME(17,0,0)),1,0)</f>
        <v/>
      </c>
      <c r="W234">
        <f>IF(F234&gt;TIME(17,0,0),1,0)</f>
        <v/>
      </c>
    </row>
    <row r="235">
      <c r="I235">
        <f>IFERROR(VLOOKUP(D235,'Schedule Lookup'!$A:$H,2,0),0)</f>
        <v/>
      </c>
      <c r="J235">
        <f>IFERROR(VLOOKUP(D235,'Schedule Lookup'!$A:$H,3,0),0)</f>
        <v/>
      </c>
      <c r="K235">
        <f>IFERROR(VLOOKUP(D235,'Schedule Lookup'!$A:$H,4,0),0)</f>
        <v/>
      </c>
      <c r="L235">
        <f>IFERROR(VLOOKUP(D235,'Schedule Lookup'!$A:$H,5,0),0)</f>
        <v/>
      </c>
      <c r="M235">
        <f>IFERROR(VLOOKUP(D235,'Schedule Lookup'!$A:$H,6,0),0)</f>
        <v/>
      </c>
      <c r="N235">
        <f>IFERROR(VLOOKUP(D235,'Schedule Lookup'!$A:$H,7,0),0)</f>
        <v/>
      </c>
      <c r="O235">
        <f>IFERROR(VLOOKUP(D235,'Schedule Lookup'!$A:$H,8,0),0)</f>
        <v/>
      </c>
      <c r="T235">
        <f>IF(AND(E235&lt;TIME(9,0,0),F235&gt;TIME(0,0,1)),1,0)</f>
        <v/>
      </c>
      <c r="U235">
        <f>IF(AND(E235&lt;TIME(17,0,0),F235&gt;TIME(9,0,0)),1,0)</f>
        <v/>
      </c>
      <c r="V235">
        <f>IF(AND(E235&lt;TIME(21,0,0),F235&gt;TIME(17,0,0)),1,0)</f>
        <v/>
      </c>
      <c r="W235">
        <f>IF(F235&gt;TIME(17,0,0),1,0)</f>
        <v/>
      </c>
    </row>
    <row r="236">
      <c r="I236">
        <f>IFERROR(VLOOKUP(D236,'Schedule Lookup'!$A:$H,2,0),0)</f>
        <v/>
      </c>
      <c r="J236">
        <f>IFERROR(VLOOKUP(D236,'Schedule Lookup'!$A:$H,3,0),0)</f>
        <v/>
      </c>
      <c r="K236">
        <f>IFERROR(VLOOKUP(D236,'Schedule Lookup'!$A:$H,4,0),0)</f>
        <v/>
      </c>
      <c r="L236">
        <f>IFERROR(VLOOKUP(D236,'Schedule Lookup'!$A:$H,5,0),0)</f>
        <v/>
      </c>
      <c r="M236">
        <f>IFERROR(VLOOKUP(D236,'Schedule Lookup'!$A:$H,6,0),0)</f>
        <v/>
      </c>
      <c r="N236">
        <f>IFERROR(VLOOKUP(D236,'Schedule Lookup'!$A:$H,7,0),0)</f>
        <v/>
      </c>
      <c r="O236">
        <f>IFERROR(VLOOKUP(D236,'Schedule Lookup'!$A:$H,8,0),0)</f>
        <v/>
      </c>
      <c r="T236">
        <f>IF(AND(E236&lt;TIME(9,0,0),F236&gt;TIME(0,0,1)),1,0)</f>
        <v/>
      </c>
      <c r="U236">
        <f>IF(AND(E236&lt;TIME(17,0,0),F236&gt;TIME(9,0,0)),1,0)</f>
        <v/>
      </c>
      <c r="V236">
        <f>IF(AND(E236&lt;TIME(21,0,0),F236&gt;TIME(17,0,0)),1,0)</f>
        <v/>
      </c>
      <c r="W236">
        <f>IF(F236&gt;TIME(17,0,0),1,0)</f>
        <v/>
      </c>
    </row>
    <row r="237">
      <c r="I237">
        <f>IFERROR(VLOOKUP(D237,'Schedule Lookup'!$A:$H,2,0),0)</f>
        <v/>
      </c>
      <c r="J237">
        <f>IFERROR(VLOOKUP(D237,'Schedule Lookup'!$A:$H,3,0),0)</f>
        <v/>
      </c>
      <c r="K237">
        <f>IFERROR(VLOOKUP(D237,'Schedule Lookup'!$A:$H,4,0),0)</f>
        <v/>
      </c>
      <c r="L237">
        <f>IFERROR(VLOOKUP(D237,'Schedule Lookup'!$A:$H,5,0),0)</f>
        <v/>
      </c>
      <c r="M237">
        <f>IFERROR(VLOOKUP(D237,'Schedule Lookup'!$A:$H,6,0),0)</f>
        <v/>
      </c>
      <c r="N237">
        <f>IFERROR(VLOOKUP(D237,'Schedule Lookup'!$A:$H,7,0),0)</f>
        <v/>
      </c>
      <c r="O237">
        <f>IFERROR(VLOOKUP(D237,'Schedule Lookup'!$A:$H,8,0),0)</f>
        <v/>
      </c>
      <c r="T237">
        <f>IF(AND(E237&lt;TIME(9,0,0),F237&gt;TIME(0,0,1)),1,0)</f>
        <v/>
      </c>
      <c r="U237">
        <f>IF(AND(E237&lt;TIME(17,0,0),F237&gt;TIME(9,0,0)),1,0)</f>
        <v/>
      </c>
      <c r="V237">
        <f>IF(AND(E237&lt;TIME(21,0,0),F237&gt;TIME(17,0,0)),1,0)</f>
        <v/>
      </c>
      <c r="W237">
        <f>IF(F237&gt;TIME(17,0,0),1,0)</f>
        <v/>
      </c>
    </row>
    <row r="238">
      <c r="I238">
        <f>IFERROR(VLOOKUP(D238,'Schedule Lookup'!$A:$H,2,0),0)</f>
        <v/>
      </c>
      <c r="J238">
        <f>IFERROR(VLOOKUP(D238,'Schedule Lookup'!$A:$H,3,0),0)</f>
        <v/>
      </c>
      <c r="K238">
        <f>IFERROR(VLOOKUP(D238,'Schedule Lookup'!$A:$H,4,0),0)</f>
        <v/>
      </c>
      <c r="L238">
        <f>IFERROR(VLOOKUP(D238,'Schedule Lookup'!$A:$H,5,0),0)</f>
        <v/>
      </c>
      <c r="M238">
        <f>IFERROR(VLOOKUP(D238,'Schedule Lookup'!$A:$H,6,0),0)</f>
        <v/>
      </c>
      <c r="N238">
        <f>IFERROR(VLOOKUP(D238,'Schedule Lookup'!$A:$H,7,0),0)</f>
        <v/>
      </c>
      <c r="O238">
        <f>IFERROR(VLOOKUP(D238,'Schedule Lookup'!$A:$H,8,0),0)</f>
        <v/>
      </c>
      <c r="T238">
        <f>IF(AND(E238&lt;TIME(9,0,0),F238&gt;TIME(0,0,1)),1,0)</f>
        <v/>
      </c>
      <c r="U238">
        <f>IF(AND(E238&lt;TIME(17,0,0),F238&gt;TIME(9,0,0)),1,0)</f>
        <v/>
      </c>
      <c r="V238">
        <f>IF(AND(E238&lt;TIME(21,0,0),F238&gt;TIME(17,0,0)),1,0)</f>
        <v/>
      </c>
      <c r="W238">
        <f>IF(F238&gt;TIME(17,0,0),1,0)</f>
        <v/>
      </c>
    </row>
    <row r="239">
      <c r="I239">
        <f>IFERROR(VLOOKUP(D239,'Schedule Lookup'!$A:$H,2,0),0)</f>
        <v/>
      </c>
      <c r="J239">
        <f>IFERROR(VLOOKUP(D239,'Schedule Lookup'!$A:$H,3,0),0)</f>
        <v/>
      </c>
      <c r="K239">
        <f>IFERROR(VLOOKUP(D239,'Schedule Lookup'!$A:$H,4,0),0)</f>
        <v/>
      </c>
      <c r="L239">
        <f>IFERROR(VLOOKUP(D239,'Schedule Lookup'!$A:$H,5,0),0)</f>
        <v/>
      </c>
      <c r="M239">
        <f>IFERROR(VLOOKUP(D239,'Schedule Lookup'!$A:$H,6,0),0)</f>
        <v/>
      </c>
      <c r="N239">
        <f>IFERROR(VLOOKUP(D239,'Schedule Lookup'!$A:$H,7,0),0)</f>
        <v/>
      </c>
      <c r="O239">
        <f>IFERROR(VLOOKUP(D239,'Schedule Lookup'!$A:$H,8,0),0)</f>
        <v/>
      </c>
      <c r="T239">
        <f>IF(AND(E239&lt;TIME(9,0,0),F239&gt;TIME(0,0,1)),1,0)</f>
        <v/>
      </c>
      <c r="U239">
        <f>IF(AND(E239&lt;TIME(17,0,0),F239&gt;TIME(9,0,0)),1,0)</f>
        <v/>
      </c>
      <c r="V239">
        <f>IF(AND(E239&lt;TIME(21,0,0),F239&gt;TIME(17,0,0)),1,0)</f>
        <v/>
      </c>
      <c r="W239">
        <f>IF(F239&gt;TIME(17,0,0),1,0)</f>
        <v/>
      </c>
    </row>
    <row r="240">
      <c r="I240">
        <f>IFERROR(VLOOKUP(D240,'Schedule Lookup'!$A:$H,2,0),0)</f>
        <v/>
      </c>
      <c r="J240">
        <f>IFERROR(VLOOKUP(D240,'Schedule Lookup'!$A:$H,3,0),0)</f>
        <v/>
      </c>
      <c r="K240">
        <f>IFERROR(VLOOKUP(D240,'Schedule Lookup'!$A:$H,4,0),0)</f>
        <v/>
      </c>
      <c r="L240">
        <f>IFERROR(VLOOKUP(D240,'Schedule Lookup'!$A:$H,5,0),0)</f>
        <v/>
      </c>
      <c r="M240">
        <f>IFERROR(VLOOKUP(D240,'Schedule Lookup'!$A:$H,6,0),0)</f>
        <v/>
      </c>
      <c r="N240">
        <f>IFERROR(VLOOKUP(D240,'Schedule Lookup'!$A:$H,7,0),0)</f>
        <v/>
      </c>
      <c r="O240">
        <f>IFERROR(VLOOKUP(D240,'Schedule Lookup'!$A:$H,8,0),0)</f>
        <v/>
      </c>
      <c r="T240">
        <f>IF(AND(E240&lt;TIME(9,0,0),F240&gt;TIME(0,0,1)),1,0)</f>
        <v/>
      </c>
      <c r="U240">
        <f>IF(AND(E240&lt;TIME(17,0,0),F240&gt;TIME(9,0,0)),1,0)</f>
        <v/>
      </c>
      <c r="V240">
        <f>IF(AND(E240&lt;TIME(21,0,0),F240&gt;TIME(17,0,0)),1,0)</f>
        <v/>
      </c>
      <c r="W240">
        <f>IF(F240&gt;TIME(17,0,0),1,0)</f>
        <v/>
      </c>
    </row>
    <row r="241">
      <c r="I241">
        <f>IFERROR(VLOOKUP(D241,'Schedule Lookup'!$A:$H,2,0),0)</f>
        <v/>
      </c>
      <c r="J241">
        <f>IFERROR(VLOOKUP(D241,'Schedule Lookup'!$A:$H,3,0),0)</f>
        <v/>
      </c>
      <c r="K241">
        <f>IFERROR(VLOOKUP(D241,'Schedule Lookup'!$A:$H,4,0),0)</f>
        <v/>
      </c>
      <c r="L241">
        <f>IFERROR(VLOOKUP(D241,'Schedule Lookup'!$A:$H,5,0),0)</f>
        <v/>
      </c>
      <c r="M241">
        <f>IFERROR(VLOOKUP(D241,'Schedule Lookup'!$A:$H,6,0),0)</f>
        <v/>
      </c>
      <c r="N241">
        <f>IFERROR(VLOOKUP(D241,'Schedule Lookup'!$A:$H,7,0),0)</f>
        <v/>
      </c>
      <c r="O241">
        <f>IFERROR(VLOOKUP(D241,'Schedule Lookup'!$A:$H,8,0),0)</f>
        <v/>
      </c>
      <c r="T241">
        <f>IF(AND(E241&lt;TIME(9,0,0),F241&gt;TIME(0,0,1)),1,0)</f>
        <v/>
      </c>
      <c r="U241">
        <f>IF(AND(E241&lt;TIME(17,0,0),F241&gt;TIME(9,0,0)),1,0)</f>
        <v/>
      </c>
      <c r="V241">
        <f>IF(AND(E241&lt;TIME(21,0,0),F241&gt;TIME(17,0,0)),1,0)</f>
        <v/>
      </c>
      <c r="W241">
        <f>IF(F241&gt;TIME(17,0,0),1,0)</f>
        <v/>
      </c>
    </row>
    <row r="242">
      <c r="I242">
        <f>IFERROR(VLOOKUP(D242,'Schedule Lookup'!$A:$H,2,0),0)</f>
        <v/>
      </c>
      <c r="J242">
        <f>IFERROR(VLOOKUP(D242,'Schedule Lookup'!$A:$H,3,0),0)</f>
        <v/>
      </c>
      <c r="K242">
        <f>IFERROR(VLOOKUP(D242,'Schedule Lookup'!$A:$H,4,0),0)</f>
        <v/>
      </c>
      <c r="L242">
        <f>IFERROR(VLOOKUP(D242,'Schedule Lookup'!$A:$H,5,0),0)</f>
        <v/>
      </c>
      <c r="M242">
        <f>IFERROR(VLOOKUP(D242,'Schedule Lookup'!$A:$H,6,0),0)</f>
        <v/>
      </c>
      <c r="N242">
        <f>IFERROR(VLOOKUP(D242,'Schedule Lookup'!$A:$H,7,0),0)</f>
        <v/>
      </c>
      <c r="O242">
        <f>IFERROR(VLOOKUP(D242,'Schedule Lookup'!$A:$H,8,0),0)</f>
        <v/>
      </c>
      <c r="T242">
        <f>IF(AND(E242&lt;TIME(9,0,0),F242&gt;TIME(0,0,1)),1,0)</f>
        <v/>
      </c>
      <c r="U242">
        <f>IF(AND(E242&lt;TIME(17,0,0),F242&gt;TIME(9,0,0)),1,0)</f>
        <v/>
      </c>
      <c r="V242">
        <f>IF(AND(E242&lt;TIME(21,0,0),F242&gt;TIME(17,0,0)),1,0)</f>
        <v/>
      </c>
      <c r="W242">
        <f>IF(F242&gt;TIME(17,0,0),1,0)</f>
        <v/>
      </c>
    </row>
    <row r="243">
      <c r="I243">
        <f>IFERROR(VLOOKUP(D243,'Schedule Lookup'!$A:$H,2,0),0)</f>
        <v/>
      </c>
      <c r="J243">
        <f>IFERROR(VLOOKUP(D243,'Schedule Lookup'!$A:$H,3,0),0)</f>
        <v/>
      </c>
      <c r="K243">
        <f>IFERROR(VLOOKUP(D243,'Schedule Lookup'!$A:$H,4,0),0)</f>
        <v/>
      </c>
      <c r="L243">
        <f>IFERROR(VLOOKUP(D243,'Schedule Lookup'!$A:$H,5,0),0)</f>
        <v/>
      </c>
      <c r="M243">
        <f>IFERROR(VLOOKUP(D243,'Schedule Lookup'!$A:$H,6,0),0)</f>
        <v/>
      </c>
      <c r="N243">
        <f>IFERROR(VLOOKUP(D243,'Schedule Lookup'!$A:$H,7,0),0)</f>
        <v/>
      </c>
      <c r="O243">
        <f>IFERROR(VLOOKUP(D243,'Schedule Lookup'!$A:$H,8,0),0)</f>
        <v/>
      </c>
      <c r="T243">
        <f>IF(AND(E243&lt;TIME(9,0,0),F243&gt;TIME(0,0,1)),1,0)</f>
        <v/>
      </c>
      <c r="U243">
        <f>IF(AND(E243&lt;TIME(17,0,0),F243&gt;TIME(9,0,0)),1,0)</f>
        <v/>
      </c>
      <c r="V243">
        <f>IF(AND(E243&lt;TIME(21,0,0),F243&gt;TIME(17,0,0)),1,0)</f>
        <v/>
      </c>
      <c r="W243">
        <f>IF(F243&gt;TIME(17,0,0),1,0)</f>
        <v/>
      </c>
    </row>
    <row r="244">
      <c r="I244">
        <f>IFERROR(VLOOKUP(D244,'Schedule Lookup'!$A:$H,2,0),0)</f>
        <v/>
      </c>
      <c r="J244">
        <f>IFERROR(VLOOKUP(D244,'Schedule Lookup'!$A:$H,3,0),0)</f>
        <v/>
      </c>
      <c r="K244">
        <f>IFERROR(VLOOKUP(D244,'Schedule Lookup'!$A:$H,4,0),0)</f>
        <v/>
      </c>
      <c r="L244">
        <f>IFERROR(VLOOKUP(D244,'Schedule Lookup'!$A:$H,5,0),0)</f>
        <v/>
      </c>
      <c r="M244">
        <f>IFERROR(VLOOKUP(D244,'Schedule Lookup'!$A:$H,6,0),0)</f>
        <v/>
      </c>
      <c r="N244">
        <f>IFERROR(VLOOKUP(D244,'Schedule Lookup'!$A:$H,7,0),0)</f>
        <v/>
      </c>
      <c r="O244">
        <f>IFERROR(VLOOKUP(D244,'Schedule Lookup'!$A:$H,8,0),0)</f>
        <v/>
      </c>
      <c r="T244">
        <f>IF(AND(E244&lt;TIME(9,0,0),F244&gt;TIME(0,0,1)),1,0)</f>
        <v/>
      </c>
      <c r="U244">
        <f>IF(AND(E244&lt;TIME(17,0,0),F244&gt;TIME(9,0,0)),1,0)</f>
        <v/>
      </c>
      <c r="V244">
        <f>IF(AND(E244&lt;TIME(21,0,0),F244&gt;TIME(17,0,0)),1,0)</f>
        <v/>
      </c>
      <c r="W244">
        <f>IF(F244&gt;TIME(17,0,0),1,0)</f>
        <v/>
      </c>
    </row>
    <row r="245">
      <c r="I245">
        <f>IFERROR(VLOOKUP(D245,'Schedule Lookup'!$A:$H,2,0),0)</f>
        <v/>
      </c>
      <c r="J245">
        <f>IFERROR(VLOOKUP(D245,'Schedule Lookup'!$A:$H,3,0),0)</f>
        <v/>
      </c>
      <c r="K245">
        <f>IFERROR(VLOOKUP(D245,'Schedule Lookup'!$A:$H,4,0),0)</f>
        <v/>
      </c>
      <c r="L245">
        <f>IFERROR(VLOOKUP(D245,'Schedule Lookup'!$A:$H,5,0),0)</f>
        <v/>
      </c>
      <c r="M245">
        <f>IFERROR(VLOOKUP(D245,'Schedule Lookup'!$A:$H,6,0),0)</f>
        <v/>
      </c>
      <c r="N245">
        <f>IFERROR(VLOOKUP(D245,'Schedule Lookup'!$A:$H,7,0),0)</f>
        <v/>
      </c>
      <c r="O245">
        <f>IFERROR(VLOOKUP(D245,'Schedule Lookup'!$A:$H,8,0),0)</f>
        <v/>
      </c>
      <c r="T245">
        <f>IF(AND(E245&lt;TIME(9,0,0),F245&gt;TIME(0,0,1)),1,0)</f>
        <v/>
      </c>
      <c r="U245">
        <f>IF(AND(E245&lt;TIME(17,0,0),F245&gt;TIME(9,0,0)),1,0)</f>
        <v/>
      </c>
      <c r="V245">
        <f>IF(AND(E245&lt;TIME(21,0,0),F245&gt;TIME(17,0,0)),1,0)</f>
        <v/>
      </c>
      <c r="W245">
        <f>IF(F245&gt;TIME(17,0,0),1,0)</f>
        <v/>
      </c>
    </row>
    <row r="246">
      <c r="I246">
        <f>IFERROR(VLOOKUP(D246,'Schedule Lookup'!$A:$H,2,0),0)</f>
        <v/>
      </c>
      <c r="J246">
        <f>IFERROR(VLOOKUP(D246,'Schedule Lookup'!$A:$H,3,0),0)</f>
        <v/>
      </c>
      <c r="K246">
        <f>IFERROR(VLOOKUP(D246,'Schedule Lookup'!$A:$H,4,0),0)</f>
        <v/>
      </c>
      <c r="L246">
        <f>IFERROR(VLOOKUP(D246,'Schedule Lookup'!$A:$H,5,0),0)</f>
        <v/>
      </c>
      <c r="M246">
        <f>IFERROR(VLOOKUP(D246,'Schedule Lookup'!$A:$H,6,0),0)</f>
        <v/>
      </c>
      <c r="N246">
        <f>IFERROR(VLOOKUP(D246,'Schedule Lookup'!$A:$H,7,0),0)</f>
        <v/>
      </c>
      <c r="O246">
        <f>IFERROR(VLOOKUP(D246,'Schedule Lookup'!$A:$H,8,0),0)</f>
        <v/>
      </c>
      <c r="T246">
        <f>IF(AND(E246&lt;TIME(9,0,0),F246&gt;TIME(0,0,1)),1,0)</f>
        <v/>
      </c>
      <c r="U246">
        <f>IF(AND(E246&lt;TIME(17,0,0),F246&gt;TIME(9,0,0)),1,0)</f>
        <v/>
      </c>
      <c r="V246">
        <f>IF(AND(E246&lt;TIME(21,0,0),F246&gt;TIME(17,0,0)),1,0)</f>
        <v/>
      </c>
      <c r="W246">
        <f>IF(F246&gt;TIME(17,0,0),1,0)</f>
        <v/>
      </c>
    </row>
    <row r="247">
      <c r="I247">
        <f>IFERROR(VLOOKUP(D247,'Schedule Lookup'!$A:$H,2,0),0)</f>
        <v/>
      </c>
      <c r="J247">
        <f>IFERROR(VLOOKUP(D247,'Schedule Lookup'!$A:$H,3,0),0)</f>
        <v/>
      </c>
      <c r="K247">
        <f>IFERROR(VLOOKUP(D247,'Schedule Lookup'!$A:$H,4,0),0)</f>
        <v/>
      </c>
      <c r="L247">
        <f>IFERROR(VLOOKUP(D247,'Schedule Lookup'!$A:$H,5,0),0)</f>
        <v/>
      </c>
      <c r="M247">
        <f>IFERROR(VLOOKUP(D247,'Schedule Lookup'!$A:$H,6,0),0)</f>
        <v/>
      </c>
      <c r="N247">
        <f>IFERROR(VLOOKUP(D247,'Schedule Lookup'!$A:$H,7,0),0)</f>
        <v/>
      </c>
      <c r="O247">
        <f>IFERROR(VLOOKUP(D247,'Schedule Lookup'!$A:$H,8,0),0)</f>
        <v/>
      </c>
      <c r="T247">
        <f>IF(AND(E247&lt;TIME(9,0,0),F247&gt;TIME(0,0,1)),1,0)</f>
        <v/>
      </c>
      <c r="U247">
        <f>IF(AND(E247&lt;TIME(17,0,0),F247&gt;TIME(9,0,0)),1,0)</f>
        <v/>
      </c>
      <c r="V247">
        <f>IF(AND(E247&lt;TIME(21,0,0),F247&gt;TIME(17,0,0)),1,0)</f>
        <v/>
      </c>
      <c r="W247">
        <f>IF(F247&gt;TIME(17,0,0),1,0)</f>
        <v/>
      </c>
    </row>
    <row r="248">
      <c r="I248">
        <f>IFERROR(VLOOKUP(D248,'Schedule Lookup'!$A:$H,2,0),0)</f>
        <v/>
      </c>
      <c r="J248">
        <f>IFERROR(VLOOKUP(D248,'Schedule Lookup'!$A:$H,3,0),0)</f>
        <v/>
      </c>
      <c r="K248">
        <f>IFERROR(VLOOKUP(D248,'Schedule Lookup'!$A:$H,4,0),0)</f>
        <v/>
      </c>
      <c r="L248">
        <f>IFERROR(VLOOKUP(D248,'Schedule Lookup'!$A:$H,5,0),0)</f>
        <v/>
      </c>
      <c r="M248">
        <f>IFERROR(VLOOKUP(D248,'Schedule Lookup'!$A:$H,6,0),0)</f>
        <v/>
      </c>
      <c r="N248">
        <f>IFERROR(VLOOKUP(D248,'Schedule Lookup'!$A:$H,7,0),0)</f>
        <v/>
      </c>
      <c r="O248">
        <f>IFERROR(VLOOKUP(D248,'Schedule Lookup'!$A:$H,8,0),0)</f>
        <v/>
      </c>
      <c r="T248">
        <f>IF(AND(E248&lt;TIME(9,0,0),F248&gt;TIME(0,0,1)),1,0)</f>
        <v/>
      </c>
      <c r="U248">
        <f>IF(AND(E248&lt;TIME(17,0,0),F248&gt;TIME(9,0,0)),1,0)</f>
        <v/>
      </c>
      <c r="V248">
        <f>IF(AND(E248&lt;TIME(21,0,0),F248&gt;TIME(17,0,0)),1,0)</f>
        <v/>
      </c>
      <c r="W248">
        <f>IF(F248&gt;TIME(17,0,0),1,0)</f>
        <v/>
      </c>
    </row>
    <row r="249">
      <c r="I249">
        <f>IFERROR(VLOOKUP(D249,'Schedule Lookup'!$A:$H,2,0),0)</f>
        <v/>
      </c>
      <c r="J249">
        <f>IFERROR(VLOOKUP(D249,'Schedule Lookup'!$A:$H,3,0),0)</f>
        <v/>
      </c>
      <c r="K249">
        <f>IFERROR(VLOOKUP(D249,'Schedule Lookup'!$A:$H,4,0),0)</f>
        <v/>
      </c>
      <c r="L249">
        <f>IFERROR(VLOOKUP(D249,'Schedule Lookup'!$A:$H,5,0),0)</f>
        <v/>
      </c>
      <c r="M249">
        <f>IFERROR(VLOOKUP(D249,'Schedule Lookup'!$A:$H,6,0),0)</f>
        <v/>
      </c>
      <c r="N249">
        <f>IFERROR(VLOOKUP(D249,'Schedule Lookup'!$A:$H,7,0),0)</f>
        <v/>
      </c>
      <c r="O249">
        <f>IFERROR(VLOOKUP(D249,'Schedule Lookup'!$A:$H,8,0),0)</f>
        <v/>
      </c>
      <c r="T249">
        <f>IF(AND(E249&lt;TIME(9,0,0),F249&gt;TIME(0,0,1)),1,0)</f>
        <v/>
      </c>
      <c r="U249">
        <f>IF(AND(E249&lt;TIME(17,0,0),F249&gt;TIME(9,0,0)),1,0)</f>
        <v/>
      </c>
      <c r="V249">
        <f>IF(AND(E249&lt;TIME(21,0,0),F249&gt;TIME(17,0,0)),1,0)</f>
        <v/>
      </c>
      <c r="W249">
        <f>IF(F249&gt;TIME(17,0,0),1,0)</f>
        <v/>
      </c>
    </row>
    <row r="250">
      <c r="I250">
        <f>IFERROR(VLOOKUP(D250,'Schedule Lookup'!$A:$H,2,0),0)</f>
        <v/>
      </c>
      <c r="J250">
        <f>IFERROR(VLOOKUP(D250,'Schedule Lookup'!$A:$H,3,0),0)</f>
        <v/>
      </c>
      <c r="K250">
        <f>IFERROR(VLOOKUP(D250,'Schedule Lookup'!$A:$H,4,0),0)</f>
        <v/>
      </c>
      <c r="L250">
        <f>IFERROR(VLOOKUP(D250,'Schedule Lookup'!$A:$H,5,0),0)</f>
        <v/>
      </c>
      <c r="M250">
        <f>IFERROR(VLOOKUP(D250,'Schedule Lookup'!$A:$H,6,0),0)</f>
        <v/>
      </c>
      <c r="N250">
        <f>IFERROR(VLOOKUP(D250,'Schedule Lookup'!$A:$H,7,0),0)</f>
        <v/>
      </c>
      <c r="O250">
        <f>IFERROR(VLOOKUP(D250,'Schedule Lookup'!$A:$H,8,0),0)</f>
        <v/>
      </c>
      <c r="T250">
        <f>IF(AND(E250&lt;TIME(9,0,0),F250&gt;TIME(0,0,1)),1,0)</f>
        <v/>
      </c>
      <c r="U250">
        <f>IF(AND(E250&lt;TIME(17,0,0),F250&gt;TIME(9,0,0)),1,0)</f>
        <v/>
      </c>
      <c r="V250">
        <f>IF(AND(E250&lt;TIME(21,0,0),F250&gt;TIME(17,0,0)),1,0)</f>
        <v/>
      </c>
      <c r="W250">
        <f>IF(F250&gt;TIME(17,0,0),1,0)</f>
        <v/>
      </c>
    </row>
    <row r="251">
      <c r="I251">
        <f>IFERROR(VLOOKUP(D251,'Schedule Lookup'!$A:$H,2,0),0)</f>
        <v/>
      </c>
      <c r="J251">
        <f>IFERROR(VLOOKUP(D251,'Schedule Lookup'!$A:$H,3,0),0)</f>
        <v/>
      </c>
      <c r="K251">
        <f>IFERROR(VLOOKUP(D251,'Schedule Lookup'!$A:$H,4,0),0)</f>
        <v/>
      </c>
      <c r="L251">
        <f>IFERROR(VLOOKUP(D251,'Schedule Lookup'!$A:$H,5,0),0)</f>
        <v/>
      </c>
      <c r="M251">
        <f>IFERROR(VLOOKUP(D251,'Schedule Lookup'!$A:$H,6,0),0)</f>
        <v/>
      </c>
      <c r="N251">
        <f>IFERROR(VLOOKUP(D251,'Schedule Lookup'!$A:$H,7,0),0)</f>
        <v/>
      </c>
      <c r="O251">
        <f>IFERROR(VLOOKUP(D251,'Schedule Lookup'!$A:$H,8,0),0)</f>
        <v/>
      </c>
      <c r="T251">
        <f>IF(AND(E251&lt;TIME(9,0,0),F251&gt;TIME(0,0,1)),1,0)</f>
        <v/>
      </c>
      <c r="U251">
        <f>IF(AND(E251&lt;TIME(17,0,0),F251&gt;TIME(9,0,0)),1,0)</f>
        <v/>
      </c>
      <c r="V251">
        <f>IF(AND(E251&lt;TIME(21,0,0),F251&gt;TIME(17,0,0)),1,0)</f>
        <v/>
      </c>
      <c r="W251">
        <f>IF(F251&gt;TIME(17,0,0),1,0)</f>
        <v/>
      </c>
    </row>
    <row r="252">
      <c r="I252">
        <f>IFERROR(VLOOKUP(D252,'Schedule Lookup'!$A:$H,2,0),0)</f>
        <v/>
      </c>
      <c r="J252">
        <f>IFERROR(VLOOKUP(D252,'Schedule Lookup'!$A:$H,3,0),0)</f>
        <v/>
      </c>
      <c r="K252">
        <f>IFERROR(VLOOKUP(D252,'Schedule Lookup'!$A:$H,4,0),0)</f>
        <v/>
      </c>
      <c r="L252">
        <f>IFERROR(VLOOKUP(D252,'Schedule Lookup'!$A:$H,5,0),0)</f>
        <v/>
      </c>
      <c r="M252">
        <f>IFERROR(VLOOKUP(D252,'Schedule Lookup'!$A:$H,6,0),0)</f>
        <v/>
      </c>
      <c r="N252">
        <f>IFERROR(VLOOKUP(D252,'Schedule Lookup'!$A:$H,7,0),0)</f>
        <v/>
      </c>
      <c r="O252">
        <f>IFERROR(VLOOKUP(D252,'Schedule Lookup'!$A:$H,8,0),0)</f>
        <v/>
      </c>
      <c r="T252">
        <f>IF(AND(E252&lt;TIME(9,0,0),F252&gt;TIME(0,0,1)),1,0)</f>
        <v/>
      </c>
      <c r="U252">
        <f>IF(AND(E252&lt;TIME(17,0,0),F252&gt;TIME(9,0,0)),1,0)</f>
        <v/>
      </c>
      <c r="V252">
        <f>IF(AND(E252&lt;TIME(21,0,0),F252&gt;TIME(17,0,0)),1,0)</f>
        <v/>
      </c>
      <c r="W252">
        <f>IF(F252&gt;TIME(17,0,0),1,0)</f>
        <v/>
      </c>
    </row>
    <row r="253">
      <c r="I253">
        <f>IFERROR(VLOOKUP(D253,'Schedule Lookup'!$A:$H,2,0),0)</f>
        <v/>
      </c>
      <c r="J253">
        <f>IFERROR(VLOOKUP(D253,'Schedule Lookup'!$A:$H,3,0),0)</f>
        <v/>
      </c>
      <c r="K253">
        <f>IFERROR(VLOOKUP(D253,'Schedule Lookup'!$A:$H,4,0),0)</f>
        <v/>
      </c>
      <c r="L253">
        <f>IFERROR(VLOOKUP(D253,'Schedule Lookup'!$A:$H,5,0),0)</f>
        <v/>
      </c>
      <c r="M253">
        <f>IFERROR(VLOOKUP(D253,'Schedule Lookup'!$A:$H,6,0),0)</f>
        <v/>
      </c>
      <c r="N253">
        <f>IFERROR(VLOOKUP(D253,'Schedule Lookup'!$A:$H,7,0),0)</f>
        <v/>
      </c>
      <c r="O253">
        <f>IFERROR(VLOOKUP(D253,'Schedule Lookup'!$A:$H,8,0),0)</f>
        <v/>
      </c>
      <c r="T253">
        <f>IF(AND(E253&lt;TIME(9,0,0),F253&gt;TIME(0,0,1)),1,0)</f>
        <v/>
      </c>
      <c r="U253">
        <f>IF(AND(E253&lt;TIME(17,0,0),F253&gt;TIME(9,0,0)),1,0)</f>
        <v/>
      </c>
      <c r="V253">
        <f>IF(AND(E253&lt;TIME(21,0,0),F253&gt;TIME(17,0,0)),1,0)</f>
        <v/>
      </c>
      <c r="W253">
        <f>IF(F253&gt;TIME(17,0,0),1,0)</f>
        <v/>
      </c>
    </row>
    <row r="254">
      <c r="I254">
        <f>IFERROR(VLOOKUP(D254,'Schedule Lookup'!$A:$H,2,0),0)</f>
        <v/>
      </c>
      <c r="J254">
        <f>IFERROR(VLOOKUP(D254,'Schedule Lookup'!$A:$H,3,0),0)</f>
        <v/>
      </c>
      <c r="K254">
        <f>IFERROR(VLOOKUP(D254,'Schedule Lookup'!$A:$H,4,0),0)</f>
        <v/>
      </c>
      <c r="L254">
        <f>IFERROR(VLOOKUP(D254,'Schedule Lookup'!$A:$H,5,0),0)</f>
        <v/>
      </c>
      <c r="M254">
        <f>IFERROR(VLOOKUP(D254,'Schedule Lookup'!$A:$H,6,0),0)</f>
        <v/>
      </c>
      <c r="N254">
        <f>IFERROR(VLOOKUP(D254,'Schedule Lookup'!$A:$H,7,0),0)</f>
        <v/>
      </c>
      <c r="O254">
        <f>IFERROR(VLOOKUP(D254,'Schedule Lookup'!$A:$H,8,0),0)</f>
        <v/>
      </c>
      <c r="T254">
        <f>IF(AND(E254&lt;TIME(9,0,0),F254&gt;TIME(0,0,1)),1,0)</f>
        <v/>
      </c>
      <c r="U254">
        <f>IF(AND(E254&lt;TIME(17,0,0),F254&gt;TIME(9,0,0)),1,0)</f>
        <v/>
      </c>
      <c r="V254">
        <f>IF(AND(E254&lt;TIME(21,0,0),F254&gt;TIME(17,0,0)),1,0)</f>
        <v/>
      </c>
      <c r="W254">
        <f>IF(F254&gt;TIME(17,0,0),1,0)</f>
        <v/>
      </c>
    </row>
    <row r="255">
      <c r="I255">
        <f>IFERROR(VLOOKUP(D255,'Schedule Lookup'!$A:$H,2,0),0)</f>
        <v/>
      </c>
      <c r="J255">
        <f>IFERROR(VLOOKUP(D255,'Schedule Lookup'!$A:$H,3,0),0)</f>
        <v/>
      </c>
      <c r="K255">
        <f>IFERROR(VLOOKUP(D255,'Schedule Lookup'!$A:$H,4,0),0)</f>
        <v/>
      </c>
      <c r="L255">
        <f>IFERROR(VLOOKUP(D255,'Schedule Lookup'!$A:$H,5,0),0)</f>
        <v/>
      </c>
      <c r="M255">
        <f>IFERROR(VLOOKUP(D255,'Schedule Lookup'!$A:$H,6,0),0)</f>
        <v/>
      </c>
      <c r="N255">
        <f>IFERROR(VLOOKUP(D255,'Schedule Lookup'!$A:$H,7,0),0)</f>
        <v/>
      </c>
      <c r="O255">
        <f>IFERROR(VLOOKUP(D255,'Schedule Lookup'!$A:$H,8,0),0)</f>
        <v/>
      </c>
      <c r="T255">
        <f>IF(AND(E255&lt;TIME(9,0,0),F255&gt;TIME(0,0,1)),1,0)</f>
        <v/>
      </c>
      <c r="U255">
        <f>IF(AND(E255&lt;TIME(17,0,0),F255&gt;TIME(9,0,0)),1,0)</f>
        <v/>
      </c>
      <c r="V255">
        <f>IF(AND(E255&lt;TIME(21,0,0),F255&gt;TIME(17,0,0)),1,0)</f>
        <v/>
      </c>
      <c r="W255">
        <f>IF(F255&gt;TIME(17,0,0),1,0)</f>
        <v/>
      </c>
    </row>
    <row r="256">
      <c r="I256">
        <f>IFERROR(VLOOKUP(D256,'Schedule Lookup'!$A:$H,2,0),0)</f>
        <v/>
      </c>
      <c r="J256">
        <f>IFERROR(VLOOKUP(D256,'Schedule Lookup'!$A:$H,3,0),0)</f>
        <v/>
      </c>
      <c r="K256">
        <f>IFERROR(VLOOKUP(D256,'Schedule Lookup'!$A:$H,4,0),0)</f>
        <v/>
      </c>
      <c r="L256">
        <f>IFERROR(VLOOKUP(D256,'Schedule Lookup'!$A:$H,5,0),0)</f>
        <v/>
      </c>
      <c r="M256">
        <f>IFERROR(VLOOKUP(D256,'Schedule Lookup'!$A:$H,6,0),0)</f>
        <v/>
      </c>
      <c r="N256">
        <f>IFERROR(VLOOKUP(D256,'Schedule Lookup'!$A:$H,7,0),0)</f>
        <v/>
      </c>
      <c r="O256">
        <f>IFERROR(VLOOKUP(D256,'Schedule Lookup'!$A:$H,8,0),0)</f>
        <v/>
      </c>
      <c r="T256">
        <f>IF(AND(E256&lt;TIME(9,0,0),F256&gt;TIME(0,0,1)),1,0)</f>
        <v/>
      </c>
      <c r="U256">
        <f>IF(AND(E256&lt;TIME(17,0,0),F256&gt;TIME(9,0,0)),1,0)</f>
        <v/>
      </c>
      <c r="V256">
        <f>IF(AND(E256&lt;TIME(21,0,0),F256&gt;TIME(17,0,0)),1,0)</f>
        <v/>
      </c>
      <c r="W256">
        <f>IF(F256&gt;TIME(17,0,0),1,0)</f>
        <v/>
      </c>
    </row>
    <row r="257">
      <c r="I257">
        <f>IFERROR(VLOOKUP(D257,'Schedule Lookup'!$A:$H,2,0),0)</f>
        <v/>
      </c>
      <c r="J257">
        <f>IFERROR(VLOOKUP(D257,'Schedule Lookup'!$A:$H,3,0),0)</f>
        <v/>
      </c>
      <c r="K257">
        <f>IFERROR(VLOOKUP(D257,'Schedule Lookup'!$A:$H,4,0),0)</f>
        <v/>
      </c>
      <c r="L257">
        <f>IFERROR(VLOOKUP(D257,'Schedule Lookup'!$A:$H,5,0),0)</f>
        <v/>
      </c>
      <c r="M257">
        <f>IFERROR(VLOOKUP(D257,'Schedule Lookup'!$A:$H,6,0),0)</f>
        <v/>
      </c>
      <c r="N257">
        <f>IFERROR(VLOOKUP(D257,'Schedule Lookup'!$A:$H,7,0),0)</f>
        <v/>
      </c>
      <c r="O257">
        <f>IFERROR(VLOOKUP(D257,'Schedule Lookup'!$A:$H,8,0),0)</f>
        <v/>
      </c>
      <c r="T257">
        <f>IF(AND(E257&lt;TIME(9,0,0),F257&gt;TIME(0,0,1)),1,0)</f>
        <v/>
      </c>
      <c r="U257">
        <f>IF(AND(E257&lt;TIME(17,0,0),F257&gt;TIME(9,0,0)),1,0)</f>
        <v/>
      </c>
      <c r="V257">
        <f>IF(AND(E257&lt;TIME(21,0,0),F257&gt;TIME(17,0,0)),1,0)</f>
        <v/>
      </c>
      <c r="W257">
        <f>IF(F257&gt;TIME(17,0,0),1,0)</f>
        <v/>
      </c>
    </row>
    <row r="258">
      <c r="I258">
        <f>IFERROR(VLOOKUP(D258,'Schedule Lookup'!$A:$H,2,0),0)</f>
        <v/>
      </c>
      <c r="J258">
        <f>IFERROR(VLOOKUP(D258,'Schedule Lookup'!$A:$H,3,0),0)</f>
        <v/>
      </c>
      <c r="K258">
        <f>IFERROR(VLOOKUP(D258,'Schedule Lookup'!$A:$H,4,0),0)</f>
        <v/>
      </c>
      <c r="L258">
        <f>IFERROR(VLOOKUP(D258,'Schedule Lookup'!$A:$H,5,0),0)</f>
        <v/>
      </c>
      <c r="M258">
        <f>IFERROR(VLOOKUP(D258,'Schedule Lookup'!$A:$H,6,0),0)</f>
        <v/>
      </c>
      <c r="N258">
        <f>IFERROR(VLOOKUP(D258,'Schedule Lookup'!$A:$H,7,0),0)</f>
        <v/>
      </c>
      <c r="O258">
        <f>IFERROR(VLOOKUP(D258,'Schedule Lookup'!$A:$H,8,0),0)</f>
        <v/>
      </c>
      <c r="T258">
        <f>IF(AND(E258&lt;TIME(9,0,0),F258&gt;TIME(0,0,1)),1,0)</f>
        <v/>
      </c>
      <c r="U258">
        <f>IF(AND(E258&lt;TIME(17,0,0),F258&gt;TIME(9,0,0)),1,0)</f>
        <v/>
      </c>
      <c r="V258">
        <f>IF(AND(E258&lt;TIME(21,0,0),F258&gt;TIME(17,0,0)),1,0)</f>
        <v/>
      </c>
      <c r="W258">
        <f>IF(F258&gt;TIME(17,0,0),1,0)</f>
        <v/>
      </c>
    </row>
    <row r="259">
      <c r="I259">
        <f>IFERROR(VLOOKUP(D259,'Schedule Lookup'!$A:$H,2,0),0)</f>
        <v/>
      </c>
      <c r="J259">
        <f>IFERROR(VLOOKUP(D259,'Schedule Lookup'!$A:$H,3,0),0)</f>
        <v/>
      </c>
      <c r="K259">
        <f>IFERROR(VLOOKUP(D259,'Schedule Lookup'!$A:$H,4,0),0)</f>
        <v/>
      </c>
      <c r="L259">
        <f>IFERROR(VLOOKUP(D259,'Schedule Lookup'!$A:$H,5,0),0)</f>
        <v/>
      </c>
      <c r="M259">
        <f>IFERROR(VLOOKUP(D259,'Schedule Lookup'!$A:$H,6,0),0)</f>
        <v/>
      </c>
      <c r="N259">
        <f>IFERROR(VLOOKUP(D259,'Schedule Lookup'!$A:$H,7,0),0)</f>
        <v/>
      </c>
      <c r="O259">
        <f>IFERROR(VLOOKUP(D259,'Schedule Lookup'!$A:$H,8,0),0)</f>
        <v/>
      </c>
      <c r="T259">
        <f>IF(AND(E259&lt;TIME(9,0,0),F259&gt;TIME(0,0,1)),1,0)</f>
        <v/>
      </c>
      <c r="U259">
        <f>IF(AND(E259&lt;TIME(17,0,0),F259&gt;TIME(9,0,0)),1,0)</f>
        <v/>
      </c>
      <c r="V259">
        <f>IF(AND(E259&lt;TIME(21,0,0),F259&gt;TIME(17,0,0)),1,0)</f>
        <v/>
      </c>
      <c r="W259">
        <f>IF(F259&gt;TIME(17,0,0),1,0)</f>
        <v/>
      </c>
    </row>
    <row r="260">
      <c r="I260">
        <f>IFERROR(VLOOKUP(D260,'Schedule Lookup'!$A:$H,2,0),0)</f>
        <v/>
      </c>
      <c r="J260">
        <f>IFERROR(VLOOKUP(D260,'Schedule Lookup'!$A:$H,3,0),0)</f>
        <v/>
      </c>
      <c r="K260">
        <f>IFERROR(VLOOKUP(D260,'Schedule Lookup'!$A:$H,4,0),0)</f>
        <v/>
      </c>
      <c r="L260">
        <f>IFERROR(VLOOKUP(D260,'Schedule Lookup'!$A:$H,5,0),0)</f>
        <v/>
      </c>
      <c r="M260">
        <f>IFERROR(VLOOKUP(D260,'Schedule Lookup'!$A:$H,6,0),0)</f>
        <v/>
      </c>
      <c r="N260">
        <f>IFERROR(VLOOKUP(D260,'Schedule Lookup'!$A:$H,7,0),0)</f>
        <v/>
      </c>
      <c r="O260">
        <f>IFERROR(VLOOKUP(D260,'Schedule Lookup'!$A:$H,8,0),0)</f>
        <v/>
      </c>
      <c r="T260">
        <f>IF(AND(E260&lt;TIME(9,0,0),F260&gt;TIME(0,0,1)),1,0)</f>
        <v/>
      </c>
      <c r="U260">
        <f>IF(AND(E260&lt;TIME(17,0,0),F260&gt;TIME(9,0,0)),1,0)</f>
        <v/>
      </c>
      <c r="V260">
        <f>IF(AND(E260&lt;TIME(21,0,0),F260&gt;TIME(17,0,0)),1,0)</f>
        <v/>
      </c>
      <c r="W260">
        <f>IF(F260&gt;TIME(17,0,0),1,0)</f>
        <v/>
      </c>
    </row>
    <row r="261">
      <c r="I261">
        <f>IFERROR(VLOOKUP(D261,'Schedule Lookup'!$A:$H,2,0),0)</f>
        <v/>
      </c>
      <c r="J261">
        <f>IFERROR(VLOOKUP(D261,'Schedule Lookup'!$A:$H,3,0),0)</f>
        <v/>
      </c>
      <c r="K261">
        <f>IFERROR(VLOOKUP(D261,'Schedule Lookup'!$A:$H,4,0),0)</f>
        <v/>
      </c>
      <c r="L261">
        <f>IFERROR(VLOOKUP(D261,'Schedule Lookup'!$A:$H,5,0),0)</f>
        <v/>
      </c>
      <c r="M261">
        <f>IFERROR(VLOOKUP(D261,'Schedule Lookup'!$A:$H,6,0),0)</f>
        <v/>
      </c>
      <c r="N261">
        <f>IFERROR(VLOOKUP(D261,'Schedule Lookup'!$A:$H,7,0),0)</f>
        <v/>
      </c>
      <c r="O261">
        <f>IFERROR(VLOOKUP(D261,'Schedule Lookup'!$A:$H,8,0),0)</f>
        <v/>
      </c>
      <c r="T261">
        <f>IF(AND(E261&lt;TIME(9,0,0),F261&gt;TIME(0,0,1)),1,0)</f>
        <v/>
      </c>
      <c r="U261">
        <f>IF(AND(E261&lt;TIME(17,0,0),F261&gt;TIME(9,0,0)),1,0)</f>
        <v/>
      </c>
      <c r="V261">
        <f>IF(AND(E261&lt;TIME(21,0,0),F261&gt;TIME(17,0,0)),1,0)</f>
        <v/>
      </c>
      <c r="W261">
        <f>IF(F261&gt;TIME(17,0,0),1,0)</f>
        <v/>
      </c>
    </row>
    <row r="262">
      <c r="I262">
        <f>IFERROR(VLOOKUP(D262,'Schedule Lookup'!$A:$H,2,0),0)</f>
        <v/>
      </c>
      <c r="J262">
        <f>IFERROR(VLOOKUP(D262,'Schedule Lookup'!$A:$H,3,0),0)</f>
        <v/>
      </c>
      <c r="K262">
        <f>IFERROR(VLOOKUP(D262,'Schedule Lookup'!$A:$H,4,0),0)</f>
        <v/>
      </c>
      <c r="L262">
        <f>IFERROR(VLOOKUP(D262,'Schedule Lookup'!$A:$H,5,0),0)</f>
        <v/>
      </c>
      <c r="M262">
        <f>IFERROR(VLOOKUP(D262,'Schedule Lookup'!$A:$H,6,0),0)</f>
        <v/>
      </c>
      <c r="N262">
        <f>IFERROR(VLOOKUP(D262,'Schedule Lookup'!$A:$H,7,0),0)</f>
        <v/>
      </c>
      <c r="O262">
        <f>IFERROR(VLOOKUP(D262,'Schedule Lookup'!$A:$H,8,0),0)</f>
        <v/>
      </c>
      <c r="T262">
        <f>IF(AND(E262&lt;TIME(9,0,0),F262&gt;TIME(0,0,1)),1,0)</f>
        <v/>
      </c>
      <c r="U262">
        <f>IF(AND(E262&lt;TIME(17,0,0),F262&gt;TIME(9,0,0)),1,0)</f>
        <v/>
      </c>
      <c r="V262">
        <f>IF(AND(E262&lt;TIME(21,0,0),F262&gt;TIME(17,0,0)),1,0)</f>
        <v/>
      </c>
      <c r="W262">
        <f>IF(F262&gt;TIME(17,0,0),1,0)</f>
        <v/>
      </c>
    </row>
    <row r="263">
      <c r="I263">
        <f>IFERROR(VLOOKUP(D263,'Schedule Lookup'!$A:$H,2,0),0)</f>
        <v/>
      </c>
      <c r="J263">
        <f>IFERROR(VLOOKUP(D263,'Schedule Lookup'!$A:$H,3,0),0)</f>
        <v/>
      </c>
      <c r="K263">
        <f>IFERROR(VLOOKUP(D263,'Schedule Lookup'!$A:$H,4,0),0)</f>
        <v/>
      </c>
      <c r="L263">
        <f>IFERROR(VLOOKUP(D263,'Schedule Lookup'!$A:$H,5,0),0)</f>
        <v/>
      </c>
      <c r="M263">
        <f>IFERROR(VLOOKUP(D263,'Schedule Lookup'!$A:$H,6,0),0)</f>
        <v/>
      </c>
      <c r="N263">
        <f>IFERROR(VLOOKUP(D263,'Schedule Lookup'!$A:$H,7,0),0)</f>
        <v/>
      </c>
      <c r="O263">
        <f>IFERROR(VLOOKUP(D263,'Schedule Lookup'!$A:$H,8,0),0)</f>
        <v/>
      </c>
      <c r="T263">
        <f>IF(AND(E263&lt;TIME(9,0,0),F263&gt;TIME(0,0,1)),1,0)</f>
        <v/>
      </c>
      <c r="U263">
        <f>IF(AND(E263&lt;TIME(17,0,0),F263&gt;TIME(9,0,0)),1,0)</f>
        <v/>
      </c>
      <c r="V263">
        <f>IF(AND(E263&lt;TIME(21,0,0),F263&gt;TIME(17,0,0)),1,0)</f>
        <v/>
      </c>
      <c r="W263">
        <f>IF(F263&gt;TIME(17,0,0),1,0)</f>
        <v/>
      </c>
    </row>
    <row r="264">
      <c r="I264">
        <f>IFERROR(VLOOKUP(D264,'Schedule Lookup'!$A:$H,2,0),0)</f>
        <v/>
      </c>
      <c r="J264">
        <f>IFERROR(VLOOKUP(D264,'Schedule Lookup'!$A:$H,3,0),0)</f>
        <v/>
      </c>
      <c r="K264">
        <f>IFERROR(VLOOKUP(D264,'Schedule Lookup'!$A:$H,4,0),0)</f>
        <v/>
      </c>
      <c r="L264">
        <f>IFERROR(VLOOKUP(D264,'Schedule Lookup'!$A:$H,5,0),0)</f>
        <v/>
      </c>
      <c r="M264">
        <f>IFERROR(VLOOKUP(D264,'Schedule Lookup'!$A:$H,6,0),0)</f>
        <v/>
      </c>
      <c r="N264">
        <f>IFERROR(VLOOKUP(D264,'Schedule Lookup'!$A:$H,7,0),0)</f>
        <v/>
      </c>
      <c r="O264">
        <f>IFERROR(VLOOKUP(D264,'Schedule Lookup'!$A:$H,8,0),0)</f>
        <v/>
      </c>
      <c r="T264">
        <f>IF(AND(E264&lt;TIME(9,0,0),F264&gt;TIME(0,0,1)),1,0)</f>
        <v/>
      </c>
      <c r="U264">
        <f>IF(AND(E264&lt;TIME(17,0,0),F264&gt;TIME(9,0,0)),1,0)</f>
        <v/>
      </c>
      <c r="V264">
        <f>IF(AND(E264&lt;TIME(21,0,0),F264&gt;TIME(17,0,0)),1,0)</f>
        <v/>
      </c>
      <c r="W264">
        <f>IF(F264&gt;TIME(17,0,0),1,0)</f>
        <v/>
      </c>
    </row>
    <row r="265">
      <c r="I265">
        <f>IFERROR(VLOOKUP(D265,'Schedule Lookup'!$A:$H,2,0),0)</f>
        <v/>
      </c>
      <c r="J265">
        <f>IFERROR(VLOOKUP(D265,'Schedule Lookup'!$A:$H,3,0),0)</f>
        <v/>
      </c>
      <c r="K265">
        <f>IFERROR(VLOOKUP(D265,'Schedule Lookup'!$A:$H,4,0),0)</f>
        <v/>
      </c>
      <c r="L265">
        <f>IFERROR(VLOOKUP(D265,'Schedule Lookup'!$A:$H,5,0),0)</f>
        <v/>
      </c>
      <c r="M265">
        <f>IFERROR(VLOOKUP(D265,'Schedule Lookup'!$A:$H,6,0),0)</f>
        <v/>
      </c>
      <c r="N265">
        <f>IFERROR(VLOOKUP(D265,'Schedule Lookup'!$A:$H,7,0),0)</f>
        <v/>
      </c>
      <c r="O265">
        <f>IFERROR(VLOOKUP(D265,'Schedule Lookup'!$A:$H,8,0),0)</f>
        <v/>
      </c>
      <c r="T265">
        <f>IF(AND(E265&lt;TIME(9,0,0),F265&gt;TIME(0,0,1)),1,0)</f>
        <v/>
      </c>
      <c r="U265">
        <f>IF(AND(E265&lt;TIME(17,0,0),F265&gt;TIME(9,0,0)),1,0)</f>
        <v/>
      </c>
      <c r="V265">
        <f>IF(AND(E265&lt;TIME(21,0,0),F265&gt;TIME(17,0,0)),1,0)</f>
        <v/>
      </c>
      <c r="W265">
        <f>IF(F265&gt;TIME(17,0,0),1,0)</f>
        <v/>
      </c>
    </row>
    <row r="266">
      <c r="I266">
        <f>IFERROR(VLOOKUP(D266,'Schedule Lookup'!$A:$H,2,0),0)</f>
        <v/>
      </c>
      <c r="J266">
        <f>IFERROR(VLOOKUP(D266,'Schedule Lookup'!$A:$H,3,0),0)</f>
        <v/>
      </c>
      <c r="K266">
        <f>IFERROR(VLOOKUP(D266,'Schedule Lookup'!$A:$H,4,0),0)</f>
        <v/>
      </c>
      <c r="L266">
        <f>IFERROR(VLOOKUP(D266,'Schedule Lookup'!$A:$H,5,0),0)</f>
        <v/>
      </c>
      <c r="M266">
        <f>IFERROR(VLOOKUP(D266,'Schedule Lookup'!$A:$H,6,0),0)</f>
        <v/>
      </c>
      <c r="N266">
        <f>IFERROR(VLOOKUP(D266,'Schedule Lookup'!$A:$H,7,0),0)</f>
        <v/>
      </c>
      <c r="O266">
        <f>IFERROR(VLOOKUP(D266,'Schedule Lookup'!$A:$H,8,0),0)</f>
        <v/>
      </c>
      <c r="T266">
        <f>IF(AND(E266&lt;TIME(9,0,0),F266&gt;TIME(0,0,1)),1,0)</f>
        <v/>
      </c>
      <c r="U266">
        <f>IF(AND(E266&lt;TIME(17,0,0),F266&gt;TIME(9,0,0)),1,0)</f>
        <v/>
      </c>
      <c r="V266">
        <f>IF(AND(E266&lt;TIME(21,0,0),F266&gt;TIME(17,0,0)),1,0)</f>
        <v/>
      </c>
      <c r="W266">
        <f>IF(F266&gt;TIME(17,0,0),1,0)</f>
        <v/>
      </c>
    </row>
    <row r="267">
      <c r="I267">
        <f>IFERROR(VLOOKUP(D267,'Schedule Lookup'!$A:$H,2,0),0)</f>
        <v/>
      </c>
      <c r="J267">
        <f>IFERROR(VLOOKUP(D267,'Schedule Lookup'!$A:$H,3,0),0)</f>
        <v/>
      </c>
      <c r="K267">
        <f>IFERROR(VLOOKUP(D267,'Schedule Lookup'!$A:$H,4,0),0)</f>
        <v/>
      </c>
      <c r="L267">
        <f>IFERROR(VLOOKUP(D267,'Schedule Lookup'!$A:$H,5,0),0)</f>
        <v/>
      </c>
      <c r="M267">
        <f>IFERROR(VLOOKUP(D267,'Schedule Lookup'!$A:$H,6,0),0)</f>
        <v/>
      </c>
      <c r="N267">
        <f>IFERROR(VLOOKUP(D267,'Schedule Lookup'!$A:$H,7,0),0)</f>
        <v/>
      </c>
      <c r="O267">
        <f>IFERROR(VLOOKUP(D267,'Schedule Lookup'!$A:$H,8,0),0)</f>
        <v/>
      </c>
      <c r="T267">
        <f>IF(AND(E267&lt;TIME(9,0,0),F267&gt;TIME(0,0,1)),1,0)</f>
        <v/>
      </c>
      <c r="U267">
        <f>IF(AND(E267&lt;TIME(17,0,0),F267&gt;TIME(9,0,0)),1,0)</f>
        <v/>
      </c>
      <c r="V267">
        <f>IF(AND(E267&lt;TIME(21,0,0),F267&gt;TIME(17,0,0)),1,0)</f>
        <v/>
      </c>
      <c r="W267">
        <f>IF(F267&gt;TIME(17,0,0),1,0)</f>
        <v/>
      </c>
    </row>
    <row r="268">
      <c r="I268">
        <f>IFERROR(VLOOKUP(D268,'Schedule Lookup'!$A:$H,2,0),0)</f>
        <v/>
      </c>
      <c r="J268">
        <f>IFERROR(VLOOKUP(D268,'Schedule Lookup'!$A:$H,3,0),0)</f>
        <v/>
      </c>
      <c r="K268">
        <f>IFERROR(VLOOKUP(D268,'Schedule Lookup'!$A:$H,4,0),0)</f>
        <v/>
      </c>
      <c r="L268">
        <f>IFERROR(VLOOKUP(D268,'Schedule Lookup'!$A:$H,5,0),0)</f>
        <v/>
      </c>
      <c r="M268">
        <f>IFERROR(VLOOKUP(D268,'Schedule Lookup'!$A:$H,6,0),0)</f>
        <v/>
      </c>
      <c r="N268">
        <f>IFERROR(VLOOKUP(D268,'Schedule Lookup'!$A:$H,7,0),0)</f>
        <v/>
      </c>
      <c r="O268">
        <f>IFERROR(VLOOKUP(D268,'Schedule Lookup'!$A:$H,8,0),0)</f>
        <v/>
      </c>
      <c r="T268">
        <f>IF(AND(E268&lt;TIME(9,0,0),F268&gt;TIME(0,0,1)),1,0)</f>
        <v/>
      </c>
      <c r="U268">
        <f>IF(AND(E268&lt;TIME(17,0,0),F268&gt;TIME(9,0,0)),1,0)</f>
        <v/>
      </c>
      <c r="V268">
        <f>IF(AND(E268&lt;TIME(21,0,0),F268&gt;TIME(17,0,0)),1,0)</f>
        <v/>
      </c>
      <c r="W268">
        <f>IF(F268&gt;TIME(17,0,0),1,0)</f>
        <v/>
      </c>
    </row>
    <row r="269">
      <c r="I269">
        <f>IFERROR(VLOOKUP(D269,'Schedule Lookup'!$A:$H,2,0),0)</f>
        <v/>
      </c>
      <c r="J269">
        <f>IFERROR(VLOOKUP(D269,'Schedule Lookup'!$A:$H,3,0),0)</f>
        <v/>
      </c>
      <c r="K269">
        <f>IFERROR(VLOOKUP(D269,'Schedule Lookup'!$A:$H,4,0),0)</f>
        <v/>
      </c>
      <c r="L269">
        <f>IFERROR(VLOOKUP(D269,'Schedule Lookup'!$A:$H,5,0),0)</f>
        <v/>
      </c>
      <c r="M269">
        <f>IFERROR(VLOOKUP(D269,'Schedule Lookup'!$A:$H,6,0),0)</f>
        <v/>
      </c>
      <c r="N269">
        <f>IFERROR(VLOOKUP(D269,'Schedule Lookup'!$A:$H,7,0),0)</f>
        <v/>
      </c>
      <c r="O269">
        <f>IFERROR(VLOOKUP(D269,'Schedule Lookup'!$A:$H,8,0),0)</f>
        <v/>
      </c>
      <c r="T269">
        <f>IF(AND(E269&lt;TIME(9,0,0),F269&gt;TIME(0,0,1)),1,0)</f>
        <v/>
      </c>
      <c r="U269">
        <f>IF(AND(E269&lt;TIME(17,0,0),F269&gt;TIME(9,0,0)),1,0)</f>
        <v/>
      </c>
      <c r="V269">
        <f>IF(AND(E269&lt;TIME(21,0,0),F269&gt;TIME(17,0,0)),1,0)</f>
        <v/>
      </c>
      <c r="W269">
        <f>IF(F269&gt;TIME(17,0,0),1,0)</f>
        <v/>
      </c>
    </row>
    <row r="270">
      <c r="I270">
        <f>IFERROR(VLOOKUP(D270,'Schedule Lookup'!$A:$H,2,0),0)</f>
        <v/>
      </c>
      <c r="J270">
        <f>IFERROR(VLOOKUP(D270,'Schedule Lookup'!$A:$H,3,0),0)</f>
        <v/>
      </c>
      <c r="K270">
        <f>IFERROR(VLOOKUP(D270,'Schedule Lookup'!$A:$H,4,0),0)</f>
        <v/>
      </c>
      <c r="L270">
        <f>IFERROR(VLOOKUP(D270,'Schedule Lookup'!$A:$H,5,0),0)</f>
        <v/>
      </c>
      <c r="M270">
        <f>IFERROR(VLOOKUP(D270,'Schedule Lookup'!$A:$H,6,0),0)</f>
        <v/>
      </c>
      <c r="N270">
        <f>IFERROR(VLOOKUP(D270,'Schedule Lookup'!$A:$H,7,0),0)</f>
        <v/>
      </c>
      <c r="O270">
        <f>IFERROR(VLOOKUP(D270,'Schedule Lookup'!$A:$H,8,0),0)</f>
        <v/>
      </c>
      <c r="T270">
        <f>IF(AND(E270&lt;TIME(9,0,0),F270&gt;TIME(0,0,1)),1,0)</f>
        <v/>
      </c>
      <c r="U270">
        <f>IF(AND(E270&lt;TIME(17,0,0),F270&gt;TIME(9,0,0)),1,0)</f>
        <v/>
      </c>
      <c r="V270">
        <f>IF(AND(E270&lt;TIME(21,0,0),F270&gt;TIME(17,0,0)),1,0)</f>
        <v/>
      </c>
      <c r="W270">
        <f>IF(F270&gt;TIME(17,0,0),1,0)</f>
        <v/>
      </c>
    </row>
    <row r="271">
      <c r="I271">
        <f>IFERROR(VLOOKUP(D271,'Schedule Lookup'!$A:$H,2,0),0)</f>
        <v/>
      </c>
      <c r="J271">
        <f>IFERROR(VLOOKUP(D271,'Schedule Lookup'!$A:$H,3,0),0)</f>
        <v/>
      </c>
      <c r="K271">
        <f>IFERROR(VLOOKUP(D271,'Schedule Lookup'!$A:$H,4,0),0)</f>
        <v/>
      </c>
      <c r="L271">
        <f>IFERROR(VLOOKUP(D271,'Schedule Lookup'!$A:$H,5,0),0)</f>
        <v/>
      </c>
      <c r="M271">
        <f>IFERROR(VLOOKUP(D271,'Schedule Lookup'!$A:$H,6,0),0)</f>
        <v/>
      </c>
      <c r="N271">
        <f>IFERROR(VLOOKUP(D271,'Schedule Lookup'!$A:$H,7,0),0)</f>
        <v/>
      </c>
      <c r="O271">
        <f>IFERROR(VLOOKUP(D271,'Schedule Lookup'!$A:$H,8,0),0)</f>
        <v/>
      </c>
      <c r="T271">
        <f>IF(AND(E271&lt;TIME(9,0,0),F271&gt;TIME(0,0,1)),1,0)</f>
        <v/>
      </c>
      <c r="U271">
        <f>IF(AND(E271&lt;TIME(17,0,0),F271&gt;TIME(9,0,0)),1,0)</f>
        <v/>
      </c>
      <c r="V271">
        <f>IF(AND(E271&lt;TIME(21,0,0),F271&gt;TIME(17,0,0)),1,0)</f>
        <v/>
      </c>
      <c r="W271">
        <f>IF(F271&gt;TIME(17,0,0),1,0)</f>
        <v/>
      </c>
    </row>
    <row r="272">
      <c r="I272">
        <f>IFERROR(VLOOKUP(D272,'Schedule Lookup'!$A:$H,2,0),0)</f>
        <v/>
      </c>
      <c r="J272">
        <f>IFERROR(VLOOKUP(D272,'Schedule Lookup'!$A:$H,3,0),0)</f>
        <v/>
      </c>
      <c r="K272">
        <f>IFERROR(VLOOKUP(D272,'Schedule Lookup'!$A:$H,4,0),0)</f>
        <v/>
      </c>
      <c r="L272">
        <f>IFERROR(VLOOKUP(D272,'Schedule Lookup'!$A:$H,5,0),0)</f>
        <v/>
      </c>
      <c r="M272">
        <f>IFERROR(VLOOKUP(D272,'Schedule Lookup'!$A:$H,6,0),0)</f>
        <v/>
      </c>
      <c r="N272">
        <f>IFERROR(VLOOKUP(D272,'Schedule Lookup'!$A:$H,7,0),0)</f>
        <v/>
      </c>
      <c r="O272">
        <f>IFERROR(VLOOKUP(D272,'Schedule Lookup'!$A:$H,8,0),0)</f>
        <v/>
      </c>
      <c r="T272">
        <f>IF(AND(E272&lt;TIME(9,0,0),F272&gt;TIME(0,0,1)),1,0)</f>
        <v/>
      </c>
      <c r="U272">
        <f>IF(AND(E272&lt;TIME(17,0,0),F272&gt;TIME(9,0,0)),1,0)</f>
        <v/>
      </c>
      <c r="V272">
        <f>IF(AND(E272&lt;TIME(21,0,0),F272&gt;TIME(17,0,0)),1,0)</f>
        <v/>
      </c>
      <c r="W272">
        <f>IF(F272&gt;TIME(17,0,0),1,0)</f>
        <v/>
      </c>
    </row>
    <row r="273">
      <c r="I273">
        <f>IFERROR(VLOOKUP(D273,'Schedule Lookup'!$A:$H,2,0),0)</f>
        <v/>
      </c>
      <c r="J273">
        <f>IFERROR(VLOOKUP(D273,'Schedule Lookup'!$A:$H,3,0),0)</f>
        <v/>
      </c>
      <c r="K273">
        <f>IFERROR(VLOOKUP(D273,'Schedule Lookup'!$A:$H,4,0),0)</f>
        <v/>
      </c>
      <c r="L273">
        <f>IFERROR(VLOOKUP(D273,'Schedule Lookup'!$A:$H,5,0),0)</f>
        <v/>
      </c>
      <c r="M273">
        <f>IFERROR(VLOOKUP(D273,'Schedule Lookup'!$A:$H,6,0),0)</f>
        <v/>
      </c>
      <c r="N273">
        <f>IFERROR(VLOOKUP(D273,'Schedule Lookup'!$A:$H,7,0),0)</f>
        <v/>
      </c>
      <c r="O273">
        <f>IFERROR(VLOOKUP(D273,'Schedule Lookup'!$A:$H,8,0),0)</f>
        <v/>
      </c>
      <c r="T273">
        <f>IF(AND(E273&lt;TIME(9,0,0),F273&gt;TIME(0,0,1)),1,0)</f>
        <v/>
      </c>
      <c r="U273">
        <f>IF(AND(E273&lt;TIME(17,0,0),F273&gt;TIME(9,0,0)),1,0)</f>
        <v/>
      </c>
      <c r="V273">
        <f>IF(AND(E273&lt;TIME(21,0,0),F273&gt;TIME(17,0,0)),1,0)</f>
        <v/>
      </c>
      <c r="W273">
        <f>IF(F273&gt;TIME(17,0,0),1,0)</f>
        <v/>
      </c>
    </row>
    <row r="274">
      <c r="I274">
        <f>IFERROR(VLOOKUP(D274,'Schedule Lookup'!$A:$H,2,0),0)</f>
        <v/>
      </c>
      <c r="J274">
        <f>IFERROR(VLOOKUP(D274,'Schedule Lookup'!$A:$H,3,0),0)</f>
        <v/>
      </c>
      <c r="K274">
        <f>IFERROR(VLOOKUP(D274,'Schedule Lookup'!$A:$H,4,0),0)</f>
        <v/>
      </c>
      <c r="L274">
        <f>IFERROR(VLOOKUP(D274,'Schedule Lookup'!$A:$H,5,0),0)</f>
        <v/>
      </c>
      <c r="M274">
        <f>IFERROR(VLOOKUP(D274,'Schedule Lookup'!$A:$H,6,0),0)</f>
        <v/>
      </c>
      <c r="N274">
        <f>IFERROR(VLOOKUP(D274,'Schedule Lookup'!$A:$H,7,0),0)</f>
        <v/>
      </c>
      <c r="O274">
        <f>IFERROR(VLOOKUP(D274,'Schedule Lookup'!$A:$H,8,0),0)</f>
        <v/>
      </c>
      <c r="T274">
        <f>IF(AND(E274&lt;TIME(9,0,0),F274&gt;TIME(0,0,1)),1,0)</f>
        <v/>
      </c>
      <c r="U274">
        <f>IF(AND(E274&lt;TIME(17,0,0),F274&gt;TIME(9,0,0)),1,0)</f>
        <v/>
      </c>
      <c r="V274">
        <f>IF(AND(E274&lt;TIME(21,0,0),F274&gt;TIME(17,0,0)),1,0)</f>
        <v/>
      </c>
      <c r="W274">
        <f>IF(F274&gt;TIME(17,0,0),1,0)</f>
        <v/>
      </c>
    </row>
    <row r="275">
      <c r="I275">
        <f>IFERROR(VLOOKUP(D275,'Schedule Lookup'!$A:$H,2,0),0)</f>
        <v/>
      </c>
      <c r="J275">
        <f>IFERROR(VLOOKUP(D275,'Schedule Lookup'!$A:$H,3,0),0)</f>
        <v/>
      </c>
      <c r="K275">
        <f>IFERROR(VLOOKUP(D275,'Schedule Lookup'!$A:$H,4,0),0)</f>
        <v/>
      </c>
      <c r="L275">
        <f>IFERROR(VLOOKUP(D275,'Schedule Lookup'!$A:$H,5,0),0)</f>
        <v/>
      </c>
      <c r="M275">
        <f>IFERROR(VLOOKUP(D275,'Schedule Lookup'!$A:$H,6,0),0)</f>
        <v/>
      </c>
      <c r="N275">
        <f>IFERROR(VLOOKUP(D275,'Schedule Lookup'!$A:$H,7,0),0)</f>
        <v/>
      </c>
      <c r="O275">
        <f>IFERROR(VLOOKUP(D275,'Schedule Lookup'!$A:$H,8,0),0)</f>
        <v/>
      </c>
      <c r="T275">
        <f>IF(AND(E275&lt;TIME(9,0,0),F275&gt;TIME(0,0,1)),1,0)</f>
        <v/>
      </c>
      <c r="U275">
        <f>IF(AND(E275&lt;TIME(17,0,0),F275&gt;TIME(9,0,0)),1,0)</f>
        <v/>
      </c>
      <c r="V275">
        <f>IF(AND(E275&lt;TIME(21,0,0),F275&gt;TIME(17,0,0)),1,0)</f>
        <v/>
      </c>
      <c r="W275">
        <f>IF(F275&gt;TIME(17,0,0),1,0)</f>
        <v/>
      </c>
    </row>
    <row r="276">
      <c r="I276">
        <f>IFERROR(VLOOKUP(D276,'Schedule Lookup'!$A:$H,2,0),0)</f>
        <v/>
      </c>
      <c r="J276">
        <f>IFERROR(VLOOKUP(D276,'Schedule Lookup'!$A:$H,3,0),0)</f>
        <v/>
      </c>
      <c r="K276">
        <f>IFERROR(VLOOKUP(D276,'Schedule Lookup'!$A:$H,4,0),0)</f>
        <v/>
      </c>
      <c r="L276">
        <f>IFERROR(VLOOKUP(D276,'Schedule Lookup'!$A:$H,5,0),0)</f>
        <v/>
      </c>
      <c r="M276">
        <f>IFERROR(VLOOKUP(D276,'Schedule Lookup'!$A:$H,6,0),0)</f>
        <v/>
      </c>
      <c r="N276">
        <f>IFERROR(VLOOKUP(D276,'Schedule Lookup'!$A:$H,7,0),0)</f>
        <v/>
      </c>
      <c r="O276">
        <f>IFERROR(VLOOKUP(D276,'Schedule Lookup'!$A:$H,8,0),0)</f>
        <v/>
      </c>
      <c r="T276">
        <f>IF(AND(E276&lt;TIME(9,0,0),F276&gt;TIME(0,0,1)),1,0)</f>
        <v/>
      </c>
      <c r="U276">
        <f>IF(AND(E276&lt;TIME(17,0,0),F276&gt;TIME(9,0,0)),1,0)</f>
        <v/>
      </c>
      <c r="V276">
        <f>IF(AND(E276&lt;TIME(21,0,0),F276&gt;TIME(17,0,0)),1,0)</f>
        <v/>
      </c>
      <c r="W276">
        <f>IF(F276&gt;TIME(17,0,0),1,0)</f>
        <v/>
      </c>
    </row>
    <row r="277">
      <c r="I277">
        <f>IFERROR(VLOOKUP(D277,'Schedule Lookup'!$A:$H,2,0),0)</f>
        <v/>
      </c>
      <c r="J277">
        <f>IFERROR(VLOOKUP(D277,'Schedule Lookup'!$A:$H,3,0),0)</f>
        <v/>
      </c>
      <c r="K277">
        <f>IFERROR(VLOOKUP(D277,'Schedule Lookup'!$A:$H,4,0),0)</f>
        <v/>
      </c>
      <c r="L277">
        <f>IFERROR(VLOOKUP(D277,'Schedule Lookup'!$A:$H,5,0),0)</f>
        <v/>
      </c>
      <c r="M277">
        <f>IFERROR(VLOOKUP(D277,'Schedule Lookup'!$A:$H,6,0),0)</f>
        <v/>
      </c>
      <c r="N277">
        <f>IFERROR(VLOOKUP(D277,'Schedule Lookup'!$A:$H,7,0),0)</f>
        <v/>
      </c>
      <c r="O277">
        <f>IFERROR(VLOOKUP(D277,'Schedule Lookup'!$A:$H,8,0),0)</f>
        <v/>
      </c>
      <c r="T277">
        <f>IF(AND(E277&lt;TIME(9,0,0),F277&gt;TIME(0,0,1)),1,0)</f>
        <v/>
      </c>
      <c r="U277">
        <f>IF(AND(E277&lt;TIME(17,0,0),F277&gt;TIME(9,0,0)),1,0)</f>
        <v/>
      </c>
      <c r="V277">
        <f>IF(AND(E277&lt;TIME(21,0,0),F277&gt;TIME(17,0,0)),1,0)</f>
        <v/>
      </c>
      <c r="W277">
        <f>IF(F277&gt;TIME(17,0,0),1,0)</f>
        <v/>
      </c>
    </row>
    <row r="278">
      <c r="I278">
        <f>IFERROR(VLOOKUP(D278,'Schedule Lookup'!$A:$H,2,0),0)</f>
        <v/>
      </c>
      <c r="J278">
        <f>IFERROR(VLOOKUP(D278,'Schedule Lookup'!$A:$H,3,0),0)</f>
        <v/>
      </c>
      <c r="K278">
        <f>IFERROR(VLOOKUP(D278,'Schedule Lookup'!$A:$H,4,0),0)</f>
        <v/>
      </c>
      <c r="L278">
        <f>IFERROR(VLOOKUP(D278,'Schedule Lookup'!$A:$H,5,0),0)</f>
        <v/>
      </c>
      <c r="M278">
        <f>IFERROR(VLOOKUP(D278,'Schedule Lookup'!$A:$H,6,0),0)</f>
        <v/>
      </c>
      <c r="N278">
        <f>IFERROR(VLOOKUP(D278,'Schedule Lookup'!$A:$H,7,0),0)</f>
        <v/>
      </c>
      <c r="O278">
        <f>IFERROR(VLOOKUP(D278,'Schedule Lookup'!$A:$H,8,0),0)</f>
        <v/>
      </c>
      <c r="T278">
        <f>IF(AND(E278&lt;TIME(9,0,0),F278&gt;TIME(0,0,1)),1,0)</f>
        <v/>
      </c>
      <c r="U278">
        <f>IF(AND(E278&lt;TIME(17,0,0),F278&gt;TIME(9,0,0)),1,0)</f>
        <v/>
      </c>
      <c r="V278">
        <f>IF(AND(E278&lt;TIME(21,0,0),F278&gt;TIME(17,0,0)),1,0)</f>
        <v/>
      </c>
      <c r="W278">
        <f>IF(F278&gt;TIME(17,0,0),1,0)</f>
        <v/>
      </c>
    </row>
    <row r="279">
      <c r="I279">
        <f>IFERROR(VLOOKUP(D279,'Schedule Lookup'!$A:$H,2,0),0)</f>
        <v/>
      </c>
      <c r="J279">
        <f>IFERROR(VLOOKUP(D279,'Schedule Lookup'!$A:$H,3,0),0)</f>
        <v/>
      </c>
      <c r="K279">
        <f>IFERROR(VLOOKUP(D279,'Schedule Lookup'!$A:$H,4,0),0)</f>
        <v/>
      </c>
      <c r="L279">
        <f>IFERROR(VLOOKUP(D279,'Schedule Lookup'!$A:$H,5,0),0)</f>
        <v/>
      </c>
      <c r="M279">
        <f>IFERROR(VLOOKUP(D279,'Schedule Lookup'!$A:$H,6,0),0)</f>
        <v/>
      </c>
      <c r="N279">
        <f>IFERROR(VLOOKUP(D279,'Schedule Lookup'!$A:$H,7,0),0)</f>
        <v/>
      </c>
      <c r="O279">
        <f>IFERROR(VLOOKUP(D279,'Schedule Lookup'!$A:$H,8,0),0)</f>
        <v/>
      </c>
      <c r="T279">
        <f>IF(AND(E279&lt;TIME(9,0,0),F279&gt;TIME(0,0,1)),1,0)</f>
        <v/>
      </c>
      <c r="U279">
        <f>IF(AND(E279&lt;TIME(17,0,0),F279&gt;TIME(9,0,0)),1,0)</f>
        <v/>
      </c>
      <c r="V279">
        <f>IF(AND(E279&lt;TIME(21,0,0),F279&gt;TIME(17,0,0)),1,0)</f>
        <v/>
      </c>
      <c r="W279">
        <f>IF(F279&gt;TIME(17,0,0),1,0)</f>
        <v/>
      </c>
    </row>
    <row r="280">
      <c r="I280">
        <f>IFERROR(VLOOKUP(D280,'Schedule Lookup'!$A:$H,2,0),0)</f>
        <v/>
      </c>
      <c r="J280">
        <f>IFERROR(VLOOKUP(D280,'Schedule Lookup'!$A:$H,3,0),0)</f>
        <v/>
      </c>
      <c r="K280">
        <f>IFERROR(VLOOKUP(D280,'Schedule Lookup'!$A:$H,4,0),0)</f>
        <v/>
      </c>
      <c r="L280">
        <f>IFERROR(VLOOKUP(D280,'Schedule Lookup'!$A:$H,5,0),0)</f>
        <v/>
      </c>
      <c r="M280">
        <f>IFERROR(VLOOKUP(D280,'Schedule Lookup'!$A:$H,6,0),0)</f>
        <v/>
      </c>
      <c r="N280">
        <f>IFERROR(VLOOKUP(D280,'Schedule Lookup'!$A:$H,7,0),0)</f>
        <v/>
      </c>
      <c r="O280">
        <f>IFERROR(VLOOKUP(D280,'Schedule Lookup'!$A:$H,8,0),0)</f>
        <v/>
      </c>
      <c r="T280">
        <f>IF(AND(E280&lt;TIME(9,0,0),F280&gt;TIME(0,0,1)),1,0)</f>
        <v/>
      </c>
      <c r="U280">
        <f>IF(AND(E280&lt;TIME(17,0,0),F280&gt;TIME(9,0,0)),1,0)</f>
        <v/>
      </c>
      <c r="V280">
        <f>IF(AND(E280&lt;TIME(21,0,0),F280&gt;TIME(17,0,0)),1,0)</f>
        <v/>
      </c>
      <c r="W280">
        <f>IF(F280&gt;TIME(17,0,0),1,0)</f>
        <v/>
      </c>
    </row>
    <row r="281">
      <c r="I281">
        <f>IFERROR(VLOOKUP(D281,'Schedule Lookup'!$A:$H,2,0),0)</f>
        <v/>
      </c>
      <c r="J281">
        <f>IFERROR(VLOOKUP(D281,'Schedule Lookup'!$A:$H,3,0),0)</f>
        <v/>
      </c>
      <c r="K281">
        <f>IFERROR(VLOOKUP(D281,'Schedule Lookup'!$A:$H,4,0),0)</f>
        <v/>
      </c>
      <c r="L281">
        <f>IFERROR(VLOOKUP(D281,'Schedule Lookup'!$A:$H,5,0),0)</f>
        <v/>
      </c>
      <c r="M281">
        <f>IFERROR(VLOOKUP(D281,'Schedule Lookup'!$A:$H,6,0),0)</f>
        <v/>
      </c>
      <c r="N281">
        <f>IFERROR(VLOOKUP(D281,'Schedule Lookup'!$A:$H,7,0),0)</f>
        <v/>
      </c>
      <c r="O281">
        <f>IFERROR(VLOOKUP(D281,'Schedule Lookup'!$A:$H,8,0),0)</f>
        <v/>
      </c>
      <c r="T281">
        <f>IF(AND(E281&lt;TIME(9,0,0),F281&gt;TIME(0,0,1)),1,0)</f>
        <v/>
      </c>
      <c r="U281">
        <f>IF(AND(E281&lt;TIME(17,0,0),F281&gt;TIME(9,0,0)),1,0)</f>
        <v/>
      </c>
      <c r="V281">
        <f>IF(AND(E281&lt;TIME(21,0,0),F281&gt;TIME(17,0,0)),1,0)</f>
        <v/>
      </c>
      <c r="W281">
        <f>IF(F281&gt;TIME(17,0,0),1,0)</f>
        <v/>
      </c>
    </row>
    <row r="282">
      <c r="I282">
        <f>IFERROR(VLOOKUP(D282,'Schedule Lookup'!$A:$H,2,0),0)</f>
        <v/>
      </c>
      <c r="J282">
        <f>IFERROR(VLOOKUP(D282,'Schedule Lookup'!$A:$H,3,0),0)</f>
        <v/>
      </c>
      <c r="K282">
        <f>IFERROR(VLOOKUP(D282,'Schedule Lookup'!$A:$H,4,0),0)</f>
        <v/>
      </c>
      <c r="L282">
        <f>IFERROR(VLOOKUP(D282,'Schedule Lookup'!$A:$H,5,0),0)</f>
        <v/>
      </c>
      <c r="M282">
        <f>IFERROR(VLOOKUP(D282,'Schedule Lookup'!$A:$H,6,0),0)</f>
        <v/>
      </c>
      <c r="N282">
        <f>IFERROR(VLOOKUP(D282,'Schedule Lookup'!$A:$H,7,0),0)</f>
        <v/>
      </c>
      <c r="O282">
        <f>IFERROR(VLOOKUP(D282,'Schedule Lookup'!$A:$H,8,0),0)</f>
        <v/>
      </c>
      <c r="T282">
        <f>IF(AND(E282&lt;TIME(9,0,0),F282&gt;TIME(0,0,1)),1,0)</f>
        <v/>
      </c>
      <c r="U282">
        <f>IF(AND(E282&lt;TIME(17,0,0),F282&gt;TIME(9,0,0)),1,0)</f>
        <v/>
      </c>
      <c r="V282">
        <f>IF(AND(E282&lt;TIME(21,0,0),F282&gt;TIME(17,0,0)),1,0)</f>
        <v/>
      </c>
      <c r="W282">
        <f>IF(F282&gt;TIME(17,0,0),1,0)</f>
        <v/>
      </c>
    </row>
    <row r="283">
      <c r="I283">
        <f>IFERROR(VLOOKUP(D283,'Schedule Lookup'!$A:$H,2,0),0)</f>
        <v/>
      </c>
      <c r="J283">
        <f>IFERROR(VLOOKUP(D283,'Schedule Lookup'!$A:$H,3,0),0)</f>
        <v/>
      </c>
      <c r="K283">
        <f>IFERROR(VLOOKUP(D283,'Schedule Lookup'!$A:$H,4,0),0)</f>
        <v/>
      </c>
      <c r="L283">
        <f>IFERROR(VLOOKUP(D283,'Schedule Lookup'!$A:$H,5,0),0)</f>
        <v/>
      </c>
      <c r="M283">
        <f>IFERROR(VLOOKUP(D283,'Schedule Lookup'!$A:$H,6,0),0)</f>
        <v/>
      </c>
      <c r="N283">
        <f>IFERROR(VLOOKUP(D283,'Schedule Lookup'!$A:$H,7,0),0)</f>
        <v/>
      </c>
      <c r="O283">
        <f>IFERROR(VLOOKUP(D283,'Schedule Lookup'!$A:$H,8,0),0)</f>
        <v/>
      </c>
      <c r="T283">
        <f>IF(AND(E283&lt;TIME(9,0,0),F283&gt;TIME(0,0,1)),1,0)</f>
        <v/>
      </c>
      <c r="U283">
        <f>IF(AND(E283&lt;TIME(17,0,0),F283&gt;TIME(9,0,0)),1,0)</f>
        <v/>
      </c>
      <c r="V283">
        <f>IF(AND(E283&lt;TIME(21,0,0),F283&gt;TIME(17,0,0)),1,0)</f>
        <v/>
      </c>
      <c r="W283">
        <f>IF(F283&gt;TIME(17,0,0),1,0)</f>
        <v/>
      </c>
    </row>
    <row r="284">
      <c r="I284">
        <f>IFERROR(VLOOKUP(D284,'Schedule Lookup'!$A:$H,2,0),0)</f>
        <v/>
      </c>
      <c r="J284">
        <f>IFERROR(VLOOKUP(D284,'Schedule Lookup'!$A:$H,3,0),0)</f>
        <v/>
      </c>
      <c r="K284">
        <f>IFERROR(VLOOKUP(D284,'Schedule Lookup'!$A:$H,4,0),0)</f>
        <v/>
      </c>
      <c r="L284">
        <f>IFERROR(VLOOKUP(D284,'Schedule Lookup'!$A:$H,5,0),0)</f>
        <v/>
      </c>
      <c r="M284">
        <f>IFERROR(VLOOKUP(D284,'Schedule Lookup'!$A:$H,6,0),0)</f>
        <v/>
      </c>
      <c r="N284">
        <f>IFERROR(VLOOKUP(D284,'Schedule Lookup'!$A:$H,7,0),0)</f>
        <v/>
      </c>
      <c r="O284">
        <f>IFERROR(VLOOKUP(D284,'Schedule Lookup'!$A:$H,8,0),0)</f>
        <v/>
      </c>
      <c r="T284">
        <f>IF(AND(E284&lt;TIME(9,0,0),F284&gt;TIME(0,0,1)),1,0)</f>
        <v/>
      </c>
      <c r="U284">
        <f>IF(AND(E284&lt;TIME(17,0,0),F284&gt;TIME(9,0,0)),1,0)</f>
        <v/>
      </c>
      <c r="V284">
        <f>IF(AND(E284&lt;TIME(21,0,0),F284&gt;TIME(17,0,0)),1,0)</f>
        <v/>
      </c>
      <c r="W284">
        <f>IF(F284&gt;TIME(17,0,0),1,0)</f>
        <v/>
      </c>
    </row>
    <row r="285">
      <c r="I285">
        <f>IFERROR(VLOOKUP(D285,'Schedule Lookup'!$A:$H,2,0),0)</f>
        <v/>
      </c>
      <c r="J285">
        <f>IFERROR(VLOOKUP(D285,'Schedule Lookup'!$A:$H,3,0),0)</f>
        <v/>
      </c>
      <c r="K285">
        <f>IFERROR(VLOOKUP(D285,'Schedule Lookup'!$A:$H,4,0),0)</f>
        <v/>
      </c>
      <c r="L285">
        <f>IFERROR(VLOOKUP(D285,'Schedule Lookup'!$A:$H,5,0),0)</f>
        <v/>
      </c>
      <c r="M285">
        <f>IFERROR(VLOOKUP(D285,'Schedule Lookup'!$A:$H,6,0),0)</f>
        <v/>
      </c>
      <c r="N285">
        <f>IFERROR(VLOOKUP(D285,'Schedule Lookup'!$A:$H,7,0),0)</f>
        <v/>
      </c>
      <c r="O285">
        <f>IFERROR(VLOOKUP(D285,'Schedule Lookup'!$A:$H,8,0),0)</f>
        <v/>
      </c>
      <c r="T285">
        <f>IF(AND(E285&lt;TIME(9,0,0),F285&gt;TIME(0,0,1)),1,0)</f>
        <v/>
      </c>
      <c r="U285">
        <f>IF(AND(E285&lt;TIME(17,0,0),F285&gt;TIME(9,0,0)),1,0)</f>
        <v/>
      </c>
      <c r="V285">
        <f>IF(AND(E285&lt;TIME(21,0,0),F285&gt;TIME(17,0,0)),1,0)</f>
        <v/>
      </c>
      <c r="W285">
        <f>IF(F285&gt;TIME(17,0,0),1,0)</f>
        <v/>
      </c>
    </row>
    <row r="286">
      <c r="I286">
        <f>IFERROR(VLOOKUP(D286,'Schedule Lookup'!$A:$H,2,0),0)</f>
        <v/>
      </c>
      <c r="J286">
        <f>IFERROR(VLOOKUP(D286,'Schedule Lookup'!$A:$H,3,0),0)</f>
        <v/>
      </c>
      <c r="K286">
        <f>IFERROR(VLOOKUP(D286,'Schedule Lookup'!$A:$H,4,0),0)</f>
        <v/>
      </c>
      <c r="L286">
        <f>IFERROR(VLOOKUP(D286,'Schedule Lookup'!$A:$H,5,0),0)</f>
        <v/>
      </c>
      <c r="M286">
        <f>IFERROR(VLOOKUP(D286,'Schedule Lookup'!$A:$H,6,0),0)</f>
        <v/>
      </c>
      <c r="N286">
        <f>IFERROR(VLOOKUP(D286,'Schedule Lookup'!$A:$H,7,0),0)</f>
        <v/>
      </c>
      <c r="O286">
        <f>IFERROR(VLOOKUP(D286,'Schedule Lookup'!$A:$H,8,0),0)</f>
        <v/>
      </c>
      <c r="T286">
        <f>IF(AND(E286&lt;TIME(9,0,0),F286&gt;TIME(0,0,1)),1,0)</f>
        <v/>
      </c>
      <c r="U286">
        <f>IF(AND(E286&lt;TIME(17,0,0),F286&gt;TIME(9,0,0)),1,0)</f>
        <v/>
      </c>
      <c r="V286">
        <f>IF(AND(E286&lt;TIME(21,0,0),F286&gt;TIME(17,0,0)),1,0)</f>
        <v/>
      </c>
      <c r="W286">
        <f>IF(F286&gt;TIME(17,0,0),1,0)</f>
        <v/>
      </c>
    </row>
    <row r="287">
      <c r="I287">
        <f>IFERROR(VLOOKUP(D287,'Schedule Lookup'!$A:$H,2,0),0)</f>
        <v/>
      </c>
      <c r="J287">
        <f>IFERROR(VLOOKUP(D287,'Schedule Lookup'!$A:$H,3,0),0)</f>
        <v/>
      </c>
      <c r="K287">
        <f>IFERROR(VLOOKUP(D287,'Schedule Lookup'!$A:$H,4,0),0)</f>
        <v/>
      </c>
      <c r="L287">
        <f>IFERROR(VLOOKUP(D287,'Schedule Lookup'!$A:$H,5,0),0)</f>
        <v/>
      </c>
      <c r="M287">
        <f>IFERROR(VLOOKUP(D287,'Schedule Lookup'!$A:$H,6,0),0)</f>
        <v/>
      </c>
      <c r="N287">
        <f>IFERROR(VLOOKUP(D287,'Schedule Lookup'!$A:$H,7,0),0)</f>
        <v/>
      </c>
      <c r="O287">
        <f>IFERROR(VLOOKUP(D287,'Schedule Lookup'!$A:$H,8,0),0)</f>
        <v/>
      </c>
      <c r="T287">
        <f>IF(AND(E287&lt;TIME(9,0,0),F287&gt;TIME(0,0,1)),1,0)</f>
        <v/>
      </c>
      <c r="U287">
        <f>IF(AND(E287&lt;TIME(17,0,0),F287&gt;TIME(9,0,0)),1,0)</f>
        <v/>
      </c>
      <c r="V287">
        <f>IF(AND(E287&lt;TIME(21,0,0),F287&gt;TIME(17,0,0)),1,0)</f>
        <v/>
      </c>
      <c r="W287">
        <f>IF(F287&gt;TIME(17,0,0),1,0)</f>
        <v/>
      </c>
    </row>
    <row r="288">
      <c r="I288">
        <f>IFERROR(VLOOKUP(D288,'Schedule Lookup'!$A:$H,2,0),0)</f>
        <v/>
      </c>
      <c r="J288">
        <f>IFERROR(VLOOKUP(D288,'Schedule Lookup'!$A:$H,3,0),0)</f>
        <v/>
      </c>
      <c r="K288">
        <f>IFERROR(VLOOKUP(D288,'Schedule Lookup'!$A:$H,4,0),0)</f>
        <v/>
      </c>
      <c r="L288">
        <f>IFERROR(VLOOKUP(D288,'Schedule Lookup'!$A:$H,5,0),0)</f>
        <v/>
      </c>
      <c r="M288">
        <f>IFERROR(VLOOKUP(D288,'Schedule Lookup'!$A:$H,6,0),0)</f>
        <v/>
      </c>
      <c r="N288">
        <f>IFERROR(VLOOKUP(D288,'Schedule Lookup'!$A:$H,7,0),0)</f>
        <v/>
      </c>
      <c r="O288">
        <f>IFERROR(VLOOKUP(D288,'Schedule Lookup'!$A:$H,8,0),0)</f>
        <v/>
      </c>
      <c r="T288">
        <f>IF(AND(E288&lt;TIME(9,0,0),F288&gt;TIME(0,0,1)),1,0)</f>
        <v/>
      </c>
      <c r="U288">
        <f>IF(AND(E288&lt;TIME(17,0,0),F288&gt;TIME(9,0,0)),1,0)</f>
        <v/>
      </c>
      <c r="V288">
        <f>IF(AND(E288&lt;TIME(21,0,0),F288&gt;TIME(17,0,0)),1,0)</f>
        <v/>
      </c>
      <c r="W288">
        <f>IF(F288&gt;TIME(17,0,0),1,0)</f>
        <v/>
      </c>
    </row>
    <row r="289">
      <c r="I289">
        <f>IFERROR(VLOOKUP(D289,'Schedule Lookup'!$A:$H,2,0),0)</f>
        <v/>
      </c>
      <c r="J289">
        <f>IFERROR(VLOOKUP(D289,'Schedule Lookup'!$A:$H,3,0),0)</f>
        <v/>
      </c>
      <c r="K289">
        <f>IFERROR(VLOOKUP(D289,'Schedule Lookup'!$A:$H,4,0),0)</f>
        <v/>
      </c>
      <c r="L289">
        <f>IFERROR(VLOOKUP(D289,'Schedule Lookup'!$A:$H,5,0),0)</f>
        <v/>
      </c>
      <c r="M289">
        <f>IFERROR(VLOOKUP(D289,'Schedule Lookup'!$A:$H,6,0),0)</f>
        <v/>
      </c>
      <c r="N289">
        <f>IFERROR(VLOOKUP(D289,'Schedule Lookup'!$A:$H,7,0),0)</f>
        <v/>
      </c>
      <c r="O289">
        <f>IFERROR(VLOOKUP(D289,'Schedule Lookup'!$A:$H,8,0),0)</f>
        <v/>
      </c>
      <c r="T289">
        <f>IF(AND(E289&lt;TIME(9,0,0),F289&gt;TIME(0,0,1)),1,0)</f>
        <v/>
      </c>
      <c r="U289">
        <f>IF(AND(E289&lt;TIME(17,0,0),F289&gt;TIME(9,0,0)),1,0)</f>
        <v/>
      </c>
      <c r="V289">
        <f>IF(AND(E289&lt;TIME(21,0,0),F289&gt;TIME(17,0,0)),1,0)</f>
        <v/>
      </c>
      <c r="W289">
        <f>IF(F289&gt;TIME(17,0,0),1,0)</f>
        <v/>
      </c>
    </row>
    <row r="290">
      <c r="I290">
        <f>IFERROR(VLOOKUP(D290,'Schedule Lookup'!$A:$H,2,0),0)</f>
        <v/>
      </c>
      <c r="J290">
        <f>IFERROR(VLOOKUP(D290,'Schedule Lookup'!$A:$H,3,0),0)</f>
        <v/>
      </c>
      <c r="K290">
        <f>IFERROR(VLOOKUP(D290,'Schedule Lookup'!$A:$H,4,0),0)</f>
        <v/>
      </c>
      <c r="L290">
        <f>IFERROR(VLOOKUP(D290,'Schedule Lookup'!$A:$H,5,0),0)</f>
        <v/>
      </c>
      <c r="M290">
        <f>IFERROR(VLOOKUP(D290,'Schedule Lookup'!$A:$H,6,0),0)</f>
        <v/>
      </c>
      <c r="N290">
        <f>IFERROR(VLOOKUP(D290,'Schedule Lookup'!$A:$H,7,0),0)</f>
        <v/>
      </c>
      <c r="O290">
        <f>IFERROR(VLOOKUP(D290,'Schedule Lookup'!$A:$H,8,0),0)</f>
        <v/>
      </c>
      <c r="T290">
        <f>IF(AND(E290&lt;TIME(9,0,0),F290&gt;TIME(0,0,1)),1,0)</f>
        <v/>
      </c>
      <c r="U290">
        <f>IF(AND(E290&lt;TIME(17,0,0),F290&gt;TIME(9,0,0)),1,0)</f>
        <v/>
      </c>
      <c r="V290">
        <f>IF(AND(E290&lt;TIME(21,0,0),F290&gt;TIME(17,0,0)),1,0)</f>
        <v/>
      </c>
      <c r="W290">
        <f>IF(F290&gt;TIME(17,0,0),1,0)</f>
        <v/>
      </c>
    </row>
    <row r="291">
      <c r="I291">
        <f>IFERROR(VLOOKUP(D291,'Schedule Lookup'!$A:$H,2,0),0)</f>
        <v/>
      </c>
      <c r="J291">
        <f>IFERROR(VLOOKUP(D291,'Schedule Lookup'!$A:$H,3,0),0)</f>
        <v/>
      </c>
      <c r="K291">
        <f>IFERROR(VLOOKUP(D291,'Schedule Lookup'!$A:$H,4,0),0)</f>
        <v/>
      </c>
      <c r="L291">
        <f>IFERROR(VLOOKUP(D291,'Schedule Lookup'!$A:$H,5,0),0)</f>
        <v/>
      </c>
      <c r="M291">
        <f>IFERROR(VLOOKUP(D291,'Schedule Lookup'!$A:$H,6,0),0)</f>
        <v/>
      </c>
      <c r="N291">
        <f>IFERROR(VLOOKUP(D291,'Schedule Lookup'!$A:$H,7,0),0)</f>
        <v/>
      </c>
      <c r="O291">
        <f>IFERROR(VLOOKUP(D291,'Schedule Lookup'!$A:$H,8,0),0)</f>
        <v/>
      </c>
      <c r="T291">
        <f>IF(AND(E291&lt;TIME(9,0,0),F291&gt;TIME(0,0,1)),1,0)</f>
        <v/>
      </c>
      <c r="U291">
        <f>IF(AND(E291&lt;TIME(17,0,0),F291&gt;TIME(9,0,0)),1,0)</f>
        <v/>
      </c>
      <c r="V291">
        <f>IF(AND(E291&lt;TIME(21,0,0),F291&gt;TIME(17,0,0)),1,0)</f>
        <v/>
      </c>
      <c r="W291">
        <f>IF(F291&gt;TIME(17,0,0),1,0)</f>
        <v/>
      </c>
    </row>
    <row r="292">
      <c r="I292">
        <f>IFERROR(VLOOKUP(D292,'Schedule Lookup'!$A:$H,2,0),0)</f>
        <v/>
      </c>
      <c r="J292">
        <f>IFERROR(VLOOKUP(D292,'Schedule Lookup'!$A:$H,3,0),0)</f>
        <v/>
      </c>
      <c r="K292">
        <f>IFERROR(VLOOKUP(D292,'Schedule Lookup'!$A:$H,4,0),0)</f>
        <v/>
      </c>
      <c r="L292">
        <f>IFERROR(VLOOKUP(D292,'Schedule Lookup'!$A:$H,5,0),0)</f>
        <v/>
      </c>
      <c r="M292">
        <f>IFERROR(VLOOKUP(D292,'Schedule Lookup'!$A:$H,6,0),0)</f>
        <v/>
      </c>
      <c r="N292">
        <f>IFERROR(VLOOKUP(D292,'Schedule Lookup'!$A:$H,7,0),0)</f>
        <v/>
      </c>
      <c r="O292">
        <f>IFERROR(VLOOKUP(D292,'Schedule Lookup'!$A:$H,8,0),0)</f>
        <v/>
      </c>
      <c r="T292">
        <f>IF(AND(E292&lt;TIME(9,0,0),F292&gt;TIME(0,0,1)),1,0)</f>
        <v/>
      </c>
      <c r="U292">
        <f>IF(AND(E292&lt;TIME(17,0,0),F292&gt;TIME(9,0,0)),1,0)</f>
        <v/>
      </c>
      <c r="V292">
        <f>IF(AND(E292&lt;TIME(21,0,0),F292&gt;TIME(17,0,0)),1,0)</f>
        <v/>
      </c>
      <c r="W292">
        <f>IF(F292&gt;TIME(17,0,0),1,0)</f>
        <v/>
      </c>
    </row>
    <row r="293">
      <c r="I293">
        <f>IFERROR(VLOOKUP(D293,'Schedule Lookup'!$A:$H,2,0),0)</f>
        <v/>
      </c>
      <c r="J293">
        <f>IFERROR(VLOOKUP(D293,'Schedule Lookup'!$A:$H,3,0),0)</f>
        <v/>
      </c>
      <c r="K293">
        <f>IFERROR(VLOOKUP(D293,'Schedule Lookup'!$A:$H,4,0),0)</f>
        <v/>
      </c>
      <c r="L293">
        <f>IFERROR(VLOOKUP(D293,'Schedule Lookup'!$A:$H,5,0),0)</f>
        <v/>
      </c>
      <c r="M293">
        <f>IFERROR(VLOOKUP(D293,'Schedule Lookup'!$A:$H,6,0),0)</f>
        <v/>
      </c>
      <c r="N293">
        <f>IFERROR(VLOOKUP(D293,'Schedule Lookup'!$A:$H,7,0),0)</f>
        <v/>
      </c>
      <c r="O293">
        <f>IFERROR(VLOOKUP(D293,'Schedule Lookup'!$A:$H,8,0),0)</f>
        <v/>
      </c>
      <c r="T293">
        <f>IF(AND(E293&lt;TIME(9,0,0),F293&gt;TIME(0,0,1)),1,0)</f>
        <v/>
      </c>
      <c r="U293">
        <f>IF(AND(E293&lt;TIME(17,0,0),F293&gt;TIME(9,0,0)),1,0)</f>
        <v/>
      </c>
      <c r="V293">
        <f>IF(AND(E293&lt;TIME(21,0,0),F293&gt;TIME(17,0,0)),1,0)</f>
        <v/>
      </c>
      <c r="W293">
        <f>IF(F293&gt;TIME(17,0,0),1,0)</f>
        <v/>
      </c>
    </row>
    <row r="294">
      <c r="I294">
        <f>IFERROR(VLOOKUP(D294,'Schedule Lookup'!$A:$H,2,0),0)</f>
        <v/>
      </c>
      <c r="J294">
        <f>IFERROR(VLOOKUP(D294,'Schedule Lookup'!$A:$H,3,0),0)</f>
        <v/>
      </c>
      <c r="K294">
        <f>IFERROR(VLOOKUP(D294,'Schedule Lookup'!$A:$H,4,0),0)</f>
        <v/>
      </c>
      <c r="L294">
        <f>IFERROR(VLOOKUP(D294,'Schedule Lookup'!$A:$H,5,0),0)</f>
        <v/>
      </c>
      <c r="M294">
        <f>IFERROR(VLOOKUP(D294,'Schedule Lookup'!$A:$H,6,0),0)</f>
        <v/>
      </c>
      <c r="N294">
        <f>IFERROR(VLOOKUP(D294,'Schedule Lookup'!$A:$H,7,0),0)</f>
        <v/>
      </c>
      <c r="O294">
        <f>IFERROR(VLOOKUP(D294,'Schedule Lookup'!$A:$H,8,0),0)</f>
        <v/>
      </c>
      <c r="T294">
        <f>IF(AND(E294&lt;TIME(9,0,0),F294&gt;TIME(0,0,1)),1,0)</f>
        <v/>
      </c>
      <c r="U294">
        <f>IF(AND(E294&lt;TIME(17,0,0),F294&gt;TIME(9,0,0)),1,0)</f>
        <v/>
      </c>
      <c r="V294">
        <f>IF(AND(E294&lt;TIME(21,0,0),F294&gt;TIME(17,0,0)),1,0)</f>
        <v/>
      </c>
      <c r="W294">
        <f>IF(F294&gt;TIME(17,0,0),1,0)</f>
        <v/>
      </c>
    </row>
    <row r="295">
      <c r="I295">
        <f>IFERROR(VLOOKUP(D295,'Schedule Lookup'!$A:$H,2,0),0)</f>
        <v/>
      </c>
      <c r="J295">
        <f>IFERROR(VLOOKUP(D295,'Schedule Lookup'!$A:$H,3,0),0)</f>
        <v/>
      </c>
      <c r="K295">
        <f>IFERROR(VLOOKUP(D295,'Schedule Lookup'!$A:$H,4,0),0)</f>
        <v/>
      </c>
      <c r="L295">
        <f>IFERROR(VLOOKUP(D295,'Schedule Lookup'!$A:$H,5,0),0)</f>
        <v/>
      </c>
      <c r="M295">
        <f>IFERROR(VLOOKUP(D295,'Schedule Lookup'!$A:$H,6,0),0)</f>
        <v/>
      </c>
      <c r="N295">
        <f>IFERROR(VLOOKUP(D295,'Schedule Lookup'!$A:$H,7,0),0)</f>
        <v/>
      </c>
      <c r="O295">
        <f>IFERROR(VLOOKUP(D295,'Schedule Lookup'!$A:$H,8,0),0)</f>
        <v/>
      </c>
      <c r="T295">
        <f>IF(AND(E295&lt;TIME(9,0,0),F295&gt;TIME(0,0,1)),1,0)</f>
        <v/>
      </c>
      <c r="U295">
        <f>IF(AND(E295&lt;TIME(17,0,0),F295&gt;TIME(9,0,0)),1,0)</f>
        <v/>
      </c>
      <c r="V295">
        <f>IF(AND(E295&lt;TIME(21,0,0),F295&gt;TIME(17,0,0)),1,0)</f>
        <v/>
      </c>
      <c r="W295">
        <f>IF(F295&gt;TIME(17,0,0),1,0)</f>
        <v/>
      </c>
    </row>
    <row r="296">
      <c r="I296">
        <f>IFERROR(VLOOKUP(D296,'Schedule Lookup'!$A:$H,2,0),0)</f>
        <v/>
      </c>
      <c r="J296">
        <f>IFERROR(VLOOKUP(D296,'Schedule Lookup'!$A:$H,3,0),0)</f>
        <v/>
      </c>
      <c r="K296">
        <f>IFERROR(VLOOKUP(D296,'Schedule Lookup'!$A:$H,4,0),0)</f>
        <v/>
      </c>
      <c r="L296">
        <f>IFERROR(VLOOKUP(D296,'Schedule Lookup'!$A:$H,5,0),0)</f>
        <v/>
      </c>
      <c r="M296">
        <f>IFERROR(VLOOKUP(D296,'Schedule Lookup'!$A:$H,6,0),0)</f>
        <v/>
      </c>
      <c r="N296">
        <f>IFERROR(VLOOKUP(D296,'Schedule Lookup'!$A:$H,7,0),0)</f>
        <v/>
      </c>
      <c r="O296">
        <f>IFERROR(VLOOKUP(D296,'Schedule Lookup'!$A:$H,8,0),0)</f>
        <v/>
      </c>
      <c r="T296">
        <f>IF(AND(E296&lt;TIME(9,0,0),F296&gt;TIME(0,0,1)),1,0)</f>
        <v/>
      </c>
      <c r="U296">
        <f>IF(AND(E296&lt;TIME(17,0,0),F296&gt;TIME(9,0,0)),1,0)</f>
        <v/>
      </c>
      <c r="V296">
        <f>IF(AND(E296&lt;TIME(21,0,0),F296&gt;TIME(17,0,0)),1,0)</f>
        <v/>
      </c>
      <c r="W296">
        <f>IF(F296&gt;TIME(17,0,0),1,0)</f>
        <v/>
      </c>
    </row>
    <row r="297">
      <c r="I297">
        <f>IFERROR(VLOOKUP(D297,'Schedule Lookup'!$A:$H,2,0),0)</f>
        <v/>
      </c>
      <c r="J297">
        <f>IFERROR(VLOOKUP(D297,'Schedule Lookup'!$A:$H,3,0),0)</f>
        <v/>
      </c>
      <c r="K297">
        <f>IFERROR(VLOOKUP(D297,'Schedule Lookup'!$A:$H,4,0),0)</f>
        <v/>
      </c>
      <c r="L297">
        <f>IFERROR(VLOOKUP(D297,'Schedule Lookup'!$A:$H,5,0),0)</f>
        <v/>
      </c>
      <c r="M297">
        <f>IFERROR(VLOOKUP(D297,'Schedule Lookup'!$A:$H,6,0),0)</f>
        <v/>
      </c>
      <c r="N297">
        <f>IFERROR(VLOOKUP(D297,'Schedule Lookup'!$A:$H,7,0),0)</f>
        <v/>
      </c>
      <c r="O297">
        <f>IFERROR(VLOOKUP(D297,'Schedule Lookup'!$A:$H,8,0),0)</f>
        <v/>
      </c>
      <c r="T297">
        <f>IF(AND(E297&lt;TIME(9,0,0),F297&gt;TIME(0,0,1)),1,0)</f>
        <v/>
      </c>
      <c r="U297">
        <f>IF(AND(E297&lt;TIME(17,0,0),F297&gt;TIME(9,0,0)),1,0)</f>
        <v/>
      </c>
      <c r="V297">
        <f>IF(AND(E297&lt;TIME(21,0,0),F297&gt;TIME(17,0,0)),1,0)</f>
        <v/>
      </c>
      <c r="W297">
        <f>IF(F297&gt;TIME(17,0,0),1,0)</f>
        <v/>
      </c>
    </row>
    <row r="298">
      <c r="I298">
        <f>IFERROR(VLOOKUP(D298,'Schedule Lookup'!$A:$H,2,0),0)</f>
        <v/>
      </c>
      <c r="J298">
        <f>IFERROR(VLOOKUP(D298,'Schedule Lookup'!$A:$H,3,0),0)</f>
        <v/>
      </c>
      <c r="K298">
        <f>IFERROR(VLOOKUP(D298,'Schedule Lookup'!$A:$H,4,0),0)</f>
        <v/>
      </c>
      <c r="L298">
        <f>IFERROR(VLOOKUP(D298,'Schedule Lookup'!$A:$H,5,0),0)</f>
        <v/>
      </c>
      <c r="M298">
        <f>IFERROR(VLOOKUP(D298,'Schedule Lookup'!$A:$H,6,0),0)</f>
        <v/>
      </c>
      <c r="N298">
        <f>IFERROR(VLOOKUP(D298,'Schedule Lookup'!$A:$H,7,0),0)</f>
        <v/>
      </c>
      <c r="O298">
        <f>IFERROR(VLOOKUP(D298,'Schedule Lookup'!$A:$H,8,0),0)</f>
        <v/>
      </c>
      <c r="T298">
        <f>IF(AND(E298&lt;TIME(9,0,0),F298&gt;TIME(0,0,1)),1,0)</f>
        <v/>
      </c>
      <c r="U298">
        <f>IF(AND(E298&lt;TIME(17,0,0),F298&gt;TIME(9,0,0)),1,0)</f>
        <v/>
      </c>
      <c r="V298">
        <f>IF(AND(E298&lt;TIME(21,0,0),F298&gt;TIME(17,0,0)),1,0)</f>
        <v/>
      </c>
      <c r="W298">
        <f>IF(F298&gt;TIME(17,0,0),1,0)</f>
        <v/>
      </c>
    </row>
    <row r="299">
      <c r="I299">
        <f>IFERROR(VLOOKUP(D299,'Schedule Lookup'!$A:$H,2,0),0)</f>
        <v/>
      </c>
      <c r="J299">
        <f>IFERROR(VLOOKUP(D299,'Schedule Lookup'!$A:$H,3,0),0)</f>
        <v/>
      </c>
      <c r="K299">
        <f>IFERROR(VLOOKUP(D299,'Schedule Lookup'!$A:$H,4,0),0)</f>
        <v/>
      </c>
      <c r="L299">
        <f>IFERROR(VLOOKUP(D299,'Schedule Lookup'!$A:$H,5,0),0)</f>
        <v/>
      </c>
      <c r="M299">
        <f>IFERROR(VLOOKUP(D299,'Schedule Lookup'!$A:$H,6,0),0)</f>
        <v/>
      </c>
      <c r="N299">
        <f>IFERROR(VLOOKUP(D299,'Schedule Lookup'!$A:$H,7,0),0)</f>
        <v/>
      </c>
      <c r="O299">
        <f>IFERROR(VLOOKUP(D299,'Schedule Lookup'!$A:$H,8,0),0)</f>
        <v/>
      </c>
      <c r="T299">
        <f>IF(AND(E299&lt;TIME(9,0,0),F299&gt;TIME(0,0,1)),1,0)</f>
        <v/>
      </c>
      <c r="U299">
        <f>IF(AND(E299&lt;TIME(17,0,0),F299&gt;TIME(9,0,0)),1,0)</f>
        <v/>
      </c>
      <c r="V299">
        <f>IF(AND(E299&lt;TIME(21,0,0),F299&gt;TIME(17,0,0)),1,0)</f>
        <v/>
      </c>
      <c r="W299">
        <f>IF(F299&gt;TIME(17,0,0),1,0)</f>
        <v/>
      </c>
    </row>
    <row r="300">
      <c r="I300">
        <f>IFERROR(VLOOKUP(D300,'Schedule Lookup'!$A:$H,2,0),0)</f>
        <v/>
      </c>
      <c r="J300">
        <f>IFERROR(VLOOKUP(D300,'Schedule Lookup'!$A:$H,3,0),0)</f>
        <v/>
      </c>
      <c r="K300">
        <f>IFERROR(VLOOKUP(D300,'Schedule Lookup'!$A:$H,4,0),0)</f>
        <v/>
      </c>
      <c r="L300">
        <f>IFERROR(VLOOKUP(D300,'Schedule Lookup'!$A:$H,5,0),0)</f>
        <v/>
      </c>
      <c r="M300">
        <f>IFERROR(VLOOKUP(D300,'Schedule Lookup'!$A:$H,6,0),0)</f>
        <v/>
      </c>
      <c r="N300">
        <f>IFERROR(VLOOKUP(D300,'Schedule Lookup'!$A:$H,7,0),0)</f>
        <v/>
      </c>
      <c r="O300">
        <f>IFERROR(VLOOKUP(D300,'Schedule Lookup'!$A:$H,8,0),0)</f>
        <v/>
      </c>
      <c r="T300">
        <f>IF(AND(E300&lt;TIME(9,0,0),F300&gt;TIME(0,0,1)),1,0)</f>
        <v/>
      </c>
      <c r="U300">
        <f>IF(AND(E300&lt;TIME(17,0,0),F300&gt;TIME(9,0,0)),1,0)</f>
        <v/>
      </c>
      <c r="V300">
        <f>IF(AND(E300&lt;TIME(21,0,0),F300&gt;TIME(17,0,0)),1,0)</f>
        <v/>
      </c>
      <c r="W300">
        <f>IF(F300&gt;TIME(17,0,0),1,0)</f>
        <v/>
      </c>
    </row>
    <row r="301">
      <c r="I301">
        <f>IFERROR(VLOOKUP(D301,'Schedule Lookup'!$A:$H,2,0),0)</f>
        <v/>
      </c>
      <c r="J301">
        <f>IFERROR(VLOOKUP(D301,'Schedule Lookup'!$A:$H,3,0),0)</f>
        <v/>
      </c>
      <c r="K301">
        <f>IFERROR(VLOOKUP(D301,'Schedule Lookup'!$A:$H,4,0),0)</f>
        <v/>
      </c>
      <c r="L301">
        <f>IFERROR(VLOOKUP(D301,'Schedule Lookup'!$A:$H,5,0),0)</f>
        <v/>
      </c>
      <c r="M301">
        <f>IFERROR(VLOOKUP(D301,'Schedule Lookup'!$A:$H,6,0),0)</f>
        <v/>
      </c>
      <c r="N301">
        <f>IFERROR(VLOOKUP(D301,'Schedule Lookup'!$A:$H,7,0),0)</f>
        <v/>
      </c>
      <c r="O301">
        <f>IFERROR(VLOOKUP(D301,'Schedule Lookup'!$A:$H,8,0),0)</f>
        <v/>
      </c>
      <c r="T301">
        <f>IF(AND(E301&lt;TIME(9,0,0),F301&gt;TIME(0,0,1)),1,0)</f>
        <v/>
      </c>
      <c r="U301">
        <f>IF(AND(E301&lt;TIME(17,0,0),F301&gt;TIME(9,0,0)),1,0)</f>
        <v/>
      </c>
      <c r="V301">
        <f>IF(AND(E301&lt;TIME(21,0,0),F301&gt;TIME(17,0,0)),1,0)</f>
        <v/>
      </c>
      <c r="W301">
        <f>IF(F301&gt;TIME(17,0,0),1,0)</f>
        <v/>
      </c>
    </row>
    <row r="302">
      <c r="I302">
        <f>IFERROR(VLOOKUP(D302,'Schedule Lookup'!$A:$H,2,0),0)</f>
        <v/>
      </c>
      <c r="J302">
        <f>IFERROR(VLOOKUP(D302,'Schedule Lookup'!$A:$H,3,0),0)</f>
        <v/>
      </c>
      <c r="K302">
        <f>IFERROR(VLOOKUP(D302,'Schedule Lookup'!$A:$H,4,0),0)</f>
        <v/>
      </c>
      <c r="L302">
        <f>IFERROR(VLOOKUP(D302,'Schedule Lookup'!$A:$H,5,0),0)</f>
        <v/>
      </c>
      <c r="M302">
        <f>IFERROR(VLOOKUP(D302,'Schedule Lookup'!$A:$H,6,0),0)</f>
        <v/>
      </c>
      <c r="N302">
        <f>IFERROR(VLOOKUP(D302,'Schedule Lookup'!$A:$H,7,0),0)</f>
        <v/>
      </c>
      <c r="O302">
        <f>IFERROR(VLOOKUP(D302,'Schedule Lookup'!$A:$H,8,0),0)</f>
        <v/>
      </c>
      <c r="T302">
        <f>IF(AND(E302&lt;TIME(9,0,0),F302&gt;TIME(0,0,1)),1,0)</f>
        <v/>
      </c>
      <c r="U302">
        <f>IF(AND(E302&lt;TIME(17,0,0),F302&gt;TIME(9,0,0)),1,0)</f>
        <v/>
      </c>
      <c r="V302">
        <f>IF(AND(E302&lt;TIME(21,0,0),F302&gt;TIME(17,0,0)),1,0)</f>
        <v/>
      </c>
      <c r="W302">
        <f>IF(F302&gt;TIME(17,0,0),1,0)</f>
        <v/>
      </c>
    </row>
    <row r="303">
      <c r="I303">
        <f>IFERROR(VLOOKUP(D303,'Schedule Lookup'!$A:$H,2,0),0)</f>
        <v/>
      </c>
      <c r="J303">
        <f>IFERROR(VLOOKUP(D303,'Schedule Lookup'!$A:$H,3,0),0)</f>
        <v/>
      </c>
      <c r="K303">
        <f>IFERROR(VLOOKUP(D303,'Schedule Lookup'!$A:$H,4,0),0)</f>
        <v/>
      </c>
      <c r="L303">
        <f>IFERROR(VLOOKUP(D303,'Schedule Lookup'!$A:$H,5,0),0)</f>
        <v/>
      </c>
      <c r="M303">
        <f>IFERROR(VLOOKUP(D303,'Schedule Lookup'!$A:$H,6,0),0)</f>
        <v/>
      </c>
      <c r="N303">
        <f>IFERROR(VLOOKUP(D303,'Schedule Lookup'!$A:$H,7,0),0)</f>
        <v/>
      </c>
      <c r="O303">
        <f>IFERROR(VLOOKUP(D303,'Schedule Lookup'!$A:$H,8,0),0)</f>
        <v/>
      </c>
      <c r="T303">
        <f>IF(AND(E303&lt;TIME(9,0,0),F303&gt;TIME(0,0,1)),1,0)</f>
        <v/>
      </c>
      <c r="U303">
        <f>IF(AND(E303&lt;TIME(17,0,0),F303&gt;TIME(9,0,0)),1,0)</f>
        <v/>
      </c>
      <c r="V303">
        <f>IF(AND(E303&lt;TIME(21,0,0),F303&gt;TIME(17,0,0)),1,0)</f>
        <v/>
      </c>
      <c r="W303">
        <f>IF(F303&gt;TIME(17,0,0),1,0)</f>
        <v/>
      </c>
    </row>
    <row r="304">
      <c r="I304">
        <f>IFERROR(VLOOKUP(D304,'Schedule Lookup'!$A:$H,2,0),0)</f>
        <v/>
      </c>
      <c r="J304">
        <f>IFERROR(VLOOKUP(D304,'Schedule Lookup'!$A:$H,3,0),0)</f>
        <v/>
      </c>
      <c r="K304">
        <f>IFERROR(VLOOKUP(D304,'Schedule Lookup'!$A:$H,4,0),0)</f>
        <v/>
      </c>
      <c r="L304">
        <f>IFERROR(VLOOKUP(D304,'Schedule Lookup'!$A:$H,5,0),0)</f>
        <v/>
      </c>
      <c r="M304">
        <f>IFERROR(VLOOKUP(D304,'Schedule Lookup'!$A:$H,6,0),0)</f>
        <v/>
      </c>
      <c r="N304">
        <f>IFERROR(VLOOKUP(D304,'Schedule Lookup'!$A:$H,7,0),0)</f>
        <v/>
      </c>
      <c r="O304">
        <f>IFERROR(VLOOKUP(D304,'Schedule Lookup'!$A:$H,8,0),0)</f>
        <v/>
      </c>
      <c r="T304">
        <f>IF(AND(E304&lt;TIME(9,0,0),F304&gt;TIME(0,0,1)),1,0)</f>
        <v/>
      </c>
      <c r="U304">
        <f>IF(AND(E304&lt;TIME(17,0,0),F304&gt;TIME(9,0,0)),1,0)</f>
        <v/>
      </c>
      <c r="V304">
        <f>IF(AND(E304&lt;TIME(21,0,0),F304&gt;TIME(17,0,0)),1,0)</f>
        <v/>
      </c>
      <c r="W304">
        <f>IF(F304&gt;TIME(17,0,0),1,0)</f>
        <v/>
      </c>
    </row>
    <row r="305">
      <c r="I305">
        <f>IFERROR(VLOOKUP(D305,'Schedule Lookup'!$A:$H,2,0),0)</f>
        <v/>
      </c>
      <c r="J305">
        <f>IFERROR(VLOOKUP(D305,'Schedule Lookup'!$A:$H,3,0),0)</f>
        <v/>
      </c>
      <c r="K305">
        <f>IFERROR(VLOOKUP(D305,'Schedule Lookup'!$A:$H,4,0),0)</f>
        <v/>
      </c>
      <c r="L305">
        <f>IFERROR(VLOOKUP(D305,'Schedule Lookup'!$A:$H,5,0),0)</f>
        <v/>
      </c>
      <c r="M305">
        <f>IFERROR(VLOOKUP(D305,'Schedule Lookup'!$A:$H,6,0),0)</f>
        <v/>
      </c>
      <c r="N305">
        <f>IFERROR(VLOOKUP(D305,'Schedule Lookup'!$A:$H,7,0),0)</f>
        <v/>
      </c>
      <c r="O305">
        <f>IFERROR(VLOOKUP(D305,'Schedule Lookup'!$A:$H,8,0),0)</f>
        <v/>
      </c>
      <c r="T305">
        <f>IF(AND(E305&lt;TIME(9,0,0),F305&gt;TIME(0,0,1)),1,0)</f>
        <v/>
      </c>
      <c r="U305">
        <f>IF(AND(E305&lt;TIME(17,0,0),F305&gt;TIME(9,0,0)),1,0)</f>
        <v/>
      </c>
      <c r="V305">
        <f>IF(AND(E305&lt;TIME(21,0,0),F305&gt;TIME(17,0,0)),1,0)</f>
        <v/>
      </c>
      <c r="W305">
        <f>IF(F305&gt;TIME(17,0,0),1,0)</f>
        <v/>
      </c>
    </row>
    <row r="306">
      <c r="I306">
        <f>IFERROR(VLOOKUP(D306,'Schedule Lookup'!$A:$H,2,0),0)</f>
        <v/>
      </c>
      <c r="J306">
        <f>IFERROR(VLOOKUP(D306,'Schedule Lookup'!$A:$H,3,0),0)</f>
        <v/>
      </c>
      <c r="K306">
        <f>IFERROR(VLOOKUP(D306,'Schedule Lookup'!$A:$H,4,0),0)</f>
        <v/>
      </c>
      <c r="L306">
        <f>IFERROR(VLOOKUP(D306,'Schedule Lookup'!$A:$H,5,0),0)</f>
        <v/>
      </c>
      <c r="M306">
        <f>IFERROR(VLOOKUP(D306,'Schedule Lookup'!$A:$H,6,0),0)</f>
        <v/>
      </c>
      <c r="N306">
        <f>IFERROR(VLOOKUP(D306,'Schedule Lookup'!$A:$H,7,0),0)</f>
        <v/>
      </c>
      <c r="O306">
        <f>IFERROR(VLOOKUP(D306,'Schedule Lookup'!$A:$H,8,0),0)</f>
        <v/>
      </c>
      <c r="T306">
        <f>IF(AND(E306&lt;TIME(9,0,0),F306&gt;TIME(0,0,1)),1,0)</f>
        <v/>
      </c>
      <c r="U306">
        <f>IF(AND(E306&lt;TIME(17,0,0),F306&gt;TIME(9,0,0)),1,0)</f>
        <v/>
      </c>
      <c r="V306">
        <f>IF(AND(E306&lt;TIME(21,0,0),F306&gt;TIME(17,0,0)),1,0)</f>
        <v/>
      </c>
      <c r="W306">
        <f>IF(F306&gt;TIME(17,0,0),1,0)</f>
        <v/>
      </c>
    </row>
    <row r="307">
      <c r="I307">
        <f>IFERROR(VLOOKUP(D307,'Schedule Lookup'!$A:$H,2,0),0)</f>
        <v/>
      </c>
      <c r="J307">
        <f>IFERROR(VLOOKUP(D307,'Schedule Lookup'!$A:$H,3,0),0)</f>
        <v/>
      </c>
      <c r="K307">
        <f>IFERROR(VLOOKUP(D307,'Schedule Lookup'!$A:$H,4,0),0)</f>
        <v/>
      </c>
      <c r="L307">
        <f>IFERROR(VLOOKUP(D307,'Schedule Lookup'!$A:$H,5,0),0)</f>
        <v/>
      </c>
      <c r="M307">
        <f>IFERROR(VLOOKUP(D307,'Schedule Lookup'!$A:$H,6,0),0)</f>
        <v/>
      </c>
      <c r="N307">
        <f>IFERROR(VLOOKUP(D307,'Schedule Lookup'!$A:$H,7,0),0)</f>
        <v/>
      </c>
      <c r="O307">
        <f>IFERROR(VLOOKUP(D307,'Schedule Lookup'!$A:$H,8,0),0)</f>
        <v/>
      </c>
      <c r="T307">
        <f>IF(AND(E307&lt;TIME(9,0,0),F307&gt;TIME(0,0,1)),1,0)</f>
        <v/>
      </c>
      <c r="U307">
        <f>IF(AND(E307&lt;TIME(17,0,0),F307&gt;TIME(9,0,0)),1,0)</f>
        <v/>
      </c>
      <c r="V307">
        <f>IF(AND(E307&lt;TIME(21,0,0),F307&gt;TIME(17,0,0)),1,0)</f>
        <v/>
      </c>
      <c r="W307">
        <f>IF(F307&gt;TIME(17,0,0),1,0)</f>
        <v/>
      </c>
    </row>
    <row r="308">
      <c r="I308">
        <f>IFERROR(VLOOKUP(D308,'Schedule Lookup'!$A:$H,2,0),0)</f>
        <v/>
      </c>
      <c r="J308">
        <f>IFERROR(VLOOKUP(D308,'Schedule Lookup'!$A:$H,3,0),0)</f>
        <v/>
      </c>
      <c r="K308">
        <f>IFERROR(VLOOKUP(D308,'Schedule Lookup'!$A:$H,4,0),0)</f>
        <v/>
      </c>
      <c r="L308">
        <f>IFERROR(VLOOKUP(D308,'Schedule Lookup'!$A:$H,5,0),0)</f>
        <v/>
      </c>
      <c r="M308">
        <f>IFERROR(VLOOKUP(D308,'Schedule Lookup'!$A:$H,6,0),0)</f>
        <v/>
      </c>
      <c r="N308">
        <f>IFERROR(VLOOKUP(D308,'Schedule Lookup'!$A:$H,7,0),0)</f>
        <v/>
      </c>
      <c r="O308">
        <f>IFERROR(VLOOKUP(D308,'Schedule Lookup'!$A:$H,8,0),0)</f>
        <v/>
      </c>
      <c r="T308">
        <f>IF(AND(E308&lt;TIME(9,0,0),F308&gt;TIME(0,0,1)),1,0)</f>
        <v/>
      </c>
      <c r="U308">
        <f>IF(AND(E308&lt;TIME(17,0,0),F308&gt;TIME(9,0,0)),1,0)</f>
        <v/>
      </c>
      <c r="V308">
        <f>IF(AND(E308&lt;TIME(21,0,0),F308&gt;TIME(17,0,0)),1,0)</f>
        <v/>
      </c>
      <c r="W308">
        <f>IF(F308&gt;TIME(17,0,0),1,0)</f>
        <v/>
      </c>
    </row>
    <row r="309">
      <c r="I309">
        <f>IFERROR(VLOOKUP(D309,'Schedule Lookup'!$A:$H,2,0),0)</f>
        <v/>
      </c>
      <c r="J309">
        <f>IFERROR(VLOOKUP(D309,'Schedule Lookup'!$A:$H,3,0),0)</f>
        <v/>
      </c>
      <c r="K309">
        <f>IFERROR(VLOOKUP(D309,'Schedule Lookup'!$A:$H,4,0),0)</f>
        <v/>
      </c>
      <c r="L309">
        <f>IFERROR(VLOOKUP(D309,'Schedule Lookup'!$A:$H,5,0),0)</f>
        <v/>
      </c>
      <c r="M309">
        <f>IFERROR(VLOOKUP(D309,'Schedule Lookup'!$A:$H,6,0),0)</f>
        <v/>
      </c>
      <c r="N309">
        <f>IFERROR(VLOOKUP(D309,'Schedule Lookup'!$A:$H,7,0),0)</f>
        <v/>
      </c>
      <c r="O309">
        <f>IFERROR(VLOOKUP(D309,'Schedule Lookup'!$A:$H,8,0),0)</f>
        <v/>
      </c>
      <c r="T309">
        <f>IF(AND(E309&lt;TIME(9,0,0),F309&gt;TIME(0,0,1)),1,0)</f>
        <v/>
      </c>
      <c r="U309">
        <f>IF(AND(E309&lt;TIME(17,0,0),F309&gt;TIME(9,0,0)),1,0)</f>
        <v/>
      </c>
      <c r="V309">
        <f>IF(AND(E309&lt;TIME(21,0,0),F309&gt;TIME(17,0,0)),1,0)</f>
        <v/>
      </c>
      <c r="W309">
        <f>IF(F309&gt;TIME(17,0,0),1,0)</f>
        <v/>
      </c>
    </row>
    <row r="310">
      <c r="I310">
        <f>IFERROR(VLOOKUP(D310,'Schedule Lookup'!$A:$H,2,0),0)</f>
        <v/>
      </c>
      <c r="J310">
        <f>IFERROR(VLOOKUP(D310,'Schedule Lookup'!$A:$H,3,0),0)</f>
        <v/>
      </c>
      <c r="K310">
        <f>IFERROR(VLOOKUP(D310,'Schedule Lookup'!$A:$H,4,0),0)</f>
        <v/>
      </c>
      <c r="L310">
        <f>IFERROR(VLOOKUP(D310,'Schedule Lookup'!$A:$H,5,0),0)</f>
        <v/>
      </c>
      <c r="M310">
        <f>IFERROR(VLOOKUP(D310,'Schedule Lookup'!$A:$H,6,0),0)</f>
        <v/>
      </c>
      <c r="N310">
        <f>IFERROR(VLOOKUP(D310,'Schedule Lookup'!$A:$H,7,0),0)</f>
        <v/>
      </c>
      <c r="O310">
        <f>IFERROR(VLOOKUP(D310,'Schedule Lookup'!$A:$H,8,0),0)</f>
        <v/>
      </c>
      <c r="T310">
        <f>IF(AND(E310&lt;TIME(9,0,0),F310&gt;TIME(0,0,1)),1,0)</f>
        <v/>
      </c>
      <c r="U310">
        <f>IF(AND(E310&lt;TIME(17,0,0),F310&gt;TIME(9,0,0)),1,0)</f>
        <v/>
      </c>
      <c r="V310">
        <f>IF(AND(E310&lt;TIME(21,0,0),F310&gt;TIME(17,0,0)),1,0)</f>
        <v/>
      </c>
      <c r="W310">
        <f>IF(F310&gt;TIME(17,0,0),1,0)</f>
        <v/>
      </c>
    </row>
    <row r="311">
      <c r="I311">
        <f>IFERROR(VLOOKUP(D311,'Schedule Lookup'!$A:$H,2,0),0)</f>
        <v/>
      </c>
      <c r="J311">
        <f>IFERROR(VLOOKUP(D311,'Schedule Lookup'!$A:$H,3,0),0)</f>
        <v/>
      </c>
      <c r="K311">
        <f>IFERROR(VLOOKUP(D311,'Schedule Lookup'!$A:$H,4,0),0)</f>
        <v/>
      </c>
      <c r="L311">
        <f>IFERROR(VLOOKUP(D311,'Schedule Lookup'!$A:$H,5,0),0)</f>
        <v/>
      </c>
      <c r="M311">
        <f>IFERROR(VLOOKUP(D311,'Schedule Lookup'!$A:$H,6,0),0)</f>
        <v/>
      </c>
      <c r="N311">
        <f>IFERROR(VLOOKUP(D311,'Schedule Lookup'!$A:$H,7,0),0)</f>
        <v/>
      </c>
      <c r="O311">
        <f>IFERROR(VLOOKUP(D311,'Schedule Lookup'!$A:$H,8,0),0)</f>
        <v/>
      </c>
      <c r="T311">
        <f>IF(AND(E311&lt;TIME(9,0,0),F311&gt;TIME(0,0,1)),1,0)</f>
        <v/>
      </c>
      <c r="U311">
        <f>IF(AND(E311&lt;TIME(17,0,0),F311&gt;TIME(9,0,0)),1,0)</f>
        <v/>
      </c>
      <c r="V311">
        <f>IF(AND(E311&lt;TIME(21,0,0),F311&gt;TIME(17,0,0)),1,0)</f>
        <v/>
      </c>
      <c r="W311">
        <f>IF(F311&gt;TIME(17,0,0),1,0)</f>
        <v/>
      </c>
    </row>
    <row r="312">
      <c r="I312">
        <f>IFERROR(VLOOKUP(D312,'Schedule Lookup'!$A:$H,2,0),0)</f>
        <v/>
      </c>
      <c r="J312">
        <f>IFERROR(VLOOKUP(D312,'Schedule Lookup'!$A:$H,3,0),0)</f>
        <v/>
      </c>
      <c r="K312">
        <f>IFERROR(VLOOKUP(D312,'Schedule Lookup'!$A:$H,4,0),0)</f>
        <v/>
      </c>
      <c r="L312">
        <f>IFERROR(VLOOKUP(D312,'Schedule Lookup'!$A:$H,5,0),0)</f>
        <v/>
      </c>
      <c r="M312">
        <f>IFERROR(VLOOKUP(D312,'Schedule Lookup'!$A:$H,6,0),0)</f>
        <v/>
      </c>
      <c r="N312">
        <f>IFERROR(VLOOKUP(D312,'Schedule Lookup'!$A:$H,7,0),0)</f>
        <v/>
      </c>
      <c r="O312">
        <f>IFERROR(VLOOKUP(D312,'Schedule Lookup'!$A:$H,8,0),0)</f>
        <v/>
      </c>
      <c r="T312">
        <f>IF(AND(E312&lt;TIME(9,0,0),F312&gt;TIME(0,0,1)),1,0)</f>
        <v/>
      </c>
      <c r="U312">
        <f>IF(AND(E312&lt;TIME(17,0,0),F312&gt;TIME(9,0,0)),1,0)</f>
        <v/>
      </c>
      <c r="V312">
        <f>IF(AND(E312&lt;TIME(21,0,0),F312&gt;TIME(17,0,0)),1,0)</f>
        <v/>
      </c>
      <c r="W312">
        <f>IF(F312&gt;TIME(17,0,0),1,0)</f>
        <v/>
      </c>
    </row>
    <row r="313">
      <c r="I313">
        <f>IFERROR(VLOOKUP(D313,'Schedule Lookup'!$A:$H,2,0),0)</f>
        <v/>
      </c>
      <c r="J313">
        <f>IFERROR(VLOOKUP(D313,'Schedule Lookup'!$A:$H,3,0),0)</f>
        <v/>
      </c>
      <c r="K313">
        <f>IFERROR(VLOOKUP(D313,'Schedule Lookup'!$A:$H,4,0),0)</f>
        <v/>
      </c>
      <c r="L313">
        <f>IFERROR(VLOOKUP(D313,'Schedule Lookup'!$A:$H,5,0),0)</f>
        <v/>
      </c>
      <c r="M313">
        <f>IFERROR(VLOOKUP(D313,'Schedule Lookup'!$A:$H,6,0),0)</f>
        <v/>
      </c>
      <c r="N313">
        <f>IFERROR(VLOOKUP(D313,'Schedule Lookup'!$A:$H,7,0),0)</f>
        <v/>
      </c>
      <c r="O313">
        <f>IFERROR(VLOOKUP(D313,'Schedule Lookup'!$A:$H,8,0),0)</f>
        <v/>
      </c>
      <c r="T313">
        <f>IF(AND(E313&lt;TIME(9,0,0),F313&gt;TIME(0,0,1)),1,0)</f>
        <v/>
      </c>
      <c r="U313">
        <f>IF(AND(E313&lt;TIME(17,0,0),F313&gt;TIME(9,0,0)),1,0)</f>
        <v/>
      </c>
      <c r="V313">
        <f>IF(AND(E313&lt;TIME(21,0,0),F313&gt;TIME(17,0,0)),1,0)</f>
        <v/>
      </c>
      <c r="W313">
        <f>IF(F313&gt;TIME(17,0,0),1,0)</f>
        <v/>
      </c>
    </row>
    <row r="314">
      <c r="I314">
        <f>IFERROR(VLOOKUP(D314,'Schedule Lookup'!$A:$H,2,0),0)</f>
        <v/>
      </c>
      <c r="J314">
        <f>IFERROR(VLOOKUP(D314,'Schedule Lookup'!$A:$H,3,0),0)</f>
        <v/>
      </c>
      <c r="K314">
        <f>IFERROR(VLOOKUP(D314,'Schedule Lookup'!$A:$H,4,0),0)</f>
        <v/>
      </c>
      <c r="L314">
        <f>IFERROR(VLOOKUP(D314,'Schedule Lookup'!$A:$H,5,0),0)</f>
        <v/>
      </c>
      <c r="M314">
        <f>IFERROR(VLOOKUP(D314,'Schedule Lookup'!$A:$H,6,0),0)</f>
        <v/>
      </c>
      <c r="N314">
        <f>IFERROR(VLOOKUP(D314,'Schedule Lookup'!$A:$H,7,0),0)</f>
        <v/>
      </c>
      <c r="O314">
        <f>IFERROR(VLOOKUP(D314,'Schedule Lookup'!$A:$H,8,0),0)</f>
        <v/>
      </c>
      <c r="T314">
        <f>IF(AND(E314&lt;TIME(9,0,0),F314&gt;TIME(0,0,1)),1,0)</f>
        <v/>
      </c>
      <c r="U314">
        <f>IF(AND(E314&lt;TIME(17,0,0),F314&gt;TIME(9,0,0)),1,0)</f>
        <v/>
      </c>
      <c r="V314">
        <f>IF(AND(E314&lt;TIME(21,0,0),F314&gt;TIME(17,0,0)),1,0)</f>
        <v/>
      </c>
      <c r="W314">
        <f>IF(F314&gt;TIME(17,0,0),1,0)</f>
        <v/>
      </c>
    </row>
    <row r="315">
      <c r="I315">
        <f>IFERROR(VLOOKUP(D315,'Schedule Lookup'!$A:$H,2,0),0)</f>
        <v/>
      </c>
      <c r="J315">
        <f>IFERROR(VLOOKUP(D315,'Schedule Lookup'!$A:$H,3,0),0)</f>
        <v/>
      </c>
      <c r="K315">
        <f>IFERROR(VLOOKUP(D315,'Schedule Lookup'!$A:$H,4,0),0)</f>
        <v/>
      </c>
      <c r="L315">
        <f>IFERROR(VLOOKUP(D315,'Schedule Lookup'!$A:$H,5,0),0)</f>
        <v/>
      </c>
      <c r="M315">
        <f>IFERROR(VLOOKUP(D315,'Schedule Lookup'!$A:$H,6,0),0)</f>
        <v/>
      </c>
      <c r="N315">
        <f>IFERROR(VLOOKUP(D315,'Schedule Lookup'!$A:$H,7,0),0)</f>
        <v/>
      </c>
      <c r="O315">
        <f>IFERROR(VLOOKUP(D315,'Schedule Lookup'!$A:$H,8,0),0)</f>
        <v/>
      </c>
      <c r="T315">
        <f>IF(AND(E315&lt;TIME(9,0,0),F315&gt;TIME(0,0,1)),1,0)</f>
        <v/>
      </c>
      <c r="U315">
        <f>IF(AND(E315&lt;TIME(17,0,0),F315&gt;TIME(9,0,0)),1,0)</f>
        <v/>
      </c>
      <c r="V315">
        <f>IF(AND(E315&lt;TIME(21,0,0),F315&gt;TIME(17,0,0)),1,0)</f>
        <v/>
      </c>
      <c r="W315">
        <f>IF(F315&gt;TIME(17,0,0),1,0)</f>
        <v/>
      </c>
    </row>
    <row r="316">
      <c r="I316">
        <f>IFERROR(VLOOKUP(D316,'Schedule Lookup'!$A:$H,2,0),0)</f>
        <v/>
      </c>
      <c r="J316">
        <f>IFERROR(VLOOKUP(D316,'Schedule Lookup'!$A:$H,3,0),0)</f>
        <v/>
      </c>
      <c r="K316">
        <f>IFERROR(VLOOKUP(D316,'Schedule Lookup'!$A:$H,4,0),0)</f>
        <v/>
      </c>
      <c r="L316">
        <f>IFERROR(VLOOKUP(D316,'Schedule Lookup'!$A:$H,5,0),0)</f>
        <v/>
      </c>
      <c r="M316">
        <f>IFERROR(VLOOKUP(D316,'Schedule Lookup'!$A:$H,6,0),0)</f>
        <v/>
      </c>
      <c r="N316">
        <f>IFERROR(VLOOKUP(D316,'Schedule Lookup'!$A:$H,7,0),0)</f>
        <v/>
      </c>
      <c r="O316">
        <f>IFERROR(VLOOKUP(D316,'Schedule Lookup'!$A:$H,8,0),0)</f>
        <v/>
      </c>
      <c r="T316">
        <f>IF(AND(E316&lt;TIME(9,0,0),F316&gt;TIME(0,0,1)),1,0)</f>
        <v/>
      </c>
      <c r="U316">
        <f>IF(AND(E316&lt;TIME(17,0,0),F316&gt;TIME(9,0,0)),1,0)</f>
        <v/>
      </c>
      <c r="V316">
        <f>IF(AND(E316&lt;TIME(21,0,0),F316&gt;TIME(17,0,0)),1,0)</f>
        <v/>
      </c>
      <c r="W316">
        <f>IF(F316&gt;TIME(17,0,0),1,0)</f>
        <v/>
      </c>
    </row>
    <row r="317">
      <c r="I317">
        <f>IFERROR(VLOOKUP(D317,'Schedule Lookup'!$A:$H,2,0),0)</f>
        <v/>
      </c>
      <c r="J317">
        <f>IFERROR(VLOOKUP(D317,'Schedule Lookup'!$A:$H,3,0),0)</f>
        <v/>
      </c>
      <c r="K317">
        <f>IFERROR(VLOOKUP(D317,'Schedule Lookup'!$A:$H,4,0),0)</f>
        <v/>
      </c>
      <c r="L317">
        <f>IFERROR(VLOOKUP(D317,'Schedule Lookup'!$A:$H,5,0),0)</f>
        <v/>
      </c>
      <c r="M317">
        <f>IFERROR(VLOOKUP(D317,'Schedule Lookup'!$A:$H,6,0),0)</f>
        <v/>
      </c>
      <c r="N317">
        <f>IFERROR(VLOOKUP(D317,'Schedule Lookup'!$A:$H,7,0),0)</f>
        <v/>
      </c>
      <c r="O317">
        <f>IFERROR(VLOOKUP(D317,'Schedule Lookup'!$A:$H,8,0),0)</f>
        <v/>
      </c>
      <c r="T317">
        <f>IF(AND(E317&lt;TIME(9,0,0),F317&gt;TIME(0,0,1)),1,0)</f>
        <v/>
      </c>
      <c r="U317">
        <f>IF(AND(E317&lt;TIME(17,0,0),F317&gt;TIME(9,0,0)),1,0)</f>
        <v/>
      </c>
      <c r="V317">
        <f>IF(AND(E317&lt;TIME(21,0,0),F317&gt;TIME(17,0,0)),1,0)</f>
        <v/>
      </c>
      <c r="W317">
        <f>IF(F317&gt;TIME(17,0,0),1,0)</f>
        <v/>
      </c>
    </row>
    <row r="318">
      <c r="I318">
        <f>IFERROR(VLOOKUP(D318,'Schedule Lookup'!$A:$H,2,0),0)</f>
        <v/>
      </c>
      <c r="J318">
        <f>IFERROR(VLOOKUP(D318,'Schedule Lookup'!$A:$H,3,0),0)</f>
        <v/>
      </c>
      <c r="K318">
        <f>IFERROR(VLOOKUP(D318,'Schedule Lookup'!$A:$H,4,0),0)</f>
        <v/>
      </c>
      <c r="L318">
        <f>IFERROR(VLOOKUP(D318,'Schedule Lookup'!$A:$H,5,0),0)</f>
        <v/>
      </c>
      <c r="M318">
        <f>IFERROR(VLOOKUP(D318,'Schedule Lookup'!$A:$H,6,0),0)</f>
        <v/>
      </c>
      <c r="N318">
        <f>IFERROR(VLOOKUP(D318,'Schedule Lookup'!$A:$H,7,0),0)</f>
        <v/>
      </c>
      <c r="O318">
        <f>IFERROR(VLOOKUP(D318,'Schedule Lookup'!$A:$H,8,0),0)</f>
        <v/>
      </c>
      <c r="T318">
        <f>IF(AND(E318&lt;TIME(9,0,0),F318&gt;TIME(0,0,1)),1,0)</f>
        <v/>
      </c>
      <c r="U318">
        <f>IF(AND(E318&lt;TIME(17,0,0),F318&gt;TIME(9,0,0)),1,0)</f>
        <v/>
      </c>
      <c r="V318">
        <f>IF(AND(E318&lt;TIME(21,0,0),F318&gt;TIME(17,0,0)),1,0)</f>
        <v/>
      </c>
      <c r="W318">
        <f>IF(F318&gt;TIME(17,0,0),1,0)</f>
        <v/>
      </c>
    </row>
    <row r="319">
      <c r="I319">
        <f>IFERROR(VLOOKUP(D319,'Schedule Lookup'!$A:$H,2,0),0)</f>
        <v/>
      </c>
      <c r="J319">
        <f>IFERROR(VLOOKUP(D319,'Schedule Lookup'!$A:$H,3,0),0)</f>
        <v/>
      </c>
      <c r="K319">
        <f>IFERROR(VLOOKUP(D319,'Schedule Lookup'!$A:$H,4,0),0)</f>
        <v/>
      </c>
      <c r="L319">
        <f>IFERROR(VLOOKUP(D319,'Schedule Lookup'!$A:$H,5,0),0)</f>
        <v/>
      </c>
      <c r="M319">
        <f>IFERROR(VLOOKUP(D319,'Schedule Lookup'!$A:$H,6,0),0)</f>
        <v/>
      </c>
      <c r="N319">
        <f>IFERROR(VLOOKUP(D319,'Schedule Lookup'!$A:$H,7,0),0)</f>
        <v/>
      </c>
      <c r="O319">
        <f>IFERROR(VLOOKUP(D319,'Schedule Lookup'!$A:$H,8,0),0)</f>
        <v/>
      </c>
      <c r="T319">
        <f>IF(AND(E319&lt;TIME(9,0,0),F319&gt;TIME(0,0,1)),1,0)</f>
        <v/>
      </c>
      <c r="U319">
        <f>IF(AND(E319&lt;TIME(17,0,0),F319&gt;TIME(9,0,0)),1,0)</f>
        <v/>
      </c>
      <c r="V319">
        <f>IF(AND(E319&lt;TIME(21,0,0),F319&gt;TIME(17,0,0)),1,0)</f>
        <v/>
      </c>
      <c r="W319">
        <f>IF(F319&gt;TIME(17,0,0),1,0)</f>
        <v/>
      </c>
    </row>
    <row r="320">
      <c r="I320">
        <f>IFERROR(VLOOKUP(D320,'Schedule Lookup'!$A:$H,2,0),0)</f>
        <v/>
      </c>
      <c r="J320">
        <f>IFERROR(VLOOKUP(D320,'Schedule Lookup'!$A:$H,3,0),0)</f>
        <v/>
      </c>
      <c r="K320">
        <f>IFERROR(VLOOKUP(D320,'Schedule Lookup'!$A:$H,4,0),0)</f>
        <v/>
      </c>
      <c r="L320">
        <f>IFERROR(VLOOKUP(D320,'Schedule Lookup'!$A:$H,5,0),0)</f>
        <v/>
      </c>
      <c r="M320">
        <f>IFERROR(VLOOKUP(D320,'Schedule Lookup'!$A:$H,6,0),0)</f>
        <v/>
      </c>
      <c r="N320">
        <f>IFERROR(VLOOKUP(D320,'Schedule Lookup'!$A:$H,7,0),0)</f>
        <v/>
      </c>
      <c r="O320">
        <f>IFERROR(VLOOKUP(D320,'Schedule Lookup'!$A:$H,8,0),0)</f>
        <v/>
      </c>
      <c r="T320">
        <f>IF(AND(E320&lt;TIME(9,0,0),F320&gt;TIME(0,0,1)),1,0)</f>
        <v/>
      </c>
      <c r="U320">
        <f>IF(AND(E320&lt;TIME(17,0,0),F320&gt;TIME(9,0,0)),1,0)</f>
        <v/>
      </c>
      <c r="V320">
        <f>IF(AND(E320&lt;TIME(21,0,0),F320&gt;TIME(17,0,0)),1,0)</f>
        <v/>
      </c>
      <c r="W320">
        <f>IF(F320&gt;TIME(17,0,0),1,0)</f>
        <v/>
      </c>
    </row>
    <row r="321">
      <c r="I321">
        <f>IFERROR(VLOOKUP(D321,'Schedule Lookup'!$A:$H,2,0),0)</f>
        <v/>
      </c>
      <c r="J321">
        <f>IFERROR(VLOOKUP(D321,'Schedule Lookup'!$A:$H,3,0),0)</f>
        <v/>
      </c>
      <c r="K321">
        <f>IFERROR(VLOOKUP(D321,'Schedule Lookup'!$A:$H,4,0),0)</f>
        <v/>
      </c>
      <c r="L321">
        <f>IFERROR(VLOOKUP(D321,'Schedule Lookup'!$A:$H,5,0),0)</f>
        <v/>
      </c>
      <c r="M321">
        <f>IFERROR(VLOOKUP(D321,'Schedule Lookup'!$A:$H,6,0),0)</f>
        <v/>
      </c>
      <c r="N321">
        <f>IFERROR(VLOOKUP(D321,'Schedule Lookup'!$A:$H,7,0),0)</f>
        <v/>
      </c>
      <c r="O321">
        <f>IFERROR(VLOOKUP(D321,'Schedule Lookup'!$A:$H,8,0),0)</f>
        <v/>
      </c>
      <c r="T321">
        <f>IF(AND(E321&lt;TIME(9,0,0),F321&gt;TIME(0,0,1)),1,0)</f>
        <v/>
      </c>
      <c r="U321">
        <f>IF(AND(E321&lt;TIME(17,0,0),F321&gt;TIME(9,0,0)),1,0)</f>
        <v/>
      </c>
      <c r="V321">
        <f>IF(AND(E321&lt;TIME(21,0,0),F321&gt;TIME(17,0,0)),1,0)</f>
        <v/>
      </c>
      <c r="W321">
        <f>IF(F321&gt;TIME(17,0,0),1,0)</f>
        <v/>
      </c>
    </row>
    <row r="322">
      <c r="I322">
        <f>IFERROR(VLOOKUP(D322,'Schedule Lookup'!$A:$H,2,0),0)</f>
        <v/>
      </c>
      <c r="J322">
        <f>IFERROR(VLOOKUP(D322,'Schedule Lookup'!$A:$H,3,0),0)</f>
        <v/>
      </c>
      <c r="K322">
        <f>IFERROR(VLOOKUP(D322,'Schedule Lookup'!$A:$H,4,0),0)</f>
        <v/>
      </c>
      <c r="L322">
        <f>IFERROR(VLOOKUP(D322,'Schedule Lookup'!$A:$H,5,0),0)</f>
        <v/>
      </c>
      <c r="M322">
        <f>IFERROR(VLOOKUP(D322,'Schedule Lookup'!$A:$H,6,0),0)</f>
        <v/>
      </c>
      <c r="N322">
        <f>IFERROR(VLOOKUP(D322,'Schedule Lookup'!$A:$H,7,0),0)</f>
        <v/>
      </c>
      <c r="O322">
        <f>IFERROR(VLOOKUP(D322,'Schedule Lookup'!$A:$H,8,0),0)</f>
        <v/>
      </c>
      <c r="T322">
        <f>IF(AND(E322&lt;TIME(9,0,0),F322&gt;TIME(0,0,1)),1,0)</f>
        <v/>
      </c>
      <c r="U322">
        <f>IF(AND(E322&lt;TIME(17,0,0),F322&gt;TIME(9,0,0)),1,0)</f>
        <v/>
      </c>
      <c r="V322">
        <f>IF(AND(E322&lt;TIME(21,0,0),F322&gt;TIME(17,0,0)),1,0)</f>
        <v/>
      </c>
      <c r="W322">
        <f>IF(F322&gt;TIME(17,0,0),1,0)</f>
        <v/>
      </c>
    </row>
    <row r="323">
      <c r="I323">
        <f>IFERROR(VLOOKUP(D323,'Schedule Lookup'!$A:$H,2,0),0)</f>
        <v/>
      </c>
      <c r="J323">
        <f>IFERROR(VLOOKUP(D323,'Schedule Lookup'!$A:$H,3,0),0)</f>
        <v/>
      </c>
      <c r="K323">
        <f>IFERROR(VLOOKUP(D323,'Schedule Lookup'!$A:$H,4,0),0)</f>
        <v/>
      </c>
      <c r="L323">
        <f>IFERROR(VLOOKUP(D323,'Schedule Lookup'!$A:$H,5,0),0)</f>
        <v/>
      </c>
      <c r="M323">
        <f>IFERROR(VLOOKUP(D323,'Schedule Lookup'!$A:$H,6,0),0)</f>
        <v/>
      </c>
      <c r="N323">
        <f>IFERROR(VLOOKUP(D323,'Schedule Lookup'!$A:$H,7,0),0)</f>
        <v/>
      </c>
      <c r="O323">
        <f>IFERROR(VLOOKUP(D323,'Schedule Lookup'!$A:$H,8,0),0)</f>
        <v/>
      </c>
      <c r="T323">
        <f>IF(AND(E323&lt;TIME(9,0,0),F323&gt;TIME(0,0,1)),1,0)</f>
        <v/>
      </c>
      <c r="U323">
        <f>IF(AND(E323&lt;TIME(17,0,0),F323&gt;TIME(9,0,0)),1,0)</f>
        <v/>
      </c>
      <c r="V323">
        <f>IF(AND(E323&lt;TIME(21,0,0),F323&gt;TIME(17,0,0)),1,0)</f>
        <v/>
      </c>
      <c r="W323">
        <f>IF(F323&gt;TIME(17,0,0),1,0)</f>
        <v/>
      </c>
    </row>
    <row r="324">
      <c r="I324">
        <f>IFERROR(VLOOKUP(D324,'Schedule Lookup'!$A:$H,2,0),0)</f>
        <v/>
      </c>
      <c r="J324">
        <f>IFERROR(VLOOKUP(D324,'Schedule Lookup'!$A:$H,3,0),0)</f>
        <v/>
      </c>
      <c r="K324">
        <f>IFERROR(VLOOKUP(D324,'Schedule Lookup'!$A:$H,4,0),0)</f>
        <v/>
      </c>
      <c r="L324">
        <f>IFERROR(VLOOKUP(D324,'Schedule Lookup'!$A:$H,5,0),0)</f>
        <v/>
      </c>
      <c r="M324">
        <f>IFERROR(VLOOKUP(D324,'Schedule Lookup'!$A:$H,6,0),0)</f>
        <v/>
      </c>
      <c r="N324">
        <f>IFERROR(VLOOKUP(D324,'Schedule Lookup'!$A:$H,7,0),0)</f>
        <v/>
      </c>
      <c r="O324">
        <f>IFERROR(VLOOKUP(D324,'Schedule Lookup'!$A:$H,8,0),0)</f>
        <v/>
      </c>
      <c r="T324">
        <f>IF(AND(E324&lt;TIME(9,0,0),F324&gt;TIME(0,0,1)),1,0)</f>
        <v/>
      </c>
      <c r="U324">
        <f>IF(AND(E324&lt;TIME(17,0,0),F324&gt;TIME(9,0,0)),1,0)</f>
        <v/>
      </c>
      <c r="V324">
        <f>IF(AND(E324&lt;TIME(21,0,0),F324&gt;TIME(17,0,0)),1,0)</f>
        <v/>
      </c>
      <c r="W324">
        <f>IF(F324&gt;TIME(17,0,0),1,0)</f>
        <v/>
      </c>
    </row>
    <row r="325">
      <c r="I325">
        <f>IFERROR(VLOOKUP(D325,'Schedule Lookup'!$A:$H,2,0),0)</f>
        <v/>
      </c>
      <c r="J325">
        <f>IFERROR(VLOOKUP(D325,'Schedule Lookup'!$A:$H,3,0),0)</f>
        <v/>
      </c>
      <c r="K325">
        <f>IFERROR(VLOOKUP(D325,'Schedule Lookup'!$A:$H,4,0),0)</f>
        <v/>
      </c>
      <c r="L325">
        <f>IFERROR(VLOOKUP(D325,'Schedule Lookup'!$A:$H,5,0),0)</f>
        <v/>
      </c>
      <c r="M325">
        <f>IFERROR(VLOOKUP(D325,'Schedule Lookup'!$A:$H,6,0),0)</f>
        <v/>
      </c>
      <c r="N325">
        <f>IFERROR(VLOOKUP(D325,'Schedule Lookup'!$A:$H,7,0),0)</f>
        <v/>
      </c>
      <c r="O325">
        <f>IFERROR(VLOOKUP(D325,'Schedule Lookup'!$A:$H,8,0),0)</f>
        <v/>
      </c>
      <c r="T325">
        <f>IF(AND(E325&lt;TIME(9,0,0),F325&gt;TIME(0,0,1)),1,0)</f>
        <v/>
      </c>
      <c r="U325">
        <f>IF(AND(E325&lt;TIME(17,0,0),F325&gt;TIME(9,0,0)),1,0)</f>
        <v/>
      </c>
      <c r="V325">
        <f>IF(AND(E325&lt;TIME(21,0,0),F325&gt;TIME(17,0,0)),1,0)</f>
        <v/>
      </c>
      <c r="W325">
        <f>IF(F325&gt;TIME(17,0,0),1,0)</f>
        <v/>
      </c>
    </row>
    <row r="326">
      <c r="I326">
        <f>IFERROR(VLOOKUP(D326,'Schedule Lookup'!$A:$H,2,0),0)</f>
        <v/>
      </c>
      <c r="J326">
        <f>IFERROR(VLOOKUP(D326,'Schedule Lookup'!$A:$H,3,0),0)</f>
        <v/>
      </c>
      <c r="K326">
        <f>IFERROR(VLOOKUP(D326,'Schedule Lookup'!$A:$H,4,0),0)</f>
        <v/>
      </c>
      <c r="L326">
        <f>IFERROR(VLOOKUP(D326,'Schedule Lookup'!$A:$H,5,0),0)</f>
        <v/>
      </c>
      <c r="M326">
        <f>IFERROR(VLOOKUP(D326,'Schedule Lookup'!$A:$H,6,0),0)</f>
        <v/>
      </c>
      <c r="N326">
        <f>IFERROR(VLOOKUP(D326,'Schedule Lookup'!$A:$H,7,0),0)</f>
        <v/>
      </c>
      <c r="O326">
        <f>IFERROR(VLOOKUP(D326,'Schedule Lookup'!$A:$H,8,0),0)</f>
        <v/>
      </c>
      <c r="T326">
        <f>IF(AND(E326&lt;TIME(9,0,0),F326&gt;TIME(0,0,1)),1,0)</f>
        <v/>
      </c>
      <c r="U326">
        <f>IF(AND(E326&lt;TIME(17,0,0),F326&gt;TIME(9,0,0)),1,0)</f>
        <v/>
      </c>
      <c r="V326">
        <f>IF(AND(E326&lt;TIME(21,0,0),F326&gt;TIME(17,0,0)),1,0)</f>
        <v/>
      </c>
      <c r="W326">
        <f>IF(F326&gt;TIME(17,0,0),1,0)</f>
        <v/>
      </c>
    </row>
    <row r="327">
      <c r="I327">
        <f>IFERROR(VLOOKUP(D327,'Schedule Lookup'!$A:$H,2,0),0)</f>
        <v/>
      </c>
      <c r="J327">
        <f>IFERROR(VLOOKUP(D327,'Schedule Lookup'!$A:$H,3,0),0)</f>
        <v/>
      </c>
      <c r="K327">
        <f>IFERROR(VLOOKUP(D327,'Schedule Lookup'!$A:$H,4,0),0)</f>
        <v/>
      </c>
      <c r="L327">
        <f>IFERROR(VLOOKUP(D327,'Schedule Lookup'!$A:$H,5,0),0)</f>
        <v/>
      </c>
      <c r="M327">
        <f>IFERROR(VLOOKUP(D327,'Schedule Lookup'!$A:$H,6,0),0)</f>
        <v/>
      </c>
      <c r="N327">
        <f>IFERROR(VLOOKUP(D327,'Schedule Lookup'!$A:$H,7,0),0)</f>
        <v/>
      </c>
      <c r="O327">
        <f>IFERROR(VLOOKUP(D327,'Schedule Lookup'!$A:$H,8,0),0)</f>
        <v/>
      </c>
      <c r="T327">
        <f>IF(AND(E327&lt;TIME(9,0,0),F327&gt;TIME(0,0,1)),1,0)</f>
        <v/>
      </c>
      <c r="U327">
        <f>IF(AND(E327&lt;TIME(17,0,0),F327&gt;TIME(9,0,0)),1,0)</f>
        <v/>
      </c>
      <c r="V327">
        <f>IF(AND(E327&lt;TIME(21,0,0),F327&gt;TIME(17,0,0)),1,0)</f>
        <v/>
      </c>
      <c r="W327">
        <f>IF(F327&gt;TIME(17,0,0),1,0)</f>
        <v/>
      </c>
    </row>
    <row r="328">
      <c r="I328">
        <f>IFERROR(VLOOKUP(D328,'Schedule Lookup'!$A:$H,2,0),0)</f>
        <v/>
      </c>
      <c r="J328">
        <f>IFERROR(VLOOKUP(D328,'Schedule Lookup'!$A:$H,3,0),0)</f>
        <v/>
      </c>
      <c r="K328">
        <f>IFERROR(VLOOKUP(D328,'Schedule Lookup'!$A:$H,4,0),0)</f>
        <v/>
      </c>
      <c r="L328">
        <f>IFERROR(VLOOKUP(D328,'Schedule Lookup'!$A:$H,5,0),0)</f>
        <v/>
      </c>
      <c r="M328">
        <f>IFERROR(VLOOKUP(D328,'Schedule Lookup'!$A:$H,6,0),0)</f>
        <v/>
      </c>
      <c r="N328">
        <f>IFERROR(VLOOKUP(D328,'Schedule Lookup'!$A:$H,7,0),0)</f>
        <v/>
      </c>
      <c r="O328">
        <f>IFERROR(VLOOKUP(D328,'Schedule Lookup'!$A:$H,8,0),0)</f>
        <v/>
      </c>
      <c r="T328">
        <f>IF(AND(E328&lt;TIME(9,0,0),F328&gt;TIME(0,0,1)),1,0)</f>
        <v/>
      </c>
      <c r="U328">
        <f>IF(AND(E328&lt;TIME(17,0,0),F328&gt;TIME(9,0,0)),1,0)</f>
        <v/>
      </c>
      <c r="V328">
        <f>IF(AND(E328&lt;TIME(21,0,0),F328&gt;TIME(17,0,0)),1,0)</f>
        <v/>
      </c>
      <c r="W328">
        <f>IF(F328&gt;TIME(17,0,0),1,0)</f>
        <v/>
      </c>
    </row>
    <row r="329">
      <c r="I329">
        <f>IFERROR(VLOOKUP(D329,'Schedule Lookup'!$A:$H,2,0),0)</f>
        <v/>
      </c>
      <c r="J329">
        <f>IFERROR(VLOOKUP(D329,'Schedule Lookup'!$A:$H,3,0),0)</f>
        <v/>
      </c>
      <c r="K329">
        <f>IFERROR(VLOOKUP(D329,'Schedule Lookup'!$A:$H,4,0),0)</f>
        <v/>
      </c>
      <c r="L329">
        <f>IFERROR(VLOOKUP(D329,'Schedule Lookup'!$A:$H,5,0),0)</f>
        <v/>
      </c>
      <c r="M329">
        <f>IFERROR(VLOOKUP(D329,'Schedule Lookup'!$A:$H,6,0),0)</f>
        <v/>
      </c>
      <c r="N329">
        <f>IFERROR(VLOOKUP(D329,'Schedule Lookup'!$A:$H,7,0),0)</f>
        <v/>
      </c>
      <c r="O329">
        <f>IFERROR(VLOOKUP(D329,'Schedule Lookup'!$A:$H,8,0),0)</f>
        <v/>
      </c>
      <c r="T329">
        <f>IF(AND(E329&lt;TIME(9,0,0),F329&gt;TIME(0,0,1)),1,0)</f>
        <v/>
      </c>
      <c r="U329">
        <f>IF(AND(E329&lt;TIME(17,0,0),F329&gt;TIME(9,0,0)),1,0)</f>
        <v/>
      </c>
      <c r="V329">
        <f>IF(AND(E329&lt;TIME(21,0,0),F329&gt;TIME(17,0,0)),1,0)</f>
        <v/>
      </c>
      <c r="W329">
        <f>IF(F329&gt;TIME(17,0,0),1,0)</f>
        <v/>
      </c>
    </row>
    <row r="330">
      <c r="I330">
        <f>IFERROR(VLOOKUP(D330,'Schedule Lookup'!$A:$H,2,0),0)</f>
        <v/>
      </c>
      <c r="J330">
        <f>IFERROR(VLOOKUP(D330,'Schedule Lookup'!$A:$H,3,0),0)</f>
        <v/>
      </c>
      <c r="K330">
        <f>IFERROR(VLOOKUP(D330,'Schedule Lookup'!$A:$H,4,0),0)</f>
        <v/>
      </c>
      <c r="L330">
        <f>IFERROR(VLOOKUP(D330,'Schedule Lookup'!$A:$H,5,0),0)</f>
        <v/>
      </c>
      <c r="M330">
        <f>IFERROR(VLOOKUP(D330,'Schedule Lookup'!$A:$H,6,0),0)</f>
        <v/>
      </c>
      <c r="N330">
        <f>IFERROR(VLOOKUP(D330,'Schedule Lookup'!$A:$H,7,0),0)</f>
        <v/>
      </c>
      <c r="O330">
        <f>IFERROR(VLOOKUP(D330,'Schedule Lookup'!$A:$H,8,0),0)</f>
        <v/>
      </c>
      <c r="T330">
        <f>IF(AND(E330&lt;TIME(9,0,0),F330&gt;TIME(0,0,1)),1,0)</f>
        <v/>
      </c>
      <c r="U330">
        <f>IF(AND(E330&lt;TIME(17,0,0),F330&gt;TIME(9,0,0)),1,0)</f>
        <v/>
      </c>
      <c r="V330">
        <f>IF(AND(E330&lt;TIME(21,0,0),F330&gt;TIME(17,0,0)),1,0)</f>
        <v/>
      </c>
      <c r="W330">
        <f>IF(F330&gt;TIME(17,0,0),1,0)</f>
        <v/>
      </c>
    </row>
    <row r="331">
      <c r="I331">
        <f>IFERROR(VLOOKUP(D331,'Schedule Lookup'!$A:$H,2,0),0)</f>
        <v/>
      </c>
      <c r="J331">
        <f>IFERROR(VLOOKUP(D331,'Schedule Lookup'!$A:$H,3,0),0)</f>
        <v/>
      </c>
      <c r="K331">
        <f>IFERROR(VLOOKUP(D331,'Schedule Lookup'!$A:$H,4,0),0)</f>
        <v/>
      </c>
      <c r="L331">
        <f>IFERROR(VLOOKUP(D331,'Schedule Lookup'!$A:$H,5,0),0)</f>
        <v/>
      </c>
      <c r="M331">
        <f>IFERROR(VLOOKUP(D331,'Schedule Lookup'!$A:$H,6,0),0)</f>
        <v/>
      </c>
      <c r="N331">
        <f>IFERROR(VLOOKUP(D331,'Schedule Lookup'!$A:$H,7,0),0)</f>
        <v/>
      </c>
      <c r="O331">
        <f>IFERROR(VLOOKUP(D331,'Schedule Lookup'!$A:$H,8,0),0)</f>
        <v/>
      </c>
      <c r="T331">
        <f>IF(AND(E331&lt;TIME(9,0,0),F331&gt;TIME(0,0,1)),1,0)</f>
        <v/>
      </c>
      <c r="U331">
        <f>IF(AND(E331&lt;TIME(17,0,0),F331&gt;TIME(9,0,0)),1,0)</f>
        <v/>
      </c>
      <c r="V331">
        <f>IF(AND(E331&lt;TIME(21,0,0),F331&gt;TIME(17,0,0)),1,0)</f>
        <v/>
      </c>
      <c r="W331">
        <f>IF(F331&gt;TIME(17,0,0),1,0)</f>
        <v/>
      </c>
    </row>
    <row r="332">
      <c r="I332">
        <f>IFERROR(VLOOKUP(D332,'Schedule Lookup'!$A:$H,2,0),0)</f>
        <v/>
      </c>
      <c r="J332">
        <f>IFERROR(VLOOKUP(D332,'Schedule Lookup'!$A:$H,3,0),0)</f>
        <v/>
      </c>
      <c r="K332">
        <f>IFERROR(VLOOKUP(D332,'Schedule Lookup'!$A:$H,4,0),0)</f>
        <v/>
      </c>
      <c r="L332">
        <f>IFERROR(VLOOKUP(D332,'Schedule Lookup'!$A:$H,5,0),0)</f>
        <v/>
      </c>
      <c r="M332">
        <f>IFERROR(VLOOKUP(D332,'Schedule Lookup'!$A:$H,6,0),0)</f>
        <v/>
      </c>
      <c r="N332">
        <f>IFERROR(VLOOKUP(D332,'Schedule Lookup'!$A:$H,7,0),0)</f>
        <v/>
      </c>
      <c r="O332">
        <f>IFERROR(VLOOKUP(D332,'Schedule Lookup'!$A:$H,8,0),0)</f>
        <v/>
      </c>
      <c r="T332">
        <f>IF(AND(E332&lt;TIME(9,0,0),F332&gt;TIME(0,0,1)),1,0)</f>
        <v/>
      </c>
      <c r="U332">
        <f>IF(AND(E332&lt;TIME(17,0,0),F332&gt;TIME(9,0,0)),1,0)</f>
        <v/>
      </c>
      <c r="V332">
        <f>IF(AND(E332&lt;TIME(21,0,0),F332&gt;TIME(17,0,0)),1,0)</f>
        <v/>
      </c>
      <c r="W332">
        <f>IF(F332&gt;TIME(17,0,0),1,0)</f>
        <v/>
      </c>
    </row>
    <row r="333">
      <c r="I333">
        <f>IFERROR(VLOOKUP(D333,'Schedule Lookup'!$A:$H,2,0),0)</f>
        <v/>
      </c>
      <c r="J333">
        <f>IFERROR(VLOOKUP(D333,'Schedule Lookup'!$A:$H,3,0),0)</f>
        <v/>
      </c>
      <c r="K333">
        <f>IFERROR(VLOOKUP(D333,'Schedule Lookup'!$A:$H,4,0),0)</f>
        <v/>
      </c>
      <c r="L333">
        <f>IFERROR(VLOOKUP(D333,'Schedule Lookup'!$A:$H,5,0),0)</f>
        <v/>
      </c>
      <c r="M333">
        <f>IFERROR(VLOOKUP(D333,'Schedule Lookup'!$A:$H,6,0),0)</f>
        <v/>
      </c>
      <c r="N333">
        <f>IFERROR(VLOOKUP(D333,'Schedule Lookup'!$A:$H,7,0),0)</f>
        <v/>
      </c>
      <c r="O333">
        <f>IFERROR(VLOOKUP(D333,'Schedule Lookup'!$A:$H,8,0),0)</f>
        <v/>
      </c>
      <c r="T333">
        <f>IF(AND(E333&lt;TIME(9,0,0),F333&gt;TIME(0,0,1)),1,0)</f>
        <v/>
      </c>
      <c r="U333">
        <f>IF(AND(E333&lt;TIME(17,0,0),F333&gt;TIME(9,0,0)),1,0)</f>
        <v/>
      </c>
      <c r="V333">
        <f>IF(AND(E333&lt;TIME(21,0,0),F333&gt;TIME(17,0,0)),1,0)</f>
        <v/>
      </c>
      <c r="W333">
        <f>IF(F333&gt;TIME(17,0,0),1,0)</f>
        <v/>
      </c>
    </row>
    <row r="334">
      <c r="I334">
        <f>IFERROR(VLOOKUP(D334,'Schedule Lookup'!$A:$H,2,0),0)</f>
        <v/>
      </c>
      <c r="J334">
        <f>IFERROR(VLOOKUP(D334,'Schedule Lookup'!$A:$H,3,0),0)</f>
        <v/>
      </c>
      <c r="K334">
        <f>IFERROR(VLOOKUP(D334,'Schedule Lookup'!$A:$H,4,0),0)</f>
        <v/>
      </c>
      <c r="L334">
        <f>IFERROR(VLOOKUP(D334,'Schedule Lookup'!$A:$H,5,0),0)</f>
        <v/>
      </c>
      <c r="M334">
        <f>IFERROR(VLOOKUP(D334,'Schedule Lookup'!$A:$H,6,0),0)</f>
        <v/>
      </c>
      <c r="N334">
        <f>IFERROR(VLOOKUP(D334,'Schedule Lookup'!$A:$H,7,0),0)</f>
        <v/>
      </c>
      <c r="O334">
        <f>IFERROR(VLOOKUP(D334,'Schedule Lookup'!$A:$H,8,0),0)</f>
        <v/>
      </c>
      <c r="T334">
        <f>IF(AND(E334&lt;TIME(9,0,0),F334&gt;TIME(0,0,1)),1,0)</f>
        <v/>
      </c>
      <c r="U334">
        <f>IF(AND(E334&lt;TIME(17,0,0),F334&gt;TIME(9,0,0)),1,0)</f>
        <v/>
      </c>
      <c r="V334">
        <f>IF(AND(E334&lt;TIME(21,0,0),F334&gt;TIME(17,0,0)),1,0)</f>
        <v/>
      </c>
      <c r="W334">
        <f>IF(F334&gt;TIME(17,0,0),1,0)</f>
        <v/>
      </c>
    </row>
    <row r="335">
      <c r="I335">
        <f>IFERROR(VLOOKUP(D335,'Schedule Lookup'!$A:$H,2,0),0)</f>
        <v/>
      </c>
      <c r="J335">
        <f>IFERROR(VLOOKUP(D335,'Schedule Lookup'!$A:$H,3,0),0)</f>
        <v/>
      </c>
      <c r="K335">
        <f>IFERROR(VLOOKUP(D335,'Schedule Lookup'!$A:$H,4,0),0)</f>
        <v/>
      </c>
      <c r="L335">
        <f>IFERROR(VLOOKUP(D335,'Schedule Lookup'!$A:$H,5,0),0)</f>
        <v/>
      </c>
      <c r="M335">
        <f>IFERROR(VLOOKUP(D335,'Schedule Lookup'!$A:$H,6,0),0)</f>
        <v/>
      </c>
      <c r="N335">
        <f>IFERROR(VLOOKUP(D335,'Schedule Lookup'!$A:$H,7,0),0)</f>
        <v/>
      </c>
      <c r="O335">
        <f>IFERROR(VLOOKUP(D335,'Schedule Lookup'!$A:$H,8,0),0)</f>
        <v/>
      </c>
      <c r="T335">
        <f>IF(AND(E335&lt;TIME(9,0,0),F335&gt;TIME(0,0,1)),1,0)</f>
        <v/>
      </c>
      <c r="U335">
        <f>IF(AND(E335&lt;TIME(17,0,0),F335&gt;TIME(9,0,0)),1,0)</f>
        <v/>
      </c>
      <c r="V335">
        <f>IF(AND(E335&lt;TIME(21,0,0),F335&gt;TIME(17,0,0)),1,0)</f>
        <v/>
      </c>
      <c r="W335">
        <f>IF(F335&gt;TIME(17,0,0),1,0)</f>
        <v/>
      </c>
    </row>
    <row r="336">
      <c r="I336">
        <f>IFERROR(VLOOKUP(D336,'Schedule Lookup'!$A:$H,2,0),0)</f>
        <v/>
      </c>
      <c r="J336">
        <f>IFERROR(VLOOKUP(D336,'Schedule Lookup'!$A:$H,3,0),0)</f>
        <v/>
      </c>
      <c r="K336">
        <f>IFERROR(VLOOKUP(D336,'Schedule Lookup'!$A:$H,4,0),0)</f>
        <v/>
      </c>
      <c r="L336">
        <f>IFERROR(VLOOKUP(D336,'Schedule Lookup'!$A:$H,5,0),0)</f>
        <v/>
      </c>
      <c r="M336">
        <f>IFERROR(VLOOKUP(D336,'Schedule Lookup'!$A:$H,6,0),0)</f>
        <v/>
      </c>
      <c r="N336">
        <f>IFERROR(VLOOKUP(D336,'Schedule Lookup'!$A:$H,7,0),0)</f>
        <v/>
      </c>
      <c r="O336">
        <f>IFERROR(VLOOKUP(D336,'Schedule Lookup'!$A:$H,8,0),0)</f>
        <v/>
      </c>
      <c r="T336">
        <f>IF(AND(E336&lt;TIME(9,0,0),F336&gt;TIME(0,0,1)),1,0)</f>
        <v/>
      </c>
      <c r="U336">
        <f>IF(AND(E336&lt;TIME(17,0,0),F336&gt;TIME(9,0,0)),1,0)</f>
        <v/>
      </c>
      <c r="V336">
        <f>IF(AND(E336&lt;TIME(21,0,0),F336&gt;TIME(17,0,0)),1,0)</f>
        <v/>
      </c>
      <c r="W336">
        <f>IF(F336&gt;TIME(17,0,0),1,0)</f>
        <v/>
      </c>
    </row>
    <row r="337">
      <c r="I337">
        <f>IFERROR(VLOOKUP(D337,'Schedule Lookup'!$A:$H,2,0),0)</f>
        <v/>
      </c>
      <c r="J337">
        <f>IFERROR(VLOOKUP(D337,'Schedule Lookup'!$A:$H,3,0),0)</f>
        <v/>
      </c>
      <c r="K337">
        <f>IFERROR(VLOOKUP(D337,'Schedule Lookup'!$A:$H,4,0),0)</f>
        <v/>
      </c>
      <c r="L337">
        <f>IFERROR(VLOOKUP(D337,'Schedule Lookup'!$A:$H,5,0),0)</f>
        <v/>
      </c>
      <c r="M337">
        <f>IFERROR(VLOOKUP(D337,'Schedule Lookup'!$A:$H,6,0),0)</f>
        <v/>
      </c>
      <c r="N337">
        <f>IFERROR(VLOOKUP(D337,'Schedule Lookup'!$A:$H,7,0),0)</f>
        <v/>
      </c>
      <c r="O337">
        <f>IFERROR(VLOOKUP(D337,'Schedule Lookup'!$A:$H,8,0),0)</f>
        <v/>
      </c>
      <c r="T337">
        <f>IF(AND(E337&lt;TIME(9,0,0),F337&gt;TIME(0,0,1)),1,0)</f>
        <v/>
      </c>
      <c r="U337">
        <f>IF(AND(E337&lt;TIME(17,0,0),F337&gt;TIME(9,0,0)),1,0)</f>
        <v/>
      </c>
      <c r="V337">
        <f>IF(AND(E337&lt;TIME(21,0,0),F337&gt;TIME(17,0,0)),1,0)</f>
        <v/>
      </c>
      <c r="W337">
        <f>IF(F337&gt;TIME(17,0,0),1,0)</f>
        <v/>
      </c>
    </row>
    <row r="338">
      <c r="I338">
        <f>IFERROR(VLOOKUP(D338,'Schedule Lookup'!$A:$H,2,0),0)</f>
        <v/>
      </c>
      <c r="J338">
        <f>IFERROR(VLOOKUP(D338,'Schedule Lookup'!$A:$H,3,0),0)</f>
        <v/>
      </c>
      <c r="K338">
        <f>IFERROR(VLOOKUP(D338,'Schedule Lookup'!$A:$H,4,0),0)</f>
        <v/>
      </c>
      <c r="L338">
        <f>IFERROR(VLOOKUP(D338,'Schedule Lookup'!$A:$H,5,0),0)</f>
        <v/>
      </c>
      <c r="M338">
        <f>IFERROR(VLOOKUP(D338,'Schedule Lookup'!$A:$H,6,0),0)</f>
        <v/>
      </c>
      <c r="N338">
        <f>IFERROR(VLOOKUP(D338,'Schedule Lookup'!$A:$H,7,0),0)</f>
        <v/>
      </c>
      <c r="O338">
        <f>IFERROR(VLOOKUP(D338,'Schedule Lookup'!$A:$H,8,0),0)</f>
        <v/>
      </c>
      <c r="T338">
        <f>IF(AND(E338&lt;TIME(9,0,0),F338&gt;TIME(0,0,1)),1,0)</f>
        <v/>
      </c>
      <c r="U338">
        <f>IF(AND(E338&lt;TIME(17,0,0),F338&gt;TIME(9,0,0)),1,0)</f>
        <v/>
      </c>
      <c r="V338">
        <f>IF(AND(E338&lt;TIME(21,0,0),F338&gt;TIME(17,0,0)),1,0)</f>
        <v/>
      </c>
      <c r="W338">
        <f>IF(F338&gt;TIME(17,0,0),1,0)</f>
        <v/>
      </c>
    </row>
    <row r="339">
      <c r="I339">
        <f>IFERROR(VLOOKUP(D339,'Schedule Lookup'!$A:$H,2,0),0)</f>
        <v/>
      </c>
      <c r="J339">
        <f>IFERROR(VLOOKUP(D339,'Schedule Lookup'!$A:$H,3,0),0)</f>
        <v/>
      </c>
      <c r="K339">
        <f>IFERROR(VLOOKUP(D339,'Schedule Lookup'!$A:$H,4,0),0)</f>
        <v/>
      </c>
      <c r="L339">
        <f>IFERROR(VLOOKUP(D339,'Schedule Lookup'!$A:$H,5,0),0)</f>
        <v/>
      </c>
      <c r="M339">
        <f>IFERROR(VLOOKUP(D339,'Schedule Lookup'!$A:$H,6,0),0)</f>
        <v/>
      </c>
      <c r="N339">
        <f>IFERROR(VLOOKUP(D339,'Schedule Lookup'!$A:$H,7,0),0)</f>
        <v/>
      </c>
      <c r="O339">
        <f>IFERROR(VLOOKUP(D339,'Schedule Lookup'!$A:$H,8,0),0)</f>
        <v/>
      </c>
      <c r="T339">
        <f>IF(AND(E339&lt;TIME(9,0,0),F339&gt;TIME(0,0,1)),1,0)</f>
        <v/>
      </c>
      <c r="U339">
        <f>IF(AND(E339&lt;TIME(17,0,0),F339&gt;TIME(9,0,0)),1,0)</f>
        <v/>
      </c>
      <c r="V339">
        <f>IF(AND(E339&lt;TIME(21,0,0),F339&gt;TIME(17,0,0)),1,0)</f>
        <v/>
      </c>
      <c r="W339">
        <f>IF(F339&gt;TIME(17,0,0),1,0)</f>
        <v/>
      </c>
    </row>
    <row r="340">
      <c r="I340">
        <f>IFERROR(VLOOKUP(D340,'Schedule Lookup'!$A:$H,2,0),0)</f>
        <v/>
      </c>
      <c r="J340">
        <f>IFERROR(VLOOKUP(D340,'Schedule Lookup'!$A:$H,3,0),0)</f>
        <v/>
      </c>
      <c r="K340">
        <f>IFERROR(VLOOKUP(D340,'Schedule Lookup'!$A:$H,4,0),0)</f>
        <v/>
      </c>
      <c r="L340">
        <f>IFERROR(VLOOKUP(D340,'Schedule Lookup'!$A:$H,5,0),0)</f>
        <v/>
      </c>
      <c r="M340">
        <f>IFERROR(VLOOKUP(D340,'Schedule Lookup'!$A:$H,6,0),0)</f>
        <v/>
      </c>
      <c r="N340">
        <f>IFERROR(VLOOKUP(D340,'Schedule Lookup'!$A:$H,7,0),0)</f>
        <v/>
      </c>
      <c r="O340">
        <f>IFERROR(VLOOKUP(D340,'Schedule Lookup'!$A:$H,8,0),0)</f>
        <v/>
      </c>
      <c r="T340">
        <f>IF(AND(E340&lt;TIME(9,0,0),F340&gt;TIME(0,0,1)),1,0)</f>
        <v/>
      </c>
      <c r="U340">
        <f>IF(AND(E340&lt;TIME(17,0,0),F340&gt;TIME(9,0,0)),1,0)</f>
        <v/>
      </c>
      <c r="V340">
        <f>IF(AND(E340&lt;TIME(21,0,0),F340&gt;TIME(17,0,0)),1,0)</f>
        <v/>
      </c>
      <c r="W340">
        <f>IF(F340&gt;TIME(17,0,0),1,0)</f>
        <v/>
      </c>
    </row>
    <row r="341">
      <c r="I341">
        <f>IFERROR(VLOOKUP(D341,'Schedule Lookup'!$A:$H,2,0),0)</f>
        <v/>
      </c>
      <c r="J341">
        <f>IFERROR(VLOOKUP(D341,'Schedule Lookup'!$A:$H,3,0),0)</f>
        <v/>
      </c>
      <c r="K341">
        <f>IFERROR(VLOOKUP(D341,'Schedule Lookup'!$A:$H,4,0),0)</f>
        <v/>
      </c>
      <c r="L341">
        <f>IFERROR(VLOOKUP(D341,'Schedule Lookup'!$A:$H,5,0),0)</f>
        <v/>
      </c>
      <c r="M341">
        <f>IFERROR(VLOOKUP(D341,'Schedule Lookup'!$A:$H,6,0),0)</f>
        <v/>
      </c>
      <c r="N341">
        <f>IFERROR(VLOOKUP(D341,'Schedule Lookup'!$A:$H,7,0),0)</f>
        <v/>
      </c>
      <c r="O341">
        <f>IFERROR(VLOOKUP(D341,'Schedule Lookup'!$A:$H,8,0),0)</f>
        <v/>
      </c>
      <c r="T341">
        <f>IF(AND(E341&lt;TIME(9,0,0),F341&gt;TIME(0,0,1)),1,0)</f>
        <v/>
      </c>
      <c r="U341">
        <f>IF(AND(E341&lt;TIME(17,0,0),F341&gt;TIME(9,0,0)),1,0)</f>
        <v/>
      </c>
      <c r="V341">
        <f>IF(AND(E341&lt;TIME(21,0,0),F341&gt;TIME(17,0,0)),1,0)</f>
        <v/>
      </c>
      <c r="W341">
        <f>IF(F341&gt;TIME(17,0,0),1,0)</f>
        <v/>
      </c>
    </row>
    <row r="342">
      <c r="I342">
        <f>IFERROR(VLOOKUP(D342,'Schedule Lookup'!$A:$H,2,0),0)</f>
        <v/>
      </c>
      <c r="J342">
        <f>IFERROR(VLOOKUP(D342,'Schedule Lookup'!$A:$H,3,0),0)</f>
        <v/>
      </c>
      <c r="K342">
        <f>IFERROR(VLOOKUP(D342,'Schedule Lookup'!$A:$H,4,0),0)</f>
        <v/>
      </c>
      <c r="L342">
        <f>IFERROR(VLOOKUP(D342,'Schedule Lookup'!$A:$H,5,0),0)</f>
        <v/>
      </c>
      <c r="M342">
        <f>IFERROR(VLOOKUP(D342,'Schedule Lookup'!$A:$H,6,0),0)</f>
        <v/>
      </c>
      <c r="N342">
        <f>IFERROR(VLOOKUP(D342,'Schedule Lookup'!$A:$H,7,0),0)</f>
        <v/>
      </c>
      <c r="O342">
        <f>IFERROR(VLOOKUP(D342,'Schedule Lookup'!$A:$H,8,0),0)</f>
        <v/>
      </c>
      <c r="T342">
        <f>IF(AND(E342&lt;TIME(9,0,0),F342&gt;TIME(0,0,1)),1,0)</f>
        <v/>
      </c>
      <c r="U342">
        <f>IF(AND(E342&lt;TIME(17,0,0),F342&gt;TIME(9,0,0)),1,0)</f>
        <v/>
      </c>
      <c r="V342">
        <f>IF(AND(E342&lt;TIME(21,0,0),F342&gt;TIME(17,0,0)),1,0)</f>
        <v/>
      </c>
      <c r="W342">
        <f>IF(F342&gt;TIME(17,0,0),1,0)</f>
        <v/>
      </c>
    </row>
    <row r="343">
      <c r="I343">
        <f>IFERROR(VLOOKUP(D343,'Schedule Lookup'!$A:$H,2,0),0)</f>
        <v/>
      </c>
      <c r="J343">
        <f>IFERROR(VLOOKUP(D343,'Schedule Lookup'!$A:$H,3,0),0)</f>
        <v/>
      </c>
      <c r="K343">
        <f>IFERROR(VLOOKUP(D343,'Schedule Lookup'!$A:$H,4,0),0)</f>
        <v/>
      </c>
      <c r="L343">
        <f>IFERROR(VLOOKUP(D343,'Schedule Lookup'!$A:$H,5,0),0)</f>
        <v/>
      </c>
      <c r="M343">
        <f>IFERROR(VLOOKUP(D343,'Schedule Lookup'!$A:$H,6,0),0)</f>
        <v/>
      </c>
      <c r="N343">
        <f>IFERROR(VLOOKUP(D343,'Schedule Lookup'!$A:$H,7,0),0)</f>
        <v/>
      </c>
      <c r="O343">
        <f>IFERROR(VLOOKUP(D343,'Schedule Lookup'!$A:$H,8,0),0)</f>
        <v/>
      </c>
      <c r="T343">
        <f>IF(AND(E343&lt;TIME(9,0,0),F343&gt;TIME(0,0,1)),1,0)</f>
        <v/>
      </c>
      <c r="U343">
        <f>IF(AND(E343&lt;TIME(17,0,0),F343&gt;TIME(9,0,0)),1,0)</f>
        <v/>
      </c>
      <c r="V343">
        <f>IF(AND(E343&lt;TIME(21,0,0),F343&gt;TIME(17,0,0)),1,0)</f>
        <v/>
      </c>
      <c r="W343">
        <f>IF(F343&gt;TIME(17,0,0),1,0)</f>
        <v/>
      </c>
    </row>
    <row r="344">
      <c r="I344">
        <f>IFERROR(VLOOKUP(D344,'Schedule Lookup'!$A:$H,2,0),0)</f>
        <v/>
      </c>
      <c r="J344">
        <f>IFERROR(VLOOKUP(D344,'Schedule Lookup'!$A:$H,3,0),0)</f>
        <v/>
      </c>
      <c r="K344">
        <f>IFERROR(VLOOKUP(D344,'Schedule Lookup'!$A:$H,4,0),0)</f>
        <v/>
      </c>
      <c r="L344">
        <f>IFERROR(VLOOKUP(D344,'Schedule Lookup'!$A:$H,5,0),0)</f>
        <v/>
      </c>
      <c r="M344">
        <f>IFERROR(VLOOKUP(D344,'Schedule Lookup'!$A:$H,6,0),0)</f>
        <v/>
      </c>
      <c r="N344">
        <f>IFERROR(VLOOKUP(D344,'Schedule Lookup'!$A:$H,7,0),0)</f>
        <v/>
      </c>
      <c r="O344">
        <f>IFERROR(VLOOKUP(D344,'Schedule Lookup'!$A:$H,8,0),0)</f>
        <v/>
      </c>
      <c r="T344">
        <f>IF(AND(E344&lt;TIME(9,0,0),F344&gt;TIME(0,0,1)),1,0)</f>
        <v/>
      </c>
      <c r="U344">
        <f>IF(AND(E344&lt;TIME(17,0,0),F344&gt;TIME(9,0,0)),1,0)</f>
        <v/>
      </c>
      <c r="V344">
        <f>IF(AND(E344&lt;TIME(21,0,0),F344&gt;TIME(17,0,0)),1,0)</f>
        <v/>
      </c>
      <c r="W344">
        <f>IF(F344&gt;TIME(17,0,0),1,0)</f>
        <v/>
      </c>
    </row>
    <row r="345">
      <c r="I345">
        <f>IFERROR(VLOOKUP(D345,'Schedule Lookup'!$A:$H,2,0),0)</f>
        <v/>
      </c>
      <c r="J345">
        <f>IFERROR(VLOOKUP(D345,'Schedule Lookup'!$A:$H,3,0),0)</f>
        <v/>
      </c>
      <c r="K345">
        <f>IFERROR(VLOOKUP(D345,'Schedule Lookup'!$A:$H,4,0),0)</f>
        <v/>
      </c>
      <c r="L345">
        <f>IFERROR(VLOOKUP(D345,'Schedule Lookup'!$A:$H,5,0),0)</f>
        <v/>
      </c>
      <c r="M345">
        <f>IFERROR(VLOOKUP(D345,'Schedule Lookup'!$A:$H,6,0),0)</f>
        <v/>
      </c>
      <c r="N345">
        <f>IFERROR(VLOOKUP(D345,'Schedule Lookup'!$A:$H,7,0),0)</f>
        <v/>
      </c>
      <c r="O345">
        <f>IFERROR(VLOOKUP(D345,'Schedule Lookup'!$A:$H,8,0),0)</f>
        <v/>
      </c>
      <c r="T345">
        <f>IF(AND(E345&lt;TIME(9,0,0),F345&gt;TIME(0,0,1)),1,0)</f>
        <v/>
      </c>
      <c r="U345">
        <f>IF(AND(E345&lt;TIME(17,0,0),F345&gt;TIME(9,0,0)),1,0)</f>
        <v/>
      </c>
      <c r="V345">
        <f>IF(AND(E345&lt;TIME(21,0,0),F345&gt;TIME(17,0,0)),1,0)</f>
        <v/>
      </c>
      <c r="W345">
        <f>IF(F345&gt;TIME(17,0,0),1,0)</f>
        <v/>
      </c>
    </row>
    <row r="346">
      <c r="I346">
        <f>IFERROR(VLOOKUP(D346,'Schedule Lookup'!$A:$H,2,0),0)</f>
        <v/>
      </c>
      <c r="J346">
        <f>IFERROR(VLOOKUP(D346,'Schedule Lookup'!$A:$H,3,0),0)</f>
        <v/>
      </c>
      <c r="K346">
        <f>IFERROR(VLOOKUP(D346,'Schedule Lookup'!$A:$H,4,0),0)</f>
        <v/>
      </c>
      <c r="L346">
        <f>IFERROR(VLOOKUP(D346,'Schedule Lookup'!$A:$H,5,0),0)</f>
        <v/>
      </c>
      <c r="M346">
        <f>IFERROR(VLOOKUP(D346,'Schedule Lookup'!$A:$H,6,0),0)</f>
        <v/>
      </c>
      <c r="N346">
        <f>IFERROR(VLOOKUP(D346,'Schedule Lookup'!$A:$H,7,0),0)</f>
        <v/>
      </c>
      <c r="O346">
        <f>IFERROR(VLOOKUP(D346,'Schedule Lookup'!$A:$H,8,0),0)</f>
        <v/>
      </c>
      <c r="T346">
        <f>IF(AND(E346&lt;TIME(9,0,0),F346&gt;TIME(0,0,1)),1,0)</f>
        <v/>
      </c>
      <c r="U346">
        <f>IF(AND(E346&lt;TIME(17,0,0),F346&gt;TIME(9,0,0)),1,0)</f>
        <v/>
      </c>
      <c r="V346">
        <f>IF(AND(E346&lt;TIME(21,0,0),F346&gt;TIME(17,0,0)),1,0)</f>
        <v/>
      </c>
      <c r="W346">
        <f>IF(F346&gt;TIME(17,0,0),1,0)</f>
        <v/>
      </c>
    </row>
    <row r="347">
      <c r="I347">
        <f>IFERROR(VLOOKUP(D347,'Schedule Lookup'!$A:$H,2,0),0)</f>
        <v/>
      </c>
      <c r="J347">
        <f>IFERROR(VLOOKUP(D347,'Schedule Lookup'!$A:$H,3,0),0)</f>
        <v/>
      </c>
      <c r="K347">
        <f>IFERROR(VLOOKUP(D347,'Schedule Lookup'!$A:$H,4,0),0)</f>
        <v/>
      </c>
      <c r="L347">
        <f>IFERROR(VLOOKUP(D347,'Schedule Lookup'!$A:$H,5,0),0)</f>
        <v/>
      </c>
      <c r="M347">
        <f>IFERROR(VLOOKUP(D347,'Schedule Lookup'!$A:$H,6,0),0)</f>
        <v/>
      </c>
      <c r="N347">
        <f>IFERROR(VLOOKUP(D347,'Schedule Lookup'!$A:$H,7,0),0)</f>
        <v/>
      </c>
      <c r="O347">
        <f>IFERROR(VLOOKUP(D347,'Schedule Lookup'!$A:$H,8,0),0)</f>
        <v/>
      </c>
      <c r="T347">
        <f>IF(AND(E347&lt;TIME(9,0,0),F347&gt;TIME(0,0,1)),1,0)</f>
        <v/>
      </c>
      <c r="U347">
        <f>IF(AND(E347&lt;TIME(17,0,0),F347&gt;TIME(9,0,0)),1,0)</f>
        <v/>
      </c>
      <c r="V347">
        <f>IF(AND(E347&lt;TIME(21,0,0),F347&gt;TIME(17,0,0)),1,0)</f>
        <v/>
      </c>
      <c r="W347">
        <f>IF(F347&gt;TIME(17,0,0),1,0)</f>
        <v/>
      </c>
    </row>
    <row r="348">
      <c r="I348">
        <f>IFERROR(VLOOKUP(D348,'Schedule Lookup'!$A:$H,2,0),0)</f>
        <v/>
      </c>
      <c r="J348">
        <f>IFERROR(VLOOKUP(D348,'Schedule Lookup'!$A:$H,3,0),0)</f>
        <v/>
      </c>
      <c r="K348">
        <f>IFERROR(VLOOKUP(D348,'Schedule Lookup'!$A:$H,4,0),0)</f>
        <v/>
      </c>
      <c r="L348">
        <f>IFERROR(VLOOKUP(D348,'Schedule Lookup'!$A:$H,5,0),0)</f>
        <v/>
      </c>
      <c r="M348">
        <f>IFERROR(VLOOKUP(D348,'Schedule Lookup'!$A:$H,6,0),0)</f>
        <v/>
      </c>
      <c r="N348">
        <f>IFERROR(VLOOKUP(D348,'Schedule Lookup'!$A:$H,7,0),0)</f>
        <v/>
      </c>
      <c r="O348">
        <f>IFERROR(VLOOKUP(D348,'Schedule Lookup'!$A:$H,8,0),0)</f>
        <v/>
      </c>
      <c r="T348">
        <f>IF(AND(E348&lt;TIME(9,0,0),F348&gt;TIME(0,0,1)),1,0)</f>
        <v/>
      </c>
      <c r="U348">
        <f>IF(AND(E348&lt;TIME(17,0,0),F348&gt;TIME(9,0,0)),1,0)</f>
        <v/>
      </c>
      <c r="V348">
        <f>IF(AND(E348&lt;TIME(21,0,0),F348&gt;TIME(17,0,0)),1,0)</f>
        <v/>
      </c>
      <c r="W348">
        <f>IF(F348&gt;TIME(17,0,0),1,0)</f>
        <v/>
      </c>
    </row>
    <row r="349">
      <c r="I349">
        <f>IFERROR(VLOOKUP(D349,'Schedule Lookup'!$A:$H,2,0),0)</f>
        <v/>
      </c>
      <c r="J349">
        <f>IFERROR(VLOOKUP(D349,'Schedule Lookup'!$A:$H,3,0),0)</f>
        <v/>
      </c>
      <c r="K349">
        <f>IFERROR(VLOOKUP(D349,'Schedule Lookup'!$A:$H,4,0),0)</f>
        <v/>
      </c>
      <c r="L349">
        <f>IFERROR(VLOOKUP(D349,'Schedule Lookup'!$A:$H,5,0),0)</f>
        <v/>
      </c>
      <c r="M349">
        <f>IFERROR(VLOOKUP(D349,'Schedule Lookup'!$A:$H,6,0),0)</f>
        <v/>
      </c>
      <c r="N349">
        <f>IFERROR(VLOOKUP(D349,'Schedule Lookup'!$A:$H,7,0),0)</f>
        <v/>
      </c>
      <c r="O349">
        <f>IFERROR(VLOOKUP(D349,'Schedule Lookup'!$A:$H,8,0),0)</f>
        <v/>
      </c>
      <c r="T349">
        <f>IF(AND(E349&lt;TIME(9,0,0),F349&gt;TIME(0,0,1)),1,0)</f>
        <v/>
      </c>
      <c r="U349">
        <f>IF(AND(E349&lt;TIME(17,0,0),F349&gt;TIME(9,0,0)),1,0)</f>
        <v/>
      </c>
      <c r="V349">
        <f>IF(AND(E349&lt;TIME(21,0,0),F349&gt;TIME(17,0,0)),1,0)</f>
        <v/>
      </c>
      <c r="W349">
        <f>IF(F349&gt;TIME(17,0,0),1,0)</f>
        <v/>
      </c>
    </row>
    <row r="350">
      <c r="I350">
        <f>IFERROR(VLOOKUP(D350,'Schedule Lookup'!$A:$H,2,0),0)</f>
        <v/>
      </c>
      <c r="J350">
        <f>IFERROR(VLOOKUP(D350,'Schedule Lookup'!$A:$H,3,0),0)</f>
        <v/>
      </c>
      <c r="K350">
        <f>IFERROR(VLOOKUP(D350,'Schedule Lookup'!$A:$H,4,0),0)</f>
        <v/>
      </c>
      <c r="L350">
        <f>IFERROR(VLOOKUP(D350,'Schedule Lookup'!$A:$H,5,0),0)</f>
        <v/>
      </c>
      <c r="M350">
        <f>IFERROR(VLOOKUP(D350,'Schedule Lookup'!$A:$H,6,0),0)</f>
        <v/>
      </c>
      <c r="N350">
        <f>IFERROR(VLOOKUP(D350,'Schedule Lookup'!$A:$H,7,0),0)</f>
        <v/>
      </c>
      <c r="O350">
        <f>IFERROR(VLOOKUP(D350,'Schedule Lookup'!$A:$H,8,0),0)</f>
        <v/>
      </c>
      <c r="T350">
        <f>IF(AND(E350&lt;TIME(9,0,0),F350&gt;TIME(0,0,1)),1,0)</f>
        <v/>
      </c>
      <c r="U350">
        <f>IF(AND(E350&lt;TIME(17,0,0),F350&gt;TIME(9,0,0)),1,0)</f>
        <v/>
      </c>
      <c r="V350">
        <f>IF(AND(E350&lt;TIME(21,0,0),F350&gt;TIME(17,0,0)),1,0)</f>
        <v/>
      </c>
      <c r="W350">
        <f>IF(F350&gt;TIME(17,0,0),1,0)</f>
        <v/>
      </c>
    </row>
    <row r="351">
      <c r="I351">
        <f>IFERROR(VLOOKUP(D351,'Schedule Lookup'!$A:$H,2,0),0)</f>
        <v/>
      </c>
      <c r="J351">
        <f>IFERROR(VLOOKUP(D351,'Schedule Lookup'!$A:$H,3,0),0)</f>
        <v/>
      </c>
      <c r="K351">
        <f>IFERROR(VLOOKUP(D351,'Schedule Lookup'!$A:$H,4,0),0)</f>
        <v/>
      </c>
      <c r="L351">
        <f>IFERROR(VLOOKUP(D351,'Schedule Lookup'!$A:$H,5,0),0)</f>
        <v/>
      </c>
      <c r="M351">
        <f>IFERROR(VLOOKUP(D351,'Schedule Lookup'!$A:$H,6,0),0)</f>
        <v/>
      </c>
      <c r="N351">
        <f>IFERROR(VLOOKUP(D351,'Schedule Lookup'!$A:$H,7,0),0)</f>
        <v/>
      </c>
      <c r="O351">
        <f>IFERROR(VLOOKUP(D351,'Schedule Lookup'!$A:$H,8,0),0)</f>
        <v/>
      </c>
      <c r="T351">
        <f>IF(AND(E351&lt;TIME(9,0,0),F351&gt;TIME(0,0,1)),1,0)</f>
        <v/>
      </c>
      <c r="U351">
        <f>IF(AND(E351&lt;TIME(17,0,0),F351&gt;TIME(9,0,0)),1,0)</f>
        <v/>
      </c>
      <c r="V351">
        <f>IF(AND(E351&lt;TIME(21,0,0),F351&gt;TIME(17,0,0)),1,0)</f>
        <v/>
      </c>
      <c r="W351">
        <f>IF(F351&gt;TIME(17,0,0),1,0)</f>
        <v/>
      </c>
    </row>
    <row r="352">
      <c r="I352">
        <f>IFERROR(VLOOKUP(D352,'Schedule Lookup'!$A:$H,2,0),0)</f>
        <v/>
      </c>
      <c r="J352">
        <f>IFERROR(VLOOKUP(D352,'Schedule Lookup'!$A:$H,3,0),0)</f>
        <v/>
      </c>
      <c r="K352">
        <f>IFERROR(VLOOKUP(D352,'Schedule Lookup'!$A:$H,4,0),0)</f>
        <v/>
      </c>
      <c r="L352">
        <f>IFERROR(VLOOKUP(D352,'Schedule Lookup'!$A:$H,5,0),0)</f>
        <v/>
      </c>
      <c r="M352">
        <f>IFERROR(VLOOKUP(D352,'Schedule Lookup'!$A:$H,6,0),0)</f>
        <v/>
      </c>
      <c r="N352">
        <f>IFERROR(VLOOKUP(D352,'Schedule Lookup'!$A:$H,7,0),0)</f>
        <v/>
      </c>
      <c r="O352">
        <f>IFERROR(VLOOKUP(D352,'Schedule Lookup'!$A:$H,8,0),0)</f>
        <v/>
      </c>
      <c r="T352">
        <f>IF(AND(E352&lt;TIME(9,0,0),F352&gt;TIME(0,0,1)),1,0)</f>
        <v/>
      </c>
      <c r="U352">
        <f>IF(AND(E352&lt;TIME(17,0,0),F352&gt;TIME(9,0,0)),1,0)</f>
        <v/>
      </c>
      <c r="V352">
        <f>IF(AND(E352&lt;TIME(21,0,0),F352&gt;TIME(17,0,0)),1,0)</f>
        <v/>
      </c>
      <c r="W352">
        <f>IF(F352&gt;TIME(17,0,0),1,0)</f>
        <v/>
      </c>
    </row>
    <row r="353">
      <c r="I353">
        <f>IFERROR(VLOOKUP(D353,'Schedule Lookup'!$A:$H,2,0),0)</f>
        <v/>
      </c>
      <c r="J353">
        <f>IFERROR(VLOOKUP(D353,'Schedule Lookup'!$A:$H,3,0),0)</f>
        <v/>
      </c>
      <c r="K353">
        <f>IFERROR(VLOOKUP(D353,'Schedule Lookup'!$A:$H,4,0),0)</f>
        <v/>
      </c>
      <c r="L353">
        <f>IFERROR(VLOOKUP(D353,'Schedule Lookup'!$A:$H,5,0),0)</f>
        <v/>
      </c>
      <c r="M353">
        <f>IFERROR(VLOOKUP(D353,'Schedule Lookup'!$A:$H,6,0),0)</f>
        <v/>
      </c>
      <c r="N353">
        <f>IFERROR(VLOOKUP(D353,'Schedule Lookup'!$A:$H,7,0),0)</f>
        <v/>
      </c>
      <c r="O353">
        <f>IFERROR(VLOOKUP(D353,'Schedule Lookup'!$A:$H,8,0),0)</f>
        <v/>
      </c>
      <c r="T353">
        <f>IF(AND(E353&lt;TIME(9,0,0),F353&gt;TIME(0,0,1)),1,0)</f>
        <v/>
      </c>
      <c r="U353">
        <f>IF(AND(E353&lt;TIME(17,0,0),F353&gt;TIME(9,0,0)),1,0)</f>
        <v/>
      </c>
      <c r="V353">
        <f>IF(AND(E353&lt;TIME(21,0,0),F353&gt;TIME(17,0,0)),1,0)</f>
        <v/>
      </c>
      <c r="W353">
        <f>IF(F353&gt;TIME(17,0,0),1,0)</f>
        <v/>
      </c>
    </row>
    <row r="354">
      <c r="I354">
        <f>IFERROR(VLOOKUP(D354,'Schedule Lookup'!$A:$H,2,0),0)</f>
        <v/>
      </c>
      <c r="J354">
        <f>IFERROR(VLOOKUP(D354,'Schedule Lookup'!$A:$H,3,0),0)</f>
        <v/>
      </c>
      <c r="K354">
        <f>IFERROR(VLOOKUP(D354,'Schedule Lookup'!$A:$H,4,0),0)</f>
        <v/>
      </c>
      <c r="L354">
        <f>IFERROR(VLOOKUP(D354,'Schedule Lookup'!$A:$H,5,0),0)</f>
        <v/>
      </c>
      <c r="M354">
        <f>IFERROR(VLOOKUP(D354,'Schedule Lookup'!$A:$H,6,0),0)</f>
        <v/>
      </c>
      <c r="N354">
        <f>IFERROR(VLOOKUP(D354,'Schedule Lookup'!$A:$H,7,0),0)</f>
        <v/>
      </c>
      <c r="O354">
        <f>IFERROR(VLOOKUP(D354,'Schedule Lookup'!$A:$H,8,0),0)</f>
        <v/>
      </c>
      <c r="T354">
        <f>IF(AND(E354&lt;TIME(9,0,0),F354&gt;TIME(0,0,1)),1,0)</f>
        <v/>
      </c>
      <c r="U354">
        <f>IF(AND(E354&lt;TIME(17,0,0),F354&gt;TIME(9,0,0)),1,0)</f>
        <v/>
      </c>
      <c r="V354">
        <f>IF(AND(E354&lt;TIME(21,0,0),F354&gt;TIME(17,0,0)),1,0)</f>
        <v/>
      </c>
      <c r="W354">
        <f>IF(F354&gt;TIME(17,0,0),1,0)</f>
        <v/>
      </c>
    </row>
    <row r="355">
      <c r="I355">
        <f>IFERROR(VLOOKUP(D355,'Schedule Lookup'!$A:$H,2,0),0)</f>
        <v/>
      </c>
      <c r="J355">
        <f>IFERROR(VLOOKUP(D355,'Schedule Lookup'!$A:$H,3,0),0)</f>
        <v/>
      </c>
      <c r="K355">
        <f>IFERROR(VLOOKUP(D355,'Schedule Lookup'!$A:$H,4,0),0)</f>
        <v/>
      </c>
      <c r="L355">
        <f>IFERROR(VLOOKUP(D355,'Schedule Lookup'!$A:$H,5,0),0)</f>
        <v/>
      </c>
      <c r="M355">
        <f>IFERROR(VLOOKUP(D355,'Schedule Lookup'!$A:$H,6,0),0)</f>
        <v/>
      </c>
      <c r="N355">
        <f>IFERROR(VLOOKUP(D355,'Schedule Lookup'!$A:$H,7,0),0)</f>
        <v/>
      </c>
      <c r="O355">
        <f>IFERROR(VLOOKUP(D355,'Schedule Lookup'!$A:$H,8,0),0)</f>
        <v/>
      </c>
      <c r="T355">
        <f>IF(AND(E355&lt;TIME(9,0,0),F355&gt;TIME(0,0,1)),1,0)</f>
        <v/>
      </c>
      <c r="U355">
        <f>IF(AND(E355&lt;TIME(17,0,0),F355&gt;TIME(9,0,0)),1,0)</f>
        <v/>
      </c>
      <c r="V355">
        <f>IF(AND(E355&lt;TIME(21,0,0),F355&gt;TIME(17,0,0)),1,0)</f>
        <v/>
      </c>
      <c r="W355">
        <f>IF(F355&gt;TIME(17,0,0),1,0)</f>
        <v/>
      </c>
    </row>
    <row r="356">
      <c r="I356">
        <f>IFERROR(VLOOKUP(D356,'Schedule Lookup'!$A:$H,2,0),0)</f>
        <v/>
      </c>
      <c r="J356">
        <f>IFERROR(VLOOKUP(D356,'Schedule Lookup'!$A:$H,3,0),0)</f>
        <v/>
      </c>
      <c r="K356">
        <f>IFERROR(VLOOKUP(D356,'Schedule Lookup'!$A:$H,4,0),0)</f>
        <v/>
      </c>
      <c r="L356">
        <f>IFERROR(VLOOKUP(D356,'Schedule Lookup'!$A:$H,5,0),0)</f>
        <v/>
      </c>
      <c r="M356">
        <f>IFERROR(VLOOKUP(D356,'Schedule Lookup'!$A:$H,6,0),0)</f>
        <v/>
      </c>
      <c r="N356">
        <f>IFERROR(VLOOKUP(D356,'Schedule Lookup'!$A:$H,7,0),0)</f>
        <v/>
      </c>
      <c r="O356">
        <f>IFERROR(VLOOKUP(D356,'Schedule Lookup'!$A:$H,8,0),0)</f>
        <v/>
      </c>
      <c r="T356">
        <f>IF(AND(E356&lt;TIME(9,0,0),F356&gt;TIME(0,0,1)),1,0)</f>
        <v/>
      </c>
      <c r="U356">
        <f>IF(AND(E356&lt;TIME(17,0,0),F356&gt;TIME(9,0,0)),1,0)</f>
        <v/>
      </c>
      <c r="V356">
        <f>IF(AND(E356&lt;TIME(21,0,0),F356&gt;TIME(17,0,0)),1,0)</f>
        <v/>
      </c>
      <c r="W356">
        <f>IF(F356&gt;TIME(17,0,0),1,0)</f>
        <v/>
      </c>
    </row>
    <row r="357">
      <c r="I357">
        <f>IFERROR(VLOOKUP(D357,'Schedule Lookup'!$A:$H,2,0),0)</f>
        <v/>
      </c>
      <c r="J357">
        <f>IFERROR(VLOOKUP(D357,'Schedule Lookup'!$A:$H,3,0),0)</f>
        <v/>
      </c>
      <c r="K357">
        <f>IFERROR(VLOOKUP(D357,'Schedule Lookup'!$A:$H,4,0),0)</f>
        <v/>
      </c>
      <c r="L357">
        <f>IFERROR(VLOOKUP(D357,'Schedule Lookup'!$A:$H,5,0),0)</f>
        <v/>
      </c>
      <c r="M357">
        <f>IFERROR(VLOOKUP(D357,'Schedule Lookup'!$A:$H,6,0),0)</f>
        <v/>
      </c>
      <c r="N357">
        <f>IFERROR(VLOOKUP(D357,'Schedule Lookup'!$A:$H,7,0),0)</f>
        <v/>
      </c>
      <c r="O357">
        <f>IFERROR(VLOOKUP(D357,'Schedule Lookup'!$A:$H,8,0),0)</f>
        <v/>
      </c>
      <c r="T357">
        <f>IF(AND(E357&lt;TIME(9,0,0),F357&gt;TIME(0,0,1)),1,0)</f>
        <v/>
      </c>
      <c r="U357">
        <f>IF(AND(E357&lt;TIME(17,0,0),F357&gt;TIME(9,0,0)),1,0)</f>
        <v/>
      </c>
      <c r="V357">
        <f>IF(AND(E357&lt;TIME(21,0,0),F357&gt;TIME(17,0,0)),1,0)</f>
        <v/>
      </c>
      <c r="W357">
        <f>IF(F357&gt;TIME(17,0,0),1,0)</f>
        <v/>
      </c>
    </row>
    <row r="358">
      <c r="I358">
        <f>IFERROR(VLOOKUP(D358,'Schedule Lookup'!$A:$H,2,0),0)</f>
        <v/>
      </c>
      <c r="J358">
        <f>IFERROR(VLOOKUP(D358,'Schedule Lookup'!$A:$H,3,0),0)</f>
        <v/>
      </c>
      <c r="K358">
        <f>IFERROR(VLOOKUP(D358,'Schedule Lookup'!$A:$H,4,0),0)</f>
        <v/>
      </c>
      <c r="L358">
        <f>IFERROR(VLOOKUP(D358,'Schedule Lookup'!$A:$H,5,0),0)</f>
        <v/>
      </c>
      <c r="M358">
        <f>IFERROR(VLOOKUP(D358,'Schedule Lookup'!$A:$H,6,0),0)</f>
        <v/>
      </c>
      <c r="N358">
        <f>IFERROR(VLOOKUP(D358,'Schedule Lookup'!$A:$H,7,0),0)</f>
        <v/>
      </c>
      <c r="O358">
        <f>IFERROR(VLOOKUP(D358,'Schedule Lookup'!$A:$H,8,0),0)</f>
        <v/>
      </c>
      <c r="T358">
        <f>IF(AND(E358&lt;TIME(9,0,0),F358&gt;TIME(0,0,1)),1,0)</f>
        <v/>
      </c>
      <c r="U358">
        <f>IF(AND(E358&lt;TIME(17,0,0),F358&gt;TIME(9,0,0)),1,0)</f>
        <v/>
      </c>
      <c r="V358">
        <f>IF(AND(E358&lt;TIME(21,0,0),F358&gt;TIME(17,0,0)),1,0)</f>
        <v/>
      </c>
      <c r="W358">
        <f>IF(F358&gt;TIME(17,0,0),1,0)</f>
        <v/>
      </c>
    </row>
    <row r="359">
      <c r="I359">
        <f>IFERROR(VLOOKUP(D359,'Schedule Lookup'!$A:$H,2,0),0)</f>
        <v/>
      </c>
      <c r="J359">
        <f>IFERROR(VLOOKUP(D359,'Schedule Lookup'!$A:$H,3,0),0)</f>
        <v/>
      </c>
      <c r="K359">
        <f>IFERROR(VLOOKUP(D359,'Schedule Lookup'!$A:$H,4,0),0)</f>
        <v/>
      </c>
      <c r="L359">
        <f>IFERROR(VLOOKUP(D359,'Schedule Lookup'!$A:$H,5,0),0)</f>
        <v/>
      </c>
      <c r="M359">
        <f>IFERROR(VLOOKUP(D359,'Schedule Lookup'!$A:$H,6,0),0)</f>
        <v/>
      </c>
      <c r="N359">
        <f>IFERROR(VLOOKUP(D359,'Schedule Lookup'!$A:$H,7,0),0)</f>
        <v/>
      </c>
      <c r="O359">
        <f>IFERROR(VLOOKUP(D359,'Schedule Lookup'!$A:$H,8,0),0)</f>
        <v/>
      </c>
      <c r="T359">
        <f>IF(AND(E359&lt;TIME(9,0,0),F359&gt;TIME(0,0,1)),1,0)</f>
        <v/>
      </c>
      <c r="U359">
        <f>IF(AND(E359&lt;TIME(17,0,0),F359&gt;TIME(9,0,0)),1,0)</f>
        <v/>
      </c>
      <c r="V359">
        <f>IF(AND(E359&lt;TIME(21,0,0),F359&gt;TIME(17,0,0)),1,0)</f>
        <v/>
      </c>
      <c r="W359">
        <f>IF(F359&gt;TIME(17,0,0),1,0)</f>
        <v/>
      </c>
    </row>
    <row r="360">
      <c r="I360">
        <f>IFERROR(VLOOKUP(D360,'Schedule Lookup'!$A:$H,2,0),0)</f>
        <v/>
      </c>
      <c r="J360">
        <f>IFERROR(VLOOKUP(D360,'Schedule Lookup'!$A:$H,3,0),0)</f>
        <v/>
      </c>
      <c r="K360">
        <f>IFERROR(VLOOKUP(D360,'Schedule Lookup'!$A:$H,4,0),0)</f>
        <v/>
      </c>
      <c r="L360">
        <f>IFERROR(VLOOKUP(D360,'Schedule Lookup'!$A:$H,5,0),0)</f>
        <v/>
      </c>
      <c r="M360">
        <f>IFERROR(VLOOKUP(D360,'Schedule Lookup'!$A:$H,6,0),0)</f>
        <v/>
      </c>
      <c r="N360">
        <f>IFERROR(VLOOKUP(D360,'Schedule Lookup'!$A:$H,7,0),0)</f>
        <v/>
      </c>
      <c r="O360">
        <f>IFERROR(VLOOKUP(D360,'Schedule Lookup'!$A:$H,8,0),0)</f>
        <v/>
      </c>
      <c r="T360">
        <f>IF(AND(E360&lt;TIME(9,0,0),F360&gt;TIME(0,0,1)),1,0)</f>
        <v/>
      </c>
      <c r="U360">
        <f>IF(AND(E360&lt;TIME(17,0,0),F360&gt;TIME(9,0,0)),1,0)</f>
        <v/>
      </c>
      <c r="V360">
        <f>IF(AND(E360&lt;TIME(21,0,0),F360&gt;TIME(17,0,0)),1,0)</f>
        <v/>
      </c>
      <c r="W360">
        <f>IF(F360&gt;TIME(17,0,0),1,0)</f>
        <v/>
      </c>
    </row>
    <row r="361">
      <c r="I361">
        <f>IFERROR(VLOOKUP(D361,'Schedule Lookup'!$A:$H,2,0),0)</f>
        <v/>
      </c>
      <c r="J361">
        <f>IFERROR(VLOOKUP(D361,'Schedule Lookup'!$A:$H,3,0),0)</f>
        <v/>
      </c>
      <c r="K361">
        <f>IFERROR(VLOOKUP(D361,'Schedule Lookup'!$A:$H,4,0),0)</f>
        <v/>
      </c>
      <c r="L361">
        <f>IFERROR(VLOOKUP(D361,'Schedule Lookup'!$A:$H,5,0),0)</f>
        <v/>
      </c>
      <c r="M361">
        <f>IFERROR(VLOOKUP(D361,'Schedule Lookup'!$A:$H,6,0),0)</f>
        <v/>
      </c>
      <c r="N361">
        <f>IFERROR(VLOOKUP(D361,'Schedule Lookup'!$A:$H,7,0),0)</f>
        <v/>
      </c>
      <c r="O361">
        <f>IFERROR(VLOOKUP(D361,'Schedule Lookup'!$A:$H,8,0),0)</f>
        <v/>
      </c>
      <c r="T361">
        <f>IF(AND(E361&lt;TIME(9,0,0),F361&gt;TIME(0,0,1)),1,0)</f>
        <v/>
      </c>
      <c r="U361">
        <f>IF(AND(E361&lt;TIME(17,0,0),F361&gt;TIME(9,0,0)),1,0)</f>
        <v/>
      </c>
      <c r="V361">
        <f>IF(AND(E361&lt;TIME(21,0,0),F361&gt;TIME(17,0,0)),1,0)</f>
        <v/>
      </c>
      <c r="W361">
        <f>IF(F361&gt;TIME(17,0,0),1,0)</f>
        <v/>
      </c>
    </row>
    <row r="362">
      <c r="I362">
        <f>IFERROR(VLOOKUP(D362,'Schedule Lookup'!$A:$H,2,0),0)</f>
        <v/>
      </c>
      <c r="J362">
        <f>IFERROR(VLOOKUP(D362,'Schedule Lookup'!$A:$H,3,0),0)</f>
        <v/>
      </c>
      <c r="K362">
        <f>IFERROR(VLOOKUP(D362,'Schedule Lookup'!$A:$H,4,0),0)</f>
        <v/>
      </c>
      <c r="L362">
        <f>IFERROR(VLOOKUP(D362,'Schedule Lookup'!$A:$H,5,0),0)</f>
        <v/>
      </c>
      <c r="M362">
        <f>IFERROR(VLOOKUP(D362,'Schedule Lookup'!$A:$H,6,0),0)</f>
        <v/>
      </c>
      <c r="N362">
        <f>IFERROR(VLOOKUP(D362,'Schedule Lookup'!$A:$H,7,0),0)</f>
        <v/>
      </c>
      <c r="O362">
        <f>IFERROR(VLOOKUP(D362,'Schedule Lookup'!$A:$H,8,0),0)</f>
        <v/>
      </c>
      <c r="T362">
        <f>IF(AND(E362&lt;TIME(9,0,0),F362&gt;TIME(0,0,1)),1,0)</f>
        <v/>
      </c>
      <c r="U362">
        <f>IF(AND(E362&lt;TIME(17,0,0),F362&gt;TIME(9,0,0)),1,0)</f>
        <v/>
      </c>
      <c r="V362">
        <f>IF(AND(E362&lt;TIME(21,0,0),F362&gt;TIME(17,0,0)),1,0)</f>
        <v/>
      </c>
      <c r="W362">
        <f>IF(F362&gt;TIME(17,0,0),1,0)</f>
        <v/>
      </c>
    </row>
    <row r="363">
      <c r="I363">
        <f>IFERROR(VLOOKUP(D363,'Schedule Lookup'!$A:$H,2,0),0)</f>
        <v/>
      </c>
      <c r="J363">
        <f>IFERROR(VLOOKUP(D363,'Schedule Lookup'!$A:$H,3,0),0)</f>
        <v/>
      </c>
      <c r="K363">
        <f>IFERROR(VLOOKUP(D363,'Schedule Lookup'!$A:$H,4,0),0)</f>
        <v/>
      </c>
      <c r="L363">
        <f>IFERROR(VLOOKUP(D363,'Schedule Lookup'!$A:$H,5,0),0)</f>
        <v/>
      </c>
      <c r="M363">
        <f>IFERROR(VLOOKUP(D363,'Schedule Lookup'!$A:$H,6,0),0)</f>
        <v/>
      </c>
      <c r="N363">
        <f>IFERROR(VLOOKUP(D363,'Schedule Lookup'!$A:$H,7,0),0)</f>
        <v/>
      </c>
      <c r="O363">
        <f>IFERROR(VLOOKUP(D363,'Schedule Lookup'!$A:$H,8,0),0)</f>
        <v/>
      </c>
      <c r="T363">
        <f>IF(AND(E363&lt;TIME(9,0,0),F363&gt;TIME(0,0,1)),1,0)</f>
        <v/>
      </c>
      <c r="U363">
        <f>IF(AND(E363&lt;TIME(17,0,0),F363&gt;TIME(9,0,0)),1,0)</f>
        <v/>
      </c>
      <c r="V363">
        <f>IF(AND(E363&lt;TIME(21,0,0),F363&gt;TIME(17,0,0)),1,0)</f>
        <v/>
      </c>
      <c r="W363">
        <f>IF(F363&gt;TIME(17,0,0),1,0)</f>
        <v/>
      </c>
    </row>
    <row r="364">
      <c r="I364">
        <f>IFERROR(VLOOKUP(D364,'Schedule Lookup'!$A:$H,2,0),0)</f>
        <v/>
      </c>
      <c r="J364">
        <f>IFERROR(VLOOKUP(D364,'Schedule Lookup'!$A:$H,3,0),0)</f>
        <v/>
      </c>
      <c r="K364">
        <f>IFERROR(VLOOKUP(D364,'Schedule Lookup'!$A:$H,4,0),0)</f>
        <v/>
      </c>
      <c r="L364">
        <f>IFERROR(VLOOKUP(D364,'Schedule Lookup'!$A:$H,5,0),0)</f>
        <v/>
      </c>
      <c r="M364">
        <f>IFERROR(VLOOKUP(D364,'Schedule Lookup'!$A:$H,6,0),0)</f>
        <v/>
      </c>
      <c r="N364">
        <f>IFERROR(VLOOKUP(D364,'Schedule Lookup'!$A:$H,7,0),0)</f>
        <v/>
      </c>
      <c r="O364">
        <f>IFERROR(VLOOKUP(D364,'Schedule Lookup'!$A:$H,8,0),0)</f>
        <v/>
      </c>
      <c r="T364">
        <f>IF(AND(E364&lt;TIME(9,0,0),F364&gt;TIME(0,0,1)),1,0)</f>
        <v/>
      </c>
      <c r="U364">
        <f>IF(AND(E364&lt;TIME(17,0,0),F364&gt;TIME(9,0,0)),1,0)</f>
        <v/>
      </c>
      <c r="V364">
        <f>IF(AND(E364&lt;TIME(21,0,0),F364&gt;TIME(17,0,0)),1,0)</f>
        <v/>
      </c>
      <c r="W364">
        <f>IF(F364&gt;TIME(17,0,0),1,0)</f>
        <v/>
      </c>
    </row>
    <row r="365">
      <c r="I365">
        <f>IFERROR(VLOOKUP(D365,'Schedule Lookup'!$A:$H,2,0),0)</f>
        <v/>
      </c>
      <c r="J365">
        <f>IFERROR(VLOOKUP(D365,'Schedule Lookup'!$A:$H,3,0),0)</f>
        <v/>
      </c>
      <c r="K365">
        <f>IFERROR(VLOOKUP(D365,'Schedule Lookup'!$A:$H,4,0),0)</f>
        <v/>
      </c>
      <c r="L365">
        <f>IFERROR(VLOOKUP(D365,'Schedule Lookup'!$A:$H,5,0),0)</f>
        <v/>
      </c>
      <c r="M365">
        <f>IFERROR(VLOOKUP(D365,'Schedule Lookup'!$A:$H,6,0),0)</f>
        <v/>
      </c>
      <c r="N365">
        <f>IFERROR(VLOOKUP(D365,'Schedule Lookup'!$A:$H,7,0),0)</f>
        <v/>
      </c>
      <c r="O365">
        <f>IFERROR(VLOOKUP(D365,'Schedule Lookup'!$A:$H,8,0),0)</f>
        <v/>
      </c>
      <c r="T365">
        <f>IF(AND(E365&lt;TIME(9,0,0),F365&gt;TIME(0,0,1)),1,0)</f>
        <v/>
      </c>
      <c r="U365">
        <f>IF(AND(E365&lt;TIME(17,0,0),F365&gt;TIME(9,0,0)),1,0)</f>
        <v/>
      </c>
      <c r="V365">
        <f>IF(AND(E365&lt;TIME(21,0,0),F365&gt;TIME(17,0,0)),1,0)</f>
        <v/>
      </c>
      <c r="W365">
        <f>IF(F365&gt;TIME(17,0,0),1,0)</f>
        <v/>
      </c>
    </row>
    <row r="366">
      <c r="I366">
        <f>IFERROR(VLOOKUP(D366,'Schedule Lookup'!$A:$H,2,0),0)</f>
        <v/>
      </c>
      <c r="J366">
        <f>IFERROR(VLOOKUP(D366,'Schedule Lookup'!$A:$H,3,0),0)</f>
        <v/>
      </c>
      <c r="K366">
        <f>IFERROR(VLOOKUP(D366,'Schedule Lookup'!$A:$H,4,0),0)</f>
        <v/>
      </c>
      <c r="L366">
        <f>IFERROR(VLOOKUP(D366,'Schedule Lookup'!$A:$H,5,0),0)</f>
        <v/>
      </c>
      <c r="M366">
        <f>IFERROR(VLOOKUP(D366,'Schedule Lookup'!$A:$H,6,0),0)</f>
        <v/>
      </c>
      <c r="N366">
        <f>IFERROR(VLOOKUP(D366,'Schedule Lookup'!$A:$H,7,0),0)</f>
        <v/>
      </c>
      <c r="O366">
        <f>IFERROR(VLOOKUP(D366,'Schedule Lookup'!$A:$H,8,0),0)</f>
        <v/>
      </c>
      <c r="T366">
        <f>IF(AND(E366&lt;TIME(9,0,0),F366&gt;TIME(0,0,1)),1,0)</f>
        <v/>
      </c>
      <c r="U366">
        <f>IF(AND(E366&lt;TIME(17,0,0),F366&gt;TIME(9,0,0)),1,0)</f>
        <v/>
      </c>
      <c r="V366">
        <f>IF(AND(E366&lt;TIME(21,0,0),F366&gt;TIME(17,0,0)),1,0)</f>
        <v/>
      </c>
      <c r="W366">
        <f>IF(F366&gt;TIME(17,0,0),1,0)</f>
        <v/>
      </c>
    </row>
    <row r="367">
      <c r="I367">
        <f>IFERROR(VLOOKUP(D367,'Schedule Lookup'!$A:$H,2,0),0)</f>
        <v/>
      </c>
      <c r="J367">
        <f>IFERROR(VLOOKUP(D367,'Schedule Lookup'!$A:$H,3,0),0)</f>
        <v/>
      </c>
      <c r="K367">
        <f>IFERROR(VLOOKUP(D367,'Schedule Lookup'!$A:$H,4,0),0)</f>
        <v/>
      </c>
      <c r="L367">
        <f>IFERROR(VLOOKUP(D367,'Schedule Lookup'!$A:$H,5,0),0)</f>
        <v/>
      </c>
      <c r="M367">
        <f>IFERROR(VLOOKUP(D367,'Schedule Lookup'!$A:$H,6,0),0)</f>
        <v/>
      </c>
      <c r="N367">
        <f>IFERROR(VLOOKUP(D367,'Schedule Lookup'!$A:$H,7,0),0)</f>
        <v/>
      </c>
      <c r="O367">
        <f>IFERROR(VLOOKUP(D367,'Schedule Lookup'!$A:$H,8,0),0)</f>
        <v/>
      </c>
      <c r="T367">
        <f>IF(AND(E367&lt;TIME(9,0,0),F367&gt;TIME(0,0,1)),1,0)</f>
        <v/>
      </c>
      <c r="U367">
        <f>IF(AND(E367&lt;TIME(17,0,0),F367&gt;TIME(9,0,0)),1,0)</f>
        <v/>
      </c>
      <c r="V367">
        <f>IF(AND(E367&lt;TIME(21,0,0),F367&gt;TIME(17,0,0)),1,0)</f>
        <v/>
      </c>
      <c r="W367">
        <f>IF(F367&gt;TIME(17,0,0),1,0)</f>
        <v/>
      </c>
    </row>
    <row r="368">
      <c r="I368">
        <f>IFERROR(VLOOKUP(D368,'Schedule Lookup'!$A:$H,2,0),0)</f>
        <v/>
      </c>
      <c r="J368">
        <f>IFERROR(VLOOKUP(D368,'Schedule Lookup'!$A:$H,3,0),0)</f>
        <v/>
      </c>
      <c r="K368">
        <f>IFERROR(VLOOKUP(D368,'Schedule Lookup'!$A:$H,4,0),0)</f>
        <v/>
      </c>
      <c r="L368">
        <f>IFERROR(VLOOKUP(D368,'Schedule Lookup'!$A:$H,5,0),0)</f>
        <v/>
      </c>
      <c r="M368">
        <f>IFERROR(VLOOKUP(D368,'Schedule Lookup'!$A:$H,6,0),0)</f>
        <v/>
      </c>
      <c r="N368">
        <f>IFERROR(VLOOKUP(D368,'Schedule Lookup'!$A:$H,7,0),0)</f>
        <v/>
      </c>
      <c r="O368">
        <f>IFERROR(VLOOKUP(D368,'Schedule Lookup'!$A:$H,8,0),0)</f>
        <v/>
      </c>
      <c r="T368">
        <f>IF(AND(E368&lt;TIME(9,0,0),F368&gt;TIME(0,0,1)),1,0)</f>
        <v/>
      </c>
      <c r="U368">
        <f>IF(AND(E368&lt;TIME(17,0,0),F368&gt;TIME(9,0,0)),1,0)</f>
        <v/>
      </c>
      <c r="V368">
        <f>IF(AND(E368&lt;TIME(21,0,0),F368&gt;TIME(17,0,0)),1,0)</f>
        <v/>
      </c>
      <c r="W368">
        <f>IF(F368&gt;TIME(17,0,0),1,0)</f>
        <v/>
      </c>
    </row>
    <row r="369">
      <c r="I369">
        <f>IFERROR(VLOOKUP(D369,'Schedule Lookup'!$A:$H,2,0),0)</f>
        <v/>
      </c>
      <c r="J369">
        <f>IFERROR(VLOOKUP(D369,'Schedule Lookup'!$A:$H,3,0),0)</f>
        <v/>
      </c>
      <c r="K369">
        <f>IFERROR(VLOOKUP(D369,'Schedule Lookup'!$A:$H,4,0),0)</f>
        <v/>
      </c>
      <c r="L369">
        <f>IFERROR(VLOOKUP(D369,'Schedule Lookup'!$A:$H,5,0),0)</f>
        <v/>
      </c>
      <c r="M369">
        <f>IFERROR(VLOOKUP(D369,'Schedule Lookup'!$A:$H,6,0),0)</f>
        <v/>
      </c>
      <c r="N369">
        <f>IFERROR(VLOOKUP(D369,'Schedule Lookup'!$A:$H,7,0),0)</f>
        <v/>
      </c>
      <c r="O369">
        <f>IFERROR(VLOOKUP(D369,'Schedule Lookup'!$A:$H,8,0),0)</f>
        <v/>
      </c>
      <c r="T369">
        <f>IF(AND(E369&lt;TIME(9,0,0),F369&gt;TIME(0,0,1)),1,0)</f>
        <v/>
      </c>
      <c r="U369">
        <f>IF(AND(E369&lt;TIME(17,0,0),F369&gt;TIME(9,0,0)),1,0)</f>
        <v/>
      </c>
      <c r="V369">
        <f>IF(AND(E369&lt;TIME(21,0,0),F369&gt;TIME(17,0,0)),1,0)</f>
        <v/>
      </c>
      <c r="W369">
        <f>IF(F369&gt;TIME(17,0,0),1,0)</f>
        <v/>
      </c>
    </row>
    <row r="370">
      <c r="I370">
        <f>IFERROR(VLOOKUP(D370,'Schedule Lookup'!$A:$H,2,0),0)</f>
        <v/>
      </c>
      <c r="J370">
        <f>IFERROR(VLOOKUP(D370,'Schedule Lookup'!$A:$H,3,0),0)</f>
        <v/>
      </c>
      <c r="K370">
        <f>IFERROR(VLOOKUP(D370,'Schedule Lookup'!$A:$H,4,0),0)</f>
        <v/>
      </c>
      <c r="L370">
        <f>IFERROR(VLOOKUP(D370,'Schedule Lookup'!$A:$H,5,0),0)</f>
        <v/>
      </c>
      <c r="M370">
        <f>IFERROR(VLOOKUP(D370,'Schedule Lookup'!$A:$H,6,0),0)</f>
        <v/>
      </c>
      <c r="N370">
        <f>IFERROR(VLOOKUP(D370,'Schedule Lookup'!$A:$H,7,0),0)</f>
        <v/>
      </c>
      <c r="O370">
        <f>IFERROR(VLOOKUP(D370,'Schedule Lookup'!$A:$H,8,0),0)</f>
        <v/>
      </c>
      <c r="T370">
        <f>IF(AND(E370&lt;TIME(9,0,0),F370&gt;TIME(0,0,1)),1,0)</f>
        <v/>
      </c>
      <c r="U370">
        <f>IF(AND(E370&lt;TIME(17,0,0),F370&gt;TIME(9,0,0)),1,0)</f>
        <v/>
      </c>
      <c r="V370">
        <f>IF(AND(E370&lt;TIME(21,0,0),F370&gt;TIME(17,0,0)),1,0)</f>
        <v/>
      </c>
      <c r="W370">
        <f>IF(F370&gt;TIME(17,0,0),1,0)</f>
        <v/>
      </c>
    </row>
    <row r="371">
      <c r="I371">
        <f>IFERROR(VLOOKUP(D371,'Schedule Lookup'!$A:$H,2,0),0)</f>
        <v/>
      </c>
      <c r="J371">
        <f>IFERROR(VLOOKUP(D371,'Schedule Lookup'!$A:$H,3,0),0)</f>
        <v/>
      </c>
      <c r="K371">
        <f>IFERROR(VLOOKUP(D371,'Schedule Lookup'!$A:$H,4,0),0)</f>
        <v/>
      </c>
      <c r="L371">
        <f>IFERROR(VLOOKUP(D371,'Schedule Lookup'!$A:$H,5,0),0)</f>
        <v/>
      </c>
      <c r="M371">
        <f>IFERROR(VLOOKUP(D371,'Schedule Lookup'!$A:$H,6,0),0)</f>
        <v/>
      </c>
      <c r="N371">
        <f>IFERROR(VLOOKUP(D371,'Schedule Lookup'!$A:$H,7,0),0)</f>
        <v/>
      </c>
      <c r="O371">
        <f>IFERROR(VLOOKUP(D371,'Schedule Lookup'!$A:$H,8,0),0)</f>
        <v/>
      </c>
      <c r="T371">
        <f>IF(AND(E371&lt;TIME(9,0,0),F371&gt;TIME(0,0,1)),1,0)</f>
        <v/>
      </c>
      <c r="U371">
        <f>IF(AND(E371&lt;TIME(17,0,0),F371&gt;TIME(9,0,0)),1,0)</f>
        <v/>
      </c>
      <c r="V371">
        <f>IF(AND(E371&lt;TIME(21,0,0),F371&gt;TIME(17,0,0)),1,0)</f>
        <v/>
      </c>
      <c r="W371">
        <f>IF(F371&gt;TIME(17,0,0),1,0)</f>
        <v/>
      </c>
    </row>
    <row r="372">
      <c r="I372">
        <f>IFERROR(VLOOKUP(D372,'Schedule Lookup'!$A:$H,2,0),0)</f>
        <v/>
      </c>
      <c r="J372">
        <f>IFERROR(VLOOKUP(D372,'Schedule Lookup'!$A:$H,3,0),0)</f>
        <v/>
      </c>
      <c r="K372">
        <f>IFERROR(VLOOKUP(D372,'Schedule Lookup'!$A:$H,4,0),0)</f>
        <v/>
      </c>
      <c r="L372">
        <f>IFERROR(VLOOKUP(D372,'Schedule Lookup'!$A:$H,5,0),0)</f>
        <v/>
      </c>
      <c r="M372">
        <f>IFERROR(VLOOKUP(D372,'Schedule Lookup'!$A:$H,6,0),0)</f>
        <v/>
      </c>
      <c r="N372">
        <f>IFERROR(VLOOKUP(D372,'Schedule Lookup'!$A:$H,7,0),0)</f>
        <v/>
      </c>
      <c r="O372">
        <f>IFERROR(VLOOKUP(D372,'Schedule Lookup'!$A:$H,8,0),0)</f>
        <v/>
      </c>
      <c r="T372">
        <f>IF(AND(E372&lt;TIME(9,0,0),F372&gt;TIME(0,0,1)),1,0)</f>
        <v/>
      </c>
      <c r="U372">
        <f>IF(AND(E372&lt;TIME(17,0,0),F372&gt;TIME(9,0,0)),1,0)</f>
        <v/>
      </c>
      <c r="V372">
        <f>IF(AND(E372&lt;TIME(21,0,0),F372&gt;TIME(17,0,0)),1,0)</f>
        <v/>
      </c>
      <c r="W372">
        <f>IF(F372&gt;TIME(17,0,0),1,0)</f>
        <v/>
      </c>
    </row>
    <row r="373">
      <c r="I373">
        <f>IFERROR(VLOOKUP(D373,'Schedule Lookup'!$A:$H,2,0),0)</f>
        <v/>
      </c>
      <c r="J373">
        <f>IFERROR(VLOOKUP(D373,'Schedule Lookup'!$A:$H,3,0),0)</f>
        <v/>
      </c>
      <c r="K373">
        <f>IFERROR(VLOOKUP(D373,'Schedule Lookup'!$A:$H,4,0),0)</f>
        <v/>
      </c>
      <c r="L373">
        <f>IFERROR(VLOOKUP(D373,'Schedule Lookup'!$A:$H,5,0),0)</f>
        <v/>
      </c>
      <c r="M373">
        <f>IFERROR(VLOOKUP(D373,'Schedule Lookup'!$A:$H,6,0),0)</f>
        <v/>
      </c>
      <c r="N373">
        <f>IFERROR(VLOOKUP(D373,'Schedule Lookup'!$A:$H,7,0),0)</f>
        <v/>
      </c>
      <c r="O373">
        <f>IFERROR(VLOOKUP(D373,'Schedule Lookup'!$A:$H,8,0),0)</f>
        <v/>
      </c>
      <c r="T373">
        <f>IF(AND(E373&lt;TIME(9,0,0),F373&gt;TIME(0,0,1)),1,0)</f>
        <v/>
      </c>
      <c r="U373">
        <f>IF(AND(E373&lt;TIME(17,0,0),F373&gt;TIME(9,0,0)),1,0)</f>
        <v/>
      </c>
      <c r="V373">
        <f>IF(AND(E373&lt;TIME(21,0,0),F373&gt;TIME(17,0,0)),1,0)</f>
        <v/>
      </c>
      <c r="W373">
        <f>IF(F373&gt;TIME(17,0,0),1,0)</f>
        <v/>
      </c>
    </row>
    <row r="374">
      <c r="I374">
        <f>IFERROR(VLOOKUP(D374,'Schedule Lookup'!$A:$H,2,0),0)</f>
        <v/>
      </c>
      <c r="J374">
        <f>IFERROR(VLOOKUP(D374,'Schedule Lookup'!$A:$H,3,0),0)</f>
        <v/>
      </c>
      <c r="K374">
        <f>IFERROR(VLOOKUP(D374,'Schedule Lookup'!$A:$H,4,0),0)</f>
        <v/>
      </c>
      <c r="L374">
        <f>IFERROR(VLOOKUP(D374,'Schedule Lookup'!$A:$H,5,0),0)</f>
        <v/>
      </c>
      <c r="M374">
        <f>IFERROR(VLOOKUP(D374,'Schedule Lookup'!$A:$H,6,0),0)</f>
        <v/>
      </c>
      <c r="N374">
        <f>IFERROR(VLOOKUP(D374,'Schedule Lookup'!$A:$H,7,0),0)</f>
        <v/>
      </c>
      <c r="O374">
        <f>IFERROR(VLOOKUP(D374,'Schedule Lookup'!$A:$H,8,0),0)</f>
        <v/>
      </c>
      <c r="T374">
        <f>IF(AND(E374&lt;TIME(9,0,0),F374&gt;TIME(0,0,1)),1,0)</f>
        <v/>
      </c>
      <c r="U374">
        <f>IF(AND(E374&lt;TIME(17,0,0),F374&gt;TIME(9,0,0)),1,0)</f>
        <v/>
      </c>
      <c r="V374">
        <f>IF(AND(E374&lt;TIME(21,0,0),F374&gt;TIME(17,0,0)),1,0)</f>
        <v/>
      </c>
      <c r="W374">
        <f>IF(F374&gt;TIME(17,0,0),1,0)</f>
        <v/>
      </c>
    </row>
    <row r="375">
      <c r="I375">
        <f>IFERROR(VLOOKUP(D375,'Schedule Lookup'!$A:$H,2,0),0)</f>
        <v/>
      </c>
      <c r="J375">
        <f>IFERROR(VLOOKUP(D375,'Schedule Lookup'!$A:$H,3,0),0)</f>
        <v/>
      </c>
      <c r="K375">
        <f>IFERROR(VLOOKUP(D375,'Schedule Lookup'!$A:$H,4,0),0)</f>
        <v/>
      </c>
      <c r="L375">
        <f>IFERROR(VLOOKUP(D375,'Schedule Lookup'!$A:$H,5,0),0)</f>
        <v/>
      </c>
      <c r="M375">
        <f>IFERROR(VLOOKUP(D375,'Schedule Lookup'!$A:$H,6,0),0)</f>
        <v/>
      </c>
      <c r="N375">
        <f>IFERROR(VLOOKUP(D375,'Schedule Lookup'!$A:$H,7,0),0)</f>
        <v/>
      </c>
      <c r="O375">
        <f>IFERROR(VLOOKUP(D375,'Schedule Lookup'!$A:$H,8,0),0)</f>
        <v/>
      </c>
      <c r="T375">
        <f>IF(AND(E375&lt;TIME(9,0,0),F375&gt;TIME(0,0,1)),1,0)</f>
        <v/>
      </c>
      <c r="U375">
        <f>IF(AND(E375&lt;TIME(17,0,0),F375&gt;TIME(9,0,0)),1,0)</f>
        <v/>
      </c>
      <c r="V375">
        <f>IF(AND(E375&lt;TIME(21,0,0),F375&gt;TIME(17,0,0)),1,0)</f>
        <v/>
      </c>
      <c r="W375">
        <f>IF(F375&gt;TIME(17,0,0),1,0)</f>
        <v/>
      </c>
    </row>
    <row r="376">
      <c r="I376">
        <f>IFERROR(VLOOKUP(D376,'Schedule Lookup'!$A:$H,2,0),0)</f>
        <v/>
      </c>
      <c r="J376">
        <f>IFERROR(VLOOKUP(D376,'Schedule Lookup'!$A:$H,3,0),0)</f>
        <v/>
      </c>
      <c r="K376">
        <f>IFERROR(VLOOKUP(D376,'Schedule Lookup'!$A:$H,4,0),0)</f>
        <v/>
      </c>
      <c r="L376">
        <f>IFERROR(VLOOKUP(D376,'Schedule Lookup'!$A:$H,5,0),0)</f>
        <v/>
      </c>
      <c r="M376">
        <f>IFERROR(VLOOKUP(D376,'Schedule Lookup'!$A:$H,6,0),0)</f>
        <v/>
      </c>
      <c r="N376">
        <f>IFERROR(VLOOKUP(D376,'Schedule Lookup'!$A:$H,7,0),0)</f>
        <v/>
      </c>
      <c r="O376">
        <f>IFERROR(VLOOKUP(D376,'Schedule Lookup'!$A:$H,8,0),0)</f>
        <v/>
      </c>
      <c r="T376">
        <f>IF(AND(E376&lt;TIME(9,0,0),F376&gt;TIME(0,0,1)),1,0)</f>
        <v/>
      </c>
      <c r="U376">
        <f>IF(AND(E376&lt;TIME(17,0,0),F376&gt;TIME(9,0,0)),1,0)</f>
        <v/>
      </c>
      <c r="V376">
        <f>IF(AND(E376&lt;TIME(21,0,0),F376&gt;TIME(17,0,0)),1,0)</f>
        <v/>
      </c>
      <c r="W376">
        <f>IF(F376&gt;TIME(17,0,0),1,0)</f>
        <v/>
      </c>
    </row>
    <row r="377">
      <c r="I377">
        <f>IFERROR(VLOOKUP(D377,'Schedule Lookup'!$A:$H,2,0),0)</f>
        <v/>
      </c>
      <c r="J377">
        <f>IFERROR(VLOOKUP(D377,'Schedule Lookup'!$A:$H,3,0),0)</f>
        <v/>
      </c>
      <c r="K377">
        <f>IFERROR(VLOOKUP(D377,'Schedule Lookup'!$A:$H,4,0),0)</f>
        <v/>
      </c>
      <c r="L377">
        <f>IFERROR(VLOOKUP(D377,'Schedule Lookup'!$A:$H,5,0),0)</f>
        <v/>
      </c>
      <c r="M377">
        <f>IFERROR(VLOOKUP(D377,'Schedule Lookup'!$A:$H,6,0),0)</f>
        <v/>
      </c>
      <c r="N377">
        <f>IFERROR(VLOOKUP(D377,'Schedule Lookup'!$A:$H,7,0),0)</f>
        <v/>
      </c>
      <c r="O377">
        <f>IFERROR(VLOOKUP(D377,'Schedule Lookup'!$A:$H,8,0),0)</f>
        <v/>
      </c>
      <c r="T377">
        <f>IF(AND(E377&lt;TIME(9,0,0),F377&gt;TIME(0,0,1)),1,0)</f>
        <v/>
      </c>
      <c r="U377">
        <f>IF(AND(E377&lt;TIME(17,0,0),F377&gt;TIME(9,0,0)),1,0)</f>
        <v/>
      </c>
      <c r="V377">
        <f>IF(AND(E377&lt;TIME(21,0,0),F377&gt;TIME(17,0,0)),1,0)</f>
        <v/>
      </c>
      <c r="W377">
        <f>IF(F377&gt;TIME(17,0,0),1,0)</f>
        <v/>
      </c>
    </row>
    <row r="378">
      <c r="I378">
        <f>IFERROR(VLOOKUP(D378,'Schedule Lookup'!$A:$H,2,0),0)</f>
        <v/>
      </c>
      <c r="J378">
        <f>IFERROR(VLOOKUP(D378,'Schedule Lookup'!$A:$H,3,0),0)</f>
        <v/>
      </c>
      <c r="K378">
        <f>IFERROR(VLOOKUP(D378,'Schedule Lookup'!$A:$H,4,0),0)</f>
        <v/>
      </c>
      <c r="L378">
        <f>IFERROR(VLOOKUP(D378,'Schedule Lookup'!$A:$H,5,0),0)</f>
        <v/>
      </c>
      <c r="M378">
        <f>IFERROR(VLOOKUP(D378,'Schedule Lookup'!$A:$H,6,0),0)</f>
        <v/>
      </c>
      <c r="N378">
        <f>IFERROR(VLOOKUP(D378,'Schedule Lookup'!$A:$H,7,0),0)</f>
        <v/>
      </c>
      <c r="O378">
        <f>IFERROR(VLOOKUP(D378,'Schedule Lookup'!$A:$H,8,0),0)</f>
        <v/>
      </c>
      <c r="T378">
        <f>IF(AND(E378&lt;TIME(9,0,0),F378&gt;TIME(0,0,1)),1,0)</f>
        <v/>
      </c>
      <c r="U378">
        <f>IF(AND(E378&lt;TIME(17,0,0),F378&gt;TIME(9,0,0)),1,0)</f>
        <v/>
      </c>
      <c r="V378">
        <f>IF(AND(E378&lt;TIME(21,0,0),F378&gt;TIME(17,0,0)),1,0)</f>
        <v/>
      </c>
      <c r="W378">
        <f>IF(F378&gt;TIME(17,0,0),1,0)</f>
        <v/>
      </c>
    </row>
    <row r="379">
      <c r="I379">
        <f>IFERROR(VLOOKUP(D379,'Schedule Lookup'!$A:$H,2,0),0)</f>
        <v/>
      </c>
      <c r="J379">
        <f>IFERROR(VLOOKUP(D379,'Schedule Lookup'!$A:$H,3,0),0)</f>
        <v/>
      </c>
      <c r="K379">
        <f>IFERROR(VLOOKUP(D379,'Schedule Lookup'!$A:$H,4,0),0)</f>
        <v/>
      </c>
      <c r="L379">
        <f>IFERROR(VLOOKUP(D379,'Schedule Lookup'!$A:$H,5,0),0)</f>
        <v/>
      </c>
      <c r="M379">
        <f>IFERROR(VLOOKUP(D379,'Schedule Lookup'!$A:$H,6,0),0)</f>
        <v/>
      </c>
      <c r="N379">
        <f>IFERROR(VLOOKUP(D379,'Schedule Lookup'!$A:$H,7,0),0)</f>
        <v/>
      </c>
      <c r="O379">
        <f>IFERROR(VLOOKUP(D379,'Schedule Lookup'!$A:$H,8,0),0)</f>
        <v/>
      </c>
      <c r="T379">
        <f>IF(AND(E379&lt;TIME(9,0,0),F379&gt;TIME(0,0,1)),1,0)</f>
        <v/>
      </c>
      <c r="U379">
        <f>IF(AND(E379&lt;TIME(17,0,0),F379&gt;TIME(9,0,0)),1,0)</f>
        <v/>
      </c>
      <c r="V379">
        <f>IF(AND(E379&lt;TIME(21,0,0),F379&gt;TIME(17,0,0)),1,0)</f>
        <v/>
      </c>
      <c r="W379">
        <f>IF(F379&gt;TIME(17,0,0),1,0)</f>
        <v/>
      </c>
    </row>
    <row r="380">
      <c r="I380">
        <f>IFERROR(VLOOKUP(D380,'Schedule Lookup'!$A:$H,2,0),0)</f>
        <v/>
      </c>
      <c r="J380">
        <f>IFERROR(VLOOKUP(D380,'Schedule Lookup'!$A:$H,3,0),0)</f>
        <v/>
      </c>
      <c r="K380">
        <f>IFERROR(VLOOKUP(D380,'Schedule Lookup'!$A:$H,4,0),0)</f>
        <v/>
      </c>
      <c r="L380">
        <f>IFERROR(VLOOKUP(D380,'Schedule Lookup'!$A:$H,5,0),0)</f>
        <v/>
      </c>
      <c r="M380">
        <f>IFERROR(VLOOKUP(D380,'Schedule Lookup'!$A:$H,6,0),0)</f>
        <v/>
      </c>
      <c r="N380">
        <f>IFERROR(VLOOKUP(D380,'Schedule Lookup'!$A:$H,7,0),0)</f>
        <v/>
      </c>
      <c r="O380">
        <f>IFERROR(VLOOKUP(D380,'Schedule Lookup'!$A:$H,8,0),0)</f>
        <v/>
      </c>
      <c r="T380">
        <f>IF(AND(E380&lt;TIME(9,0,0),F380&gt;TIME(0,0,1)),1,0)</f>
        <v/>
      </c>
      <c r="U380">
        <f>IF(AND(E380&lt;TIME(17,0,0),F380&gt;TIME(9,0,0)),1,0)</f>
        <v/>
      </c>
      <c r="V380">
        <f>IF(AND(E380&lt;TIME(21,0,0),F380&gt;TIME(17,0,0)),1,0)</f>
        <v/>
      </c>
      <c r="W380">
        <f>IF(F380&gt;TIME(17,0,0),1,0)</f>
        <v/>
      </c>
    </row>
    <row r="381">
      <c r="I381">
        <f>IFERROR(VLOOKUP(D381,'Schedule Lookup'!$A:$H,2,0),0)</f>
        <v/>
      </c>
      <c r="J381">
        <f>IFERROR(VLOOKUP(D381,'Schedule Lookup'!$A:$H,3,0),0)</f>
        <v/>
      </c>
      <c r="K381">
        <f>IFERROR(VLOOKUP(D381,'Schedule Lookup'!$A:$H,4,0),0)</f>
        <v/>
      </c>
      <c r="L381">
        <f>IFERROR(VLOOKUP(D381,'Schedule Lookup'!$A:$H,5,0),0)</f>
        <v/>
      </c>
      <c r="M381">
        <f>IFERROR(VLOOKUP(D381,'Schedule Lookup'!$A:$H,6,0),0)</f>
        <v/>
      </c>
      <c r="N381">
        <f>IFERROR(VLOOKUP(D381,'Schedule Lookup'!$A:$H,7,0),0)</f>
        <v/>
      </c>
      <c r="O381">
        <f>IFERROR(VLOOKUP(D381,'Schedule Lookup'!$A:$H,8,0),0)</f>
        <v/>
      </c>
      <c r="T381">
        <f>IF(AND(E381&lt;TIME(9,0,0),F381&gt;TIME(0,0,1)),1,0)</f>
        <v/>
      </c>
      <c r="U381">
        <f>IF(AND(E381&lt;TIME(17,0,0),F381&gt;TIME(9,0,0)),1,0)</f>
        <v/>
      </c>
      <c r="V381">
        <f>IF(AND(E381&lt;TIME(21,0,0),F381&gt;TIME(17,0,0)),1,0)</f>
        <v/>
      </c>
      <c r="W381">
        <f>IF(F381&gt;TIME(17,0,0),1,0)</f>
        <v/>
      </c>
    </row>
    <row r="382">
      <c r="I382">
        <f>IFERROR(VLOOKUP(D382,'Schedule Lookup'!$A:$H,2,0),0)</f>
        <v/>
      </c>
      <c r="J382">
        <f>IFERROR(VLOOKUP(D382,'Schedule Lookup'!$A:$H,3,0),0)</f>
        <v/>
      </c>
      <c r="K382">
        <f>IFERROR(VLOOKUP(D382,'Schedule Lookup'!$A:$H,4,0),0)</f>
        <v/>
      </c>
      <c r="L382">
        <f>IFERROR(VLOOKUP(D382,'Schedule Lookup'!$A:$H,5,0),0)</f>
        <v/>
      </c>
      <c r="M382">
        <f>IFERROR(VLOOKUP(D382,'Schedule Lookup'!$A:$H,6,0),0)</f>
        <v/>
      </c>
      <c r="N382">
        <f>IFERROR(VLOOKUP(D382,'Schedule Lookup'!$A:$H,7,0),0)</f>
        <v/>
      </c>
      <c r="O382">
        <f>IFERROR(VLOOKUP(D382,'Schedule Lookup'!$A:$H,8,0),0)</f>
        <v/>
      </c>
      <c r="T382">
        <f>IF(AND(E382&lt;TIME(9,0,0),F382&gt;TIME(0,0,1)),1,0)</f>
        <v/>
      </c>
      <c r="U382">
        <f>IF(AND(E382&lt;TIME(17,0,0),F382&gt;TIME(9,0,0)),1,0)</f>
        <v/>
      </c>
      <c r="V382">
        <f>IF(AND(E382&lt;TIME(21,0,0),F382&gt;TIME(17,0,0)),1,0)</f>
        <v/>
      </c>
      <c r="W382">
        <f>IF(F382&gt;TIME(17,0,0),1,0)</f>
        <v/>
      </c>
    </row>
    <row r="383">
      <c r="I383">
        <f>IFERROR(VLOOKUP(D383,'Schedule Lookup'!$A:$H,2,0),0)</f>
        <v/>
      </c>
      <c r="J383">
        <f>IFERROR(VLOOKUP(D383,'Schedule Lookup'!$A:$H,3,0),0)</f>
        <v/>
      </c>
      <c r="K383">
        <f>IFERROR(VLOOKUP(D383,'Schedule Lookup'!$A:$H,4,0),0)</f>
        <v/>
      </c>
      <c r="L383">
        <f>IFERROR(VLOOKUP(D383,'Schedule Lookup'!$A:$H,5,0),0)</f>
        <v/>
      </c>
      <c r="M383">
        <f>IFERROR(VLOOKUP(D383,'Schedule Lookup'!$A:$H,6,0),0)</f>
        <v/>
      </c>
      <c r="N383">
        <f>IFERROR(VLOOKUP(D383,'Schedule Lookup'!$A:$H,7,0),0)</f>
        <v/>
      </c>
      <c r="O383">
        <f>IFERROR(VLOOKUP(D383,'Schedule Lookup'!$A:$H,8,0),0)</f>
        <v/>
      </c>
      <c r="T383">
        <f>IF(AND(E383&lt;TIME(9,0,0),F383&gt;TIME(0,0,1)),1,0)</f>
        <v/>
      </c>
      <c r="U383">
        <f>IF(AND(E383&lt;TIME(17,0,0),F383&gt;TIME(9,0,0)),1,0)</f>
        <v/>
      </c>
      <c r="V383">
        <f>IF(AND(E383&lt;TIME(21,0,0),F383&gt;TIME(17,0,0)),1,0)</f>
        <v/>
      </c>
      <c r="W383">
        <f>IF(F383&gt;TIME(17,0,0),1,0)</f>
        <v/>
      </c>
    </row>
    <row r="384">
      <c r="I384">
        <f>IFERROR(VLOOKUP(D384,'Schedule Lookup'!$A:$H,2,0),0)</f>
        <v/>
      </c>
      <c r="J384">
        <f>IFERROR(VLOOKUP(D384,'Schedule Lookup'!$A:$H,3,0),0)</f>
        <v/>
      </c>
      <c r="K384">
        <f>IFERROR(VLOOKUP(D384,'Schedule Lookup'!$A:$H,4,0),0)</f>
        <v/>
      </c>
      <c r="L384">
        <f>IFERROR(VLOOKUP(D384,'Schedule Lookup'!$A:$H,5,0),0)</f>
        <v/>
      </c>
      <c r="M384">
        <f>IFERROR(VLOOKUP(D384,'Schedule Lookup'!$A:$H,6,0),0)</f>
        <v/>
      </c>
      <c r="N384">
        <f>IFERROR(VLOOKUP(D384,'Schedule Lookup'!$A:$H,7,0),0)</f>
        <v/>
      </c>
      <c r="O384">
        <f>IFERROR(VLOOKUP(D384,'Schedule Lookup'!$A:$H,8,0),0)</f>
        <v/>
      </c>
      <c r="T384">
        <f>IF(AND(E384&lt;TIME(9,0,0),F384&gt;TIME(0,0,1)),1,0)</f>
        <v/>
      </c>
      <c r="U384">
        <f>IF(AND(E384&lt;TIME(17,0,0),F384&gt;TIME(9,0,0)),1,0)</f>
        <v/>
      </c>
      <c r="V384">
        <f>IF(AND(E384&lt;TIME(21,0,0),F384&gt;TIME(17,0,0)),1,0)</f>
        <v/>
      </c>
      <c r="W384">
        <f>IF(F384&gt;TIME(17,0,0),1,0)</f>
        <v/>
      </c>
    </row>
    <row r="385">
      <c r="I385">
        <f>IFERROR(VLOOKUP(D385,'Schedule Lookup'!$A:$H,2,0),0)</f>
        <v/>
      </c>
      <c r="J385">
        <f>IFERROR(VLOOKUP(D385,'Schedule Lookup'!$A:$H,3,0),0)</f>
        <v/>
      </c>
      <c r="K385">
        <f>IFERROR(VLOOKUP(D385,'Schedule Lookup'!$A:$H,4,0),0)</f>
        <v/>
      </c>
      <c r="L385">
        <f>IFERROR(VLOOKUP(D385,'Schedule Lookup'!$A:$H,5,0),0)</f>
        <v/>
      </c>
      <c r="M385">
        <f>IFERROR(VLOOKUP(D385,'Schedule Lookup'!$A:$H,6,0),0)</f>
        <v/>
      </c>
      <c r="N385">
        <f>IFERROR(VLOOKUP(D385,'Schedule Lookup'!$A:$H,7,0),0)</f>
        <v/>
      </c>
      <c r="O385">
        <f>IFERROR(VLOOKUP(D385,'Schedule Lookup'!$A:$H,8,0),0)</f>
        <v/>
      </c>
      <c r="T385">
        <f>IF(AND(E385&lt;TIME(9,0,0),F385&gt;TIME(0,0,1)),1,0)</f>
        <v/>
      </c>
      <c r="U385">
        <f>IF(AND(E385&lt;TIME(17,0,0),F385&gt;TIME(9,0,0)),1,0)</f>
        <v/>
      </c>
      <c r="V385">
        <f>IF(AND(E385&lt;TIME(21,0,0),F385&gt;TIME(17,0,0)),1,0)</f>
        <v/>
      </c>
      <c r="W385">
        <f>IF(F385&gt;TIME(17,0,0),1,0)</f>
        <v/>
      </c>
    </row>
    <row r="386">
      <c r="I386">
        <f>IFERROR(VLOOKUP(D386,'Schedule Lookup'!$A:$H,2,0),0)</f>
        <v/>
      </c>
      <c r="J386">
        <f>IFERROR(VLOOKUP(D386,'Schedule Lookup'!$A:$H,3,0),0)</f>
        <v/>
      </c>
      <c r="K386">
        <f>IFERROR(VLOOKUP(D386,'Schedule Lookup'!$A:$H,4,0),0)</f>
        <v/>
      </c>
      <c r="L386">
        <f>IFERROR(VLOOKUP(D386,'Schedule Lookup'!$A:$H,5,0),0)</f>
        <v/>
      </c>
      <c r="M386">
        <f>IFERROR(VLOOKUP(D386,'Schedule Lookup'!$A:$H,6,0),0)</f>
        <v/>
      </c>
      <c r="N386">
        <f>IFERROR(VLOOKUP(D386,'Schedule Lookup'!$A:$H,7,0),0)</f>
        <v/>
      </c>
      <c r="O386">
        <f>IFERROR(VLOOKUP(D386,'Schedule Lookup'!$A:$H,8,0),0)</f>
        <v/>
      </c>
      <c r="T386">
        <f>IF(AND(E386&lt;TIME(9,0,0),F386&gt;TIME(0,0,1)),1,0)</f>
        <v/>
      </c>
      <c r="U386">
        <f>IF(AND(E386&lt;TIME(17,0,0),F386&gt;TIME(9,0,0)),1,0)</f>
        <v/>
      </c>
      <c r="V386">
        <f>IF(AND(E386&lt;TIME(21,0,0),F386&gt;TIME(17,0,0)),1,0)</f>
        <v/>
      </c>
      <c r="W386">
        <f>IF(F386&gt;TIME(17,0,0),1,0)</f>
        <v/>
      </c>
    </row>
    <row r="387">
      <c r="I387">
        <f>IFERROR(VLOOKUP(D387,'Schedule Lookup'!$A:$H,2,0),0)</f>
        <v/>
      </c>
      <c r="J387">
        <f>IFERROR(VLOOKUP(D387,'Schedule Lookup'!$A:$H,3,0),0)</f>
        <v/>
      </c>
      <c r="K387">
        <f>IFERROR(VLOOKUP(D387,'Schedule Lookup'!$A:$H,4,0),0)</f>
        <v/>
      </c>
      <c r="L387">
        <f>IFERROR(VLOOKUP(D387,'Schedule Lookup'!$A:$H,5,0),0)</f>
        <v/>
      </c>
      <c r="M387">
        <f>IFERROR(VLOOKUP(D387,'Schedule Lookup'!$A:$H,6,0),0)</f>
        <v/>
      </c>
      <c r="N387">
        <f>IFERROR(VLOOKUP(D387,'Schedule Lookup'!$A:$H,7,0),0)</f>
        <v/>
      </c>
      <c r="O387">
        <f>IFERROR(VLOOKUP(D387,'Schedule Lookup'!$A:$H,8,0),0)</f>
        <v/>
      </c>
      <c r="T387">
        <f>IF(AND(E387&lt;TIME(9,0,0),F387&gt;TIME(0,0,1)),1,0)</f>
        <v/>
      </c>
      <c r="U387">
        <f>IF(AND(E387&lt;TIME(17,0,0),F387&gt;TIME(9,0,0)),1,0)</f>
        <v/>
      </c>
      <c r="V387">
        <f>IF(AND(E387&lt;TIME(21,0,0),F387&gt;TIME(17,0,0)),1,0)</f>
        <v/>
      </c>
      <c r="W387">
        <f>IF(F387&gt;TIME(17,0,0),1,0)</f>
        <v/>
      </c>
    </row>
    <row r="388">
      <c r="I388">
        <f>IFERROR(VLOOKUP(D388,'Schedule Lookup'!$A:$H,2,0),0)</f>
        <v/>
      </c>
      <c r="J388">
        <f>IFERROR(VLOOKUP(D388,'Schedule Lookup'!$A:$H,3,0),0)</f>
        <v/>
      </c>
      <c r="K388">
        <f>IFERROR(VLOOKUP(D388,'Schedule Lookup'!$A:$H,4,0),0)</f>
        <v/>
      </c>
      <c r="L388">
        <f>IFERROR(VLOOKUP(D388,'Schedule Lookup'!$A:$H,5,0),0)</f>
        <v/>
      </c>
      <c r="M388">
        <f>IFERROR(VLOOKUP(D388,'Schedule Lookup'!$A:$H,6,0),0)</f>
        <v/>
      </c>
      <c r="N388">
        <f>IFERROR(VLOOKUP(D388,'Schedule Lookup'!$A:$H,7,0),0)</f>
        <v/>
      </c>
      <c r="O388">
        <f>IFERROR(VLOOKUP(D388,'Schedule Lookup'!$A:$H,8,0),0)</f>
        <v/>
      </c>
      <c r="T388">
        <f>IF(AND(E388&lt;TIME(9,0,0),F388&gt;TIME(0,0,1)),1,0)</f>
        <v/>
      </c>
      <c r="U388">
        <f>IF(AND(E388&lt;TIME(17,0,0),F388&gt;TIME(9,0,0)),1,0)</f>
        <v/>
      </c>
      <c r="V388">
        <f>IF(AND(E388&lt;TIME(21,0,0),F388&gt;TIME(17,0,0)),1,0)</f>
        <v/>
      </c>
      <c r="W388">
        <f>IF(F388&gt;TIME(17,0,0),1,0)</f>
        <v/>
      </c>
    </row>
    <row r="389">
      <c r="I389">
        <f>IFERROR(VLOOKUP(D389,'Schedule Lookup'!$A:$H,2,0),0)</f>
        <v/>
      </c>
      <c r="J389">
        <f>IFERROR(VLOOKUP(D389,'Schedule Lookup'!$A:$H,3,0),0)</f>
        <v/>
      </c>
      <c r="K389">
        <f>IFERROR(VLOOKUP(D389,'Schedule Lookup'!$A:$H,4,0),0)</f>
        <v/>
      </c>
      <c r="L389">
        <f>IFERROR(VLOOKUP(D389,'Schedule Lookup'!$A:$H,5,0),0)</f>
        <v/>
      </c>
      <c r="M389">
        <f>IFERROR(VLOOKUP(D389,'Schedule Lookup'!$A:$H,6,0),0)</f>
        <v/>
      </c>
      <c r="N389">
        <f>IFERROR(VLOOKUP(D389,'Schedule Lookup'!$A:$H,7,0),0)</f>
        <v/>
      </c>
      <c r="O389">
        <f>IFERROR(VLOOKUP(D389,'Schedule Lookup'!$A:$H,8,0),0)</f>
        <v/>
      </c>
      <c r="T389">
        <f>IF(AND(E389&lt;TIME(9,0,0),F389&gt;TIME(0,0,1)),1,0)</f>
        <v/>
      </c>
      <c r="U389">
        <f>IF(AND(E389&lt;TIME(17,0,0),F389&gt;TIME(9,0,0)),1,0)</f>
        <v/>
      </c>
      <c r="V389">
        <f>IF(AND(E389&lt;TIME(21,0,0),F389&gt;TIME(17,0,0)),1,0)</f>
        <v/>
      </c>
      <c r="W389">
        <f>IF(F389&gt;TIME(17,0,0),1,0)</f>
        <v/>
      </c>
    </row>
    <row r="390">
      <c r="I390">
        <f>IFERROR(VLOOKUP(D390,'Schedule Lookup'!$A:$H,2,0),0)</f>
        <v/>
      </c>
      <c r="J390">
        <f>IFERROR(VLOOKUP(D390,'Schedule Lookup'!$A:$H,3,0),0)</f>
        <v/>
      </c>
      <c r="K390">
        <f>IFERROR(VLOOKUP(D390,'Schedule Lookup'!$A:$H,4,0),0)</f>
        <v/>
      </c>
      <c r="L390">
        <f>IFERROR(VLOOKUP(D390,'Schedule Lookup'!$A:$H,5,0),0)</f>
        <v/>
      </c>
      <c r="M390">
        <f>IFERROR(VLOOKUP(D390,'Schedule Lookup'!$A:$H,6,0),0)</f>
        <v/>
      </c>
      <c r="N390">
        <f>IFERROR(VLOOKUP(D390,'Schedule Lookup'!$A:$H,7,0),0)</f>
        <v/>
      </c>
      <c r="O390">
        <f>IFERROR(VLOOKUP(D390,'Schedule Lookup'!$A:$H,8,0),0)</f>
        <v/>
      </c>
      <c r="T390">
        <f>IF(AND(E390&lt;TIME(9,0,0),F390&gt;TIME(0,0,1)),1,0)</f>
        <v/>
      </c>
      <c r="U390">
        <f>IF(AND(E390&lt;TIME(17,0,0),F390&gt;TIME(9,0,0)),1,0)</f>
        <v/>
      </c>
      <c r="V390">
        <f>IF(AND(E390&lt;TIME(21,0,0),F390&gt;TIME(17,0,0)),1,0)</f>
        <v/>
      </c>
      <c r="W390">
        <f>IF(F390&gt;TIME(17,0,0),1,0)</f>
        <v/>
      </c>
    </row>
    <row r="391">
      <c r="I391">
        <f>IFERROR(VLOOKUP(D391,'Schedule Lookup'!$A:$H,2,0),0)</f>
        <v/>
      </c>
      <c r="J391">
        <f>IFERROR(VLOOKUP(D391,'Schedule Lookup'!$A:$H,3,0),0)</f>
        <v/>
      </c>
      <c r="K391">
        <f>IFERROR(VLOOKUP(D391,'Schedule Lookup'!$A:$H,4,0),0)</f>
        <v/>
      </c>
      <c r="L391">
        <f>IFERROR(VLOOKUP(D391,'Schedule Lookup'!$A:$H,5,0),0)</f>
        <v/>
      </c>
      <c r="M391">
        <f>IFERROR(VLOOKUP(D391,'Schedule Lookup'!$A:$H,6,0),0)</f>
        <v/>
      </c>
      <c r="N391">
        <f>IFERROR(VLOOKUP(D391,'Schedule Lookup'!$A:$H,7,0),0)</f>
        <v/>
      </c>
      <c r="O391">
        <f>IFERROR(VLOOKUP(D391,'Schedule Lookup'!$A:$H,8,0),0)</f>
        <v/>
      </c>
      <c r="T391">
        <f>IF(AND(E391&lt;TIME(9,0,0),F391&gt;TIME(0,0,1)),1,0)</f>
        <v/>
      </c>
      <c r="U391">
        <f>IF(AND(E391&lt;TIME(17,0,0),F391&gt;TIME(9,0,0)),1,0)</f>
        <v/>
      </c>
      <c r="V391">
        <f>IF(AND(E391&lt;TIME(21,0,0),F391&gt;TIME(17,0,0)),1,0)</f>
        <v/>
      </c>
      <c r="W391">
        <f>IF(F391&gt;TIME(17,0,0),1,0)</f>
        <v/>
      </c>
    </row>
    <row r="392">
      <c r="I392">
        <f>IFERROR(VLOOKUP(D392,'Schedule Lookup'!$A:$H,2,0),0)</f>
        <v/>
      </c>
      <c r="J392">
        <f>IFERROR(VLOOKUP(D392,'Schedule Lookup'!$A:$H,3,0),0)</f>
        <v/>
      </c>
      <c r="K392">
        <f>IFERROR(VLOOKUP(D392,'Schedule Lookup'!$A:$H,4,0),0)</f>
        <v/>
      </c>
      <c r="L392">
        <f>IFERROR(VLOOKUP(D392,'Schedule Lookup'!$A:$H,5,0),0)</f>
        <v/>
      </c>
      <c r="M392">
        <f>IFERROR(VLOOKUP(D392,'Schedule Lookup'!$A:$H,6,0),0)</f>
        <v/>
      </c>
      <c r="N392">
        <f>IFERROR(VLOOKUP(D392,'Schedule Lookup'!$A:$H,7,0),0)</f>
        <v/>
      </c>
      <c r="O392">
        <f>IFERROR(VLOOKUP(D392,'Schedule Lookup'!$A:$H,8,0),0)</f>
        <v/>
      </c>
      <c r="T392">
        <f>IF(AND(E392&lt;TIME(9,0,0),F392&gt;TIME(0,0,1)),1,0)</f>
        <v/>
      </c>
      <c r="U392">
        <f>IF(AND(E392&lt;TIME(17,0,0),F392&gt;TIME(9,0,0)),1,0)</f>
        <v/>
      </c>
      <c r="V392">
        <f>IF(AND(E392&lt;TIME(21,0,0),F392&gt;TIME(17,0,0)),1,0)</f>
        <v/>
      </c>
      <c r="W392">
        <f>IF(F392&gt;TIME(17,0,0),1,0)</f>
        <v/>
      </c>
    </row>
    <row r="393">
      <c r="I393">
        <f>IFERROR(VLOOKUP(D393,'Schedule Lookup'!$A:$H,2,0),0)</f>
        <v/>
      </c>
      <c r="J393">
        <f>IFERROR(VLOOKUP(D393,'Schedule Lookup'!$A:$H,3,0),0)</f>
        <v/>
      </c>
      <c r="K393">
        <f>IFERROR(VLOOKUP(D393,'Schedule Lookup'!$A:$H,4,0),0)</f>
        <v/>
      </c>
      <c r="L393">
        <f>IFERROR(VLOOKUP(D393,'Schedule Lookup'!$A:$H,5,0),0)</f>
        <v/>
      </c>
      <c r="M393">
        <f>IFERROR(VLOOKUP(D393,'Schedule Lookup'!$A:$H,6,0),0)</f>
        <v/>
      </c>
      <c r="N393">
        <f>IFERROR(VLOOKUP(D393,'Schedule Lookup'!$A:$H,7,0),0)</f>
        <v/>
      </c>
      <c r="O393">
        <f>IFERROR(VLOOKUP(D393,'Schedule Lookup'!$A:$H,8,0),0)</f>
        <v/>
      </c>
      <c r="T393">
        <f>IF(AND(E393&lt;TIME(9,0,0),F393&gt;TIME(0,0,1)),1,0)</f>
        <v/>
      </c>
      <c r="U393">
        <f>IF(AND(E393&lt;TIME(17,0,0),F393&gt;TIME(9,0,0)),1,0)</f>
        <v/>
      </c>
      <c r="V393">
        <f>IF(AND(E393&lt;TIME(21,0,0),F393&gt;TIME(17,0,0)),1,0)</f>
        <v/>
      </c>
      <c r="W393">
        <f>IF(F393&gt;TIME(17,0,0),1,0)</f>
        <v/>
      </c>
    </row>
    <row r="394">
      <c r="I394">
        <f>IFERROR(VLOOKUP(D394,'Schedule Lookup'!$A:$H,2,0),0)</f>
        <v/>
      </c>
      <c r="J394">
        <f>IFERROR(VLOOKUP(D394,'Schedule Lookup'!$A:$H,3,0),0)</f>
        <v/>
      </c>
      <c r="K394">
        <f>IFERROR(VLOOKUP(D394,'Schedule Lookup'!$A:$H,4,0),0)</f>
        <v/>
      </c>
      <c r="L394">
        <f>IFERROR(VLOOKUP(D394,'Schedule Lookup'!$A:$H,5,0),0)</f>
        <v/>
      </c>
      <c r="M394">
        <f>IFERROR(VLOOKUP(D394,'Schedule Lookup'!$A:$H,6,0),0)</f>
        <v/>
      </c>
      <c r="N394">
        <f>IFERROR(VLOOKUP(D394,'Schedule Lookup'!$A:$H,7,0),0)</f>
        <v/>
      </c>
      <c r="O394">
        <f>IFERROR(VLOOKUP(D394,'Schedule Lookup'!$A:$H,8,0),0)</f>
        <v/>
      </c>
      <c r="T394">
        <f>IF(AND(E394&lt;TIME(9,0,0),F394&gt;TIME(0,0,1)),1,0)</f>
        <v/>
      </c>
      <c r="U394">
        <f>IF(AND(E394&lt;TIME(17,0,0),F394&gt;TIME(9,0,0)),1,0)</f>
        <v/>
      </c>
      <c r="V394">
        <f>IF(AND(E394&lt;TIME(21,0,0),F394&gt;TIME(17,0,0)),1,0)</f>
        <v/>
      </c>
      <c r="W394">
        <f>IF(F394&gt;TIME(17,0,0),1,0)</f>
        <v/>
      </c>
    </row>
    <row r="395">
      <c r="I395">
        <f>IFERROR(VLOOKUP(D395,'Schedule Lookup'!$A:$H,2,0),0)</f>
        <v/>
      </c>
      <c r="J395">
        <f>IFERROR(VLOOKUP(D395,'Schedule Lookup'!$A:$H,3,0),0)</f>
        <v/>
      </c>
      <c r="K395">
        <f>IFERROR(VLOOKUP(D395,'Schedule Lookup'!$A:$H,4,0),0)</f>
        <v/>
      </c>
      <c r="L395">
        <f>IFERROR(VLOOKUP(D395,'Schedule Lookup'!$A:$H,5,0),0)</f>
        <v/>
      </c>
      <c r="M395">
        <f>IFERROR(VLOOKUP(D395,'Schedule Lookup'!$A:$H,6,0),0)</f>
        <v/>
      </c>
      <c r="N395">
        <f>IFERROR(VLOOKUP(D395,'Schedule Lookup'!$A:$H,7,0),0)</f>
        <v/>
      </c>
      <c r="O395">
        <f>IFERROR(VLOOKUP(D395,'Schedule Lookup'!$A:$H,8,0),0)</f>
        <v/>
      </c>
      <c r="T395">
        <f>IF(AND(E395&lt;TIME(9,0,0),F395&gt;TIME(0,0,1)),1,0)</f>
        <v/>
      </c>
      <c r="U395">
        <f>IF(AND(E395&lt;TIME(17,0,0),F395&gt;TIME(9,0,0)),1,0)</f>
        <v/>
      </c>
      <c r="V395">
        <f>IF(AND(E395&lt;TIME(21,0,0),F395&gt;TIME(17,0,0)),1,0)</f>
        <v/>
      </c>
      <c r="W395">
        <f>IF(F395&gt;TIME(17,0,0),1,0)</f>
        <v/>
      </c>
    </row>
    <row r="396">
      <c r="I396">
        <f>IFERROR(VLOOKUP(D396,'Schedule Lookup'!$A:$H,2,0),0)</f>
        <v/>
      </c>
      <c r="J396">
        <f>IFERROR(VLOOKUP(D396,'Schedule Lookup'!$A:$H,3,0),0)</f>
        <v/>
      </c>
      <c r="K396">
        <f>IFERROR(VLOOKUP(D396,'Schedule Lookup'!$A:$H,4,0),0)</f>
        <v/>
      </c>
      <c r="L396">
        <f>IFERROR(VLOOKUP(D396,'Schedule Lookup'!$A:$H,5,0),0)</f>
        <v/>
      </c>
      <c r="M396">
        <f>IFERROR(VLOOKUP(D396,'Schedule Lookup'!$A:$H,6,0),0)</f>
        <v/>
      </c>
      <c r="N396">
        <f>IFERROR(VLOOKUP(D396,'Schedule Lookup'!$A:$H,7,0),0)</f>
        <v/>
      </c>
      <c r="O396">
        <f>IFERROR(VLOOKUP(D396,'Schedule Lookup'!$A:$H,8,0),0)</f>
        <v/>
      </c>
      <c r="T396">
        <f>IF(AND(E396&lt;TIME(9,0,0),F396&gt;TIME(0,0,1)),1,0)</f>
        <v/>
      </c>
      <c r="U396">
        <f>IF(AND(E396&lt;TIME(17,0,0),F396&gt;TIME(9,0,0)),1,0)</f>
        <v/>
      </c>
      <c r="V396">
        <f>IF(AND(E396&lt;TIME(21,0,0),F396&gt;TIME(17,0,0)),1,0)</f>
        <v/>
      </c>
      <c r="W396">
        <f>IF(F396&gt;TIME(17,0,0),1,0)</f>
        <v/>
      </c>
    </row>
    <row r="397">
      <c r="I397">
        <f>IFERROR(VLOOKUP(D397,'Schedule Lookup'!$A:$H,2,0),0)</f>
        <v/>
      </c>
      <c r="J397">
        <f>IFERROR(VLOOKUP(D397,'Schedule Lookup'!$A:$H,3,0),0)</f>
        <v/>
      </c>
      <c r="K397">
        <f>IFERROR(VLOOKUP(D397,'Schedule Lookup'!$A:$H,4,0),0)</f>
        <v/>
      </c>
      <c r="L397">
        <f>IFERROR(VLOOKUP(D397,'Schedule Lookup'!$A:$H,5,0),0)</f>
        <v/>
      </c>
      <c r="M397">
        <f>IFERROR(VLOOKUP(D397,'Schedule Lookup'!$A:$H,6,0),0)</f>
        <v/>
      </c>
      <c r="N397">
        <f>IFERROR(VLOOKUP(D397,'Schedule Lookup'!$A:$H,7,0),0)</f>
        <v/>
      </c>
      <c r="O397">
        <f>IFERROR(VLOOKUP(D397,'Schedule Lookup'!$A:$H,8,0),0)</f>
        <v/>
      </c>
      <c r="T397">
        <f>IF(AND(E397&lt;TIME(9,0,0),F397&gt;TIME(0,0,1)),1,0)</f>
        <v/>
      </c>
      <c r="U397">
        <f>IF(AND(E397&lt;TIME(17,0,0),F397&gt;TIME(9,0,0)),1,0)</f>
        <v/>
      </c>
      <c r="V397">
        <f>IF(AND(E397&lt;TIME(21,0,0),F397&gt;TIME(17,0,0)),1,0)</f>
        <v/>
      </c>
      <c r="W397">
        <f>IF(F397&gt;TIME(17,0,0),1,0)</f>
        <v/>
      </c>
    </row>
    <row r="398">
      <c r="I398">
        <f>IFERROR(VLOOKUP(D398,'Schedule Lookup'!$A:$H,2,0),0)</f>
        <v/>
      </c>
      <c r="J398">
        <f>IFERROR(VLOOKUP(D398,'Schedule Lookup'!$A:$H,3,0),0)</f>
        <v/>
      </c>
      <c r="K398">
        <f>IFERROR(VLOOKUP(D398,'Schedule Lookup'!$A:$H,4,0),0)</f>
        <v/>
      </c>
      <c r="L398">
        <f>IFERROR(VLOOKUP(D398,'Schedule Lookup'!$A:$H,5,0),0)</f>
        <v/>
      </c>
      <c r="M398">
        <f>IFERROR(VLOOKUP(D398,'Schedule Lookup'!$A:$H,6,0),0)</f>
        <v/>
      </c>
      <c r="N398">
        <f>IFERROR(VLOOKUP(D398,'Schedule Lookup'!$A:$H,7,0),0)</f>
        <v/>
      </c>
      <c r="O398">
        <f>IFERROR(VLOOKUP(D398,'Schedule Lookup'!$A:$H,8,0),0)</f>
        <v/>
      </c>
      <c r="T398">
        <f>IF(AND(E398&lt;TIME(9,0,0),F398&gt;TIME(0,0,1)),1,0)</f>
        <v/>
      </c>
      <c r="U398">
        <f>IF(AND(E398&lt;TIME(17,0,0),F398&gt;TIME(9,0,0)),1,0)</f>
        <v/>
      </c>
      <c r="V398">
        <f>IF(AND(E398&lt;TIME(21,0,0),F398&gt;TIME(17,0,0)),1,0)</f>
        <v/>
      </c>
      <c r="W398">
        <f>IF(F398&gt;TIME(17,0,0),1,0)</f>
        <v/>
      </c>
    </row>
    <row r="399">
      <c r="I399">
        <f>IFERROR(VLOOKUP(D399,'Schedule Lookup'!$A:$H,2,0),0)</f>
        <v/>
      </c>
      <c r="J399">
        <f>IFERROR(VLOOKUP(D399,'Schedule Lookup'!$A:$H,3,0),0)</f>
        <v/>
      </c>
      <c r="K399">
        <f>IFERROR(VLOOKUP(D399,'Schedule Lookup'!$A:$H,4,0),0)</f>
        <v/>
      </c>
      <c r="L399">
        <f>IFERROR(VLOOKUP(D399,'Schedule Lookup'!$A:$H,5,0),0)</f>
        <v/>
      </c>
      <c r="M399">
        <f>IFERROR(VLOOKUP(D399,'Schedule Lookup'!$A:$H,6,0),0)</f>
        <v/>
      </c>
      <c r="N399">
        <f>IFERROR(VLOOKUP(D399,'Schedule Lookup'!$A:$H,7,0),0)</f>
        <v/>
      </c>
      <c r="O399">
        <f>IFERROR(VLOOKUP(D399,'Schedule Lookup'!$A:$H,8,0),0)</f>
        <v/>
      </c>
      <c r="T399">
        <f>IF(AND(E399&lt;TIME(9,0,0),F399&gt;TIME(0,0,1)),1,0)</f>
        <v/>
      </c>
      <c r="U399">
        <f>IF(AND(E399&lt;TIME(17,0,0),F399&gt;TIME(9,0,0)),1,0)</f>
        <v/>
      </c>
      <c r="V399">
        <f>IF(AND(E399&lt;TIME(21,0,0),F399&gt;TIME(17,0,0)),1,0)</f>
        <v/>
      </c>
      <c r="W399">
        <f>IF(F399&gt;TIME(17,0,0),1,0)</f>
        <v/>
      </c>
    </row>
    <row r="400">
      <c r="I400">
        <f>IFERROR(VLOOKUP(D400,'Schedule Lookup'!$A:$H,2,0),0)</f>
        <v/>
      </c>
      <c r="J400">
        <f>IFERROR(VLOOKUP(D400,'Schedule Lookup'!$A:$H,3,0),0)</f>
        <v/>
      </c>
      <c r="K400">
        <f>IFERROR(VLOOKUP(D400,'Schedule Lookup'!$A:$H,4,0),0)</f>
        <v/>
      </c>
      <c r="L400">
        <f>IFERROR(VLOOKUP(D400,'Schedule Lookup'!$A:$H,5,0),0)</f>
        <v/>
      </c>
      <c r="M400">
        <f>IFERROR(VLOOKUP(D400,'Schedule Lookup'!$A:$H,6,0),0)</f>
        <v/>
      </c>
      <c r="N400">
        <f>IFERROR(VLOOKUP(D400,'Schedule Lookup'!$A:$H,7,0),0)</f>
        <v/>
      </c>
      <c r="O400">
        <f>IFERROR(VLOOKUP(D400,'Schedule Lookup'!$A:$H,8,0),0)</f>
        <v/>
      </c>
      <c r="T400">
        <f>IF(AND(E400&lt;TIME(9,0,0),F400&gt;TIME(0,0,1)),1,0)</f>
        <v/>
      </c>
      <c r="U400">
        <f>IF(AND(E400&lt;TIME(17,0,0),F400&gt;TIME(9,0,0)),1,0)</f>
        <v/>
      </c>
      <c r="V400">
        <f>IF(AND(E400&lt;TIME(21,0,0),F400&gt;TIME(17,0,0)),1,0)</f>
        <v/>
      </c>
      <c r="W400">
        <f>IF(F400&gt;TIME(17,0,0),1,0)</f>
        <v/>
      </c>
    </row>
    <row r="401">
      <c r="I401">
        <f>IFERROR(VLOOKUP(D401,'Schedule Lookup'!$A:$H,2,0),0)</f>
        <v/>
      </c>
      <c r="J401">
        <f>IFERROR(VLOOKUP(D401,'Schedule Lookup'!$A:$H,3,0),0)</f>
        <v/>
      </c>
      <c r="K401">
        <f>IFERROR(VLOOKUP(D401,'Schedule Lookup'!$A:$H,4,0),0)</f>
        <v/>
      </c>
      <c r="L401">
        <f>IFERROR(VLOOKUP(D401,'Schedule Lookup'!$A:$H,5,0),0)</f>
        <v/>
      </c>
      <c r="M401">
        <f>IFERROR(VLOOKUP(D401,'Schedule Lookup'!$A:$H,6,0),0)</f>
        <v/>
      </c>
      <c r="N401">
        <f>IFERROR(VLOOKUP(D401,'Schedule Lookup'!$A:$H,7,0),0)</f>
        <v/>
      </c>
      <c r="O401">
        <f>IFERROR(VLOOKUP(D401,'Schedule Lookup'!$A:$H,8,0),0)</f>
        <v/>
      </c>
      <c r="T401">
        <f>IF(AND(E401&lt;TIME(9,0,0),F401&gt;TIME(0,0,1)),1,0)</f>
        <v/>
      </c>
      <c r="U401">
        <f>IF(AND(E401&lt;TIME(17,0,0),F401&gt;TIME(9,0,0)),1,0)</f>
        <v/>
      </c>
      <c r="V401">
        <f>IF(AND(E401&lt;TIME(21,0,0),F401&gt;TIME(17,0,0)),1,0)</f>
        <v/>
      </c>
      <c r="W401">
        <f>IF(F401&gt;TIME(17,0,0),1,0)</f>
        <v/>
      </c>
    </row>
    <row r="402">
      <c r="I402">
        <f>IFERROR(VLOOKUP(D402,'Schedule Lookup'!$A:$H,2,0),0)</f>
        <v/>
      </c>
      <c r="J402">
        <f>IFERROR(VLOOKUP(D402,'Schedule Lookup'!$A:$H,3,0),0)</f>
        <v/>
      </c>
      <c r="K402">
        <f>IFERROR(VLOOKUP(D402,'Schedule Lookup'!$A:$H,4,0),0)</f>
        <v/>
      </c>
      <c r="L402">
        <f>IFERROR(VLOOKUP(D402,'Schedule Lookup'!$A:$H,5,0),0)</f>
        <v/>
      </c>
      <c r="M402">
        <f>IFERROR(VLOOKUP(D402,'Schedule Lookup'!$A:$H,6,0),0)</f>
        <v/>
      </c>
      <c r="N402">
        <f>IFERROR(VLOOKUP(D402,'Schedule Lookup'!$A:$H,7,0),0)</f>
        <v/>
      </c>
      <c r="O402">
        <f>IFERROR(VLOOKUP(D402,'Schedule Lookup'!$A:$H,8,0),0)</f>
        <v/>
      </c>
      <c r="T402">
        <f>IF(AND(E402&lt;TIME(9,0,0),F402&gt;TIME(0,0,1)),1,0)</f>
        <v/>
      </c>
      <c r="U402">
        <f>IF(AND(E402&lt;TIME(17,0,0),F402&gt;TIME(9,0,0)),1,0)</f>
        <v/>
      </c>
      <c r="V402">
        <f>IF(AND(E402&lt;TIME(21,0,0),F402&gt;TIME(17,0,0)),1,0)</f>
        <v/>
      </c>
      <c r="W402">
        <f>IF(F402&gt;TIME(17,0,0),1,0)</f>
        <v/>
      </c>
    </row>
    <row r="403">
      <c r="I403">
        <f>IFERROR(VLOOKUP(D403,'Schedule Lookup'!$A:$H,2,0),0)</f>
        <v/>
      </c>
      <c r="J403">
        <f>IFERROR(VLOOKUP(D403,'Schedule Lookup'!$A:$H,3,0),0)</f>
        <v/>
      </c>
      <c r="K403">
        <f>IFERROR(VLOOKUP(D403,'Schedule Lookup'!$A:$H,4,0),0)</f>
        <v/>
      </c>
      <c r="L403">
        <f>IFERROR(VLOOKUP(D403,'Schedule Lookup'!$A:$H,5,0),0)</f>
        <v/>
      </c>
      <c r="M403">
        <f>IFERROR(VLOOKUP(D403,'Schedule Lookup'!$A:$H,6,0),0)</f>
        <v/>
      </c>
      <c r="N403">
        <f>IFERROR(VLOOKUP(D403,'Schedule Lookup'!$A:$H,7,0),0)</f>
        <v/>
      </c>
      <c r="O403">
        <f>IFERROR(VLOOKUP(D403,'Schedule Lookup'!$A:$H,8,0),0)</f>
        <v/>
      </c>
      <c r="T403">
        <f>IF(AND(E403&lt;TIME(9,0,0),F403&gt;TIME(0,0,1)),1,0)</f>
        <v/>
      </c>
      <c r="U403">
        <f>IF(AND(E403&lt;TIME(17,0,0),F403&gt;TIME(9,0,0)),1,0)</f>
        <v/>
      </c>
      <c r="V403">
        <f>IF(AND(E403&lt;TIME(21,0,0),F403&gt;TIME(17,0,0)),1,0)</f>
        <v/>
      </c>
      <c r="W403">
        <f>IF(F403&gt;TIME(17,0,0),1,0)</f>
        <v/>
      </c>
    </row>
    <row r="404">
      <c r="I404">
        <f>IFERROR(VLOOKUP(D404,'Schedule Lookup'!$A:$H,2,0),0)</f>
        <v/>
      </c>
      <c r="J404">
        <f>IFERROR(VLOOKUP(D404,'Schedule Lookup'!$A:$H,3,0),0)</f>
        <v/>
      </c>
      <c r="K404">
        <f>IFERROR(VLOOKUP(D404,'Schedule Lookup'!$A:$H,4,0),0)</f>
        <v/>
      </c>
      <c r="L404">
        <f>IFERROR(VLOOKUP(D404,'Schedule Lookup'!$A:$H,5,0),0)</f>
        <v/>
      </c>
      <c r="M404">
        <f>IFERROR(VLOOKUP(D404,'Schedule Lookup'!$A:$H,6,0),0)</f>
        <v/>
      </c>
      <c r="N404">
        <f>IFERROR(VLOOKUP(D404,'Schedule Lookup'!$A:$H,7,0),0)</f>
        <v/>
      </c>
      <c r="O404">
        <f>IFERROR(VLOOKUP(D404,'Schedule Lookup'!$A:$H,8,0),0)</f>
        <v/>
      </c>
      <c r="T404">
        <f>IF(AND(E404&lt;TIME(9,0,0),F404&gt;TIME(0,0,1)),1,0)</f>
        <v/>
      </c>
      <c r="U404">
        <f>IF(AND(E404&lt;TIME(17,0,0),F404&gt;TIME(9,0,0)),1,0)</f>
        <v/>
      </c>
      <c r="V404">
        <f>IF(AND(E404&lt;TIME(21,0,0),F404&gt;TIME(17,0,0)),1,0)</f>
        <v/>
      </c>
      <c r="W404">
        <f>IF(F404&gt;TIME(17,0,0),1,0)</f>
        <v/>
      </c>
    </row>
    <row r="405">
      <c r="I405">
        <f>IFERROR(VLOOKUP(D405,'Schedule Lookup'!$A:$H,2,0),0)</f>
        <v/>
      </c>
      <c r="J405">
        <f>IFERROR(VLOOKUP(D405,'Schedule Lookup'!$A:$H,3,0),0)</f>
        <v/>
      </c>
      <c r="K405">
        <f>IFERROR(VLOOKUP(D405,'Schedule Lookup'!$A:$H,4,0),0)</f>
        <v/>
      </c>
      <c r="L405">
        <f>IFERROR(VLOOKUP(D405,'Schedule Lookup'!$A:$H,5,0),0)</f>
        <v/>
      </c>
      <c r="M405">
        <f>IFERROR(VLOOKUP(D405,'Schedule Lookup'!$A:$H,6,0),0)</f>
        <v/>
      </c>
      <c r="N405">
        <f>IFERROR(VLOOKUP(D405,'Schedule Lookup'!$A:$H,7,0),0)</f>
        <v/>
      </c>
      <c r="O405">
        <f>IFERROR(VLOOKUP(D405,'Schedule Lookup'!$A:$H,8,0),0)</f>
        <v/>
      </c>
      <c r="T405">
        <f>IF(AND(E405&lt;TIME(9,0,0),F405&gt;TIME(0,0,1)),1,0)</f>
        <v/>
      </c>
      <c r="U405">
        <f>IF(AND(E405&lt;TIME(17,0,0),F405&gt;TIME(9,0,0)),1,0)</f>
        <v/>
      </c>
      <c r="V405">
        <f>IF(AND(E405&lt;TIME(21,0,0),F405&gt;TIME(17,0,0)),1,0)</f>
        <v/>
      </c>
      <c r="W405">
        <f>IF(F405&gt;TIME(17,0,0),1,0)</f>
        <v/>
      </c>
    </row>
    <row r="406">
      <c r="I406">
        <f>IFERROR(VLOOKUP(D406,'Schedule Lookup'!$A:$H,2,0),0)</f>
        <v/>
      </c>
      <c r="J406">
        <f>IFERROR(VLOOKUP(D406,'Schedule Lookup'!$A:$H,3,0),0)</f>
        <v/>
      </c>
      <c r="K406">
        <f>IFERROR(VLOOKUP(D406,'Schedule Lookup'!$A:$H,4,0),0)</f>
        <v/>
      </c>
      <c r="L406">
        <f>IFERROR(VLOOKUP(D406,'Schedule Lookup'!$A:$H,5,0),0)</f>
        <v/>
      </c>
      <c r="M406">
        <f>IFERROR(VLOOKUP(D406,'Schedule Lookup'!$A:$H,6,0),0)</f>
        <v/>
      </c>
      <c r="N406">
        <f>IFERROR(VLOOKUP(D406,'Schedule Lookup'!$A:$H,7,0),0)</f>
        <v/>
      </c>
      <c r="O406">
        <f>IFERROR(VLOOKUP(D406,'Schedule Lookup'!$A:$H,8,0),0)</f>
        <v/>
      </c>
      <c r="T406">
        <f>IF(AND(E406&lt;TIME(9,0,0),F406&gt;TIME(0,0,1)),1,0)</f>
        <v/>
      </c>
      <c r="U406">
        <f>IF(AND(E406&lt;TIME(17,0,0),F406&gt;TIME(9,0,0)),1,0)</f>
        <v/>
      </c>
      <c r="V406">
        <f>IF(AND(E406&lt;TIME(21,0,0),F406&gt;TIME(17,0,0)),1,0)</f>
        <v/>
      </c>
      <c r="W406">
        <f>IF(F406&gt;TIME(17,0,0),1,0)</f>
        <v/>
      </c>
    </row>
    <row r="407">
      <c r="I407">
        <f>IFERROR(VLOOKUP(D407,'Schedule Lookup'!$A:$H,2,0),0)</f>
        <v/>
      </c>
      <c r="J407">
        <f>IFERROR(VLOOKUP(D407,'Schedule Lookup'!$A:$H,3,0),0)</f>
        <v/>
      </c>
      <c r="K407">
        <f>IFERROR(VLOOKUP(D407,'Schedule Lookup'!$A:$H,4,0),0)</f>
        <v/>
      </c>
      <c r="L407">
        <f>IFERROR(VLOOKUP(D407,'Schedule Lookup'!$A:$H,5,0),0)</f>
        <v/>
      </c>
      <c r="M407">
        <f>IFERROR(VLOOKUP(D407,'Schedule Lookup'!$A:$H,6,0),0)</f>
        <v/>
      </c>
      <c r="N407">
        <f>IFERROR(VLOOKUP(D407,'Schedule Lookup'!$A:$H,7,0),0)</f>
        <v/>
      </c>
      <c r="O407">
        <f>IFERROR(VLOOKUP(D407,'Schedule Lookup'!$A:$H,8,0),0)</f>
        <v/>
      </c>
      <c r="T407">
        <f>IF(AND(E407&lt;TIME(9,0,0),F407&gt;TIME(0,0,1)),1,0)</f>
        <v/>
      </c>
      <c r="U407">
        <f>IF(AND(E407&lt;TIME(17,0,0),F407&gt;TIME(9,0,0)),1,0)</f>
        <v/>
      </c>
      <c r="V407">
        <f>IF(AND(E407&lt;TIME(21,0,0),F407&gt;TIME(17,0,0)),1,0)</f>
        <v/>
      </c>
      <c r="W407">
        <f>IF(F407&gt;TIME(17,0,0),1,0)</f>
        <v/>
      </c>
    </row>
    <row r="408">
      <c r="I408">
        <f>IFERROR(VLOOKUP(D408,'Schedule Lookup'!$A:$H,2,0),0)</f>
        <v/>
      </c>
      <c r="J408">
        <f>IFERROR(VLOOKUP(D408,'Schedule Lookup'!$A:$H,3,0),0)</f>
        <v/>
      </c>
      <c r="K408">
        <f>IFERROR(VLOOKUP(D408,'Schedule Lookup'!$A:$H,4,0),0)</f>
        <v/>
      </c>
      <c r="L408">
        <f>IFERROR(VLOOKUP(D408,'Schedule Lookup'!$A:$H,5,0),0)</f>
        <v/>
      </c>
      <c r="M408">
        <f>IFERROR(VLOOKUP(D408,'Schedule Lookup'!$A:$H,6,0),0)</f>
        <v/>
      </c>
      <c r="N408">
        <f>IFERROR(VLOOKUP(D408,'Schedule Lookup'!$A:$H,7,0),0)</f>
        <v/>
      </c>
      <c r="O408">
        <f>IFERROR(VLOOKUP(D408,'Schedule Lookup'!$A:$H,8,0),0)</f>
        <v/>
      </c>
      <c r="T408">
        <f>IF(AND(E408&lt;TIME(9,0,0),F408&gt;TIME(0,0,1)),1,0)</f>
        <v/>
      </c>
      <c r="U408">
        <f>IF(AND(E408&lt;TIME(17,0,0),F408&gt;TIME(9,0,0)),1,0)</f>
        <v/>
      </c>
      <c r="V408">
        <f>IF(AND(E408&lt;TIME(21,0,0),F408&gt;TIME(17,0,0)),1,0)</f>
        <v/>
      </c>
      <c r="W408">
        <f>IF(F408&gt;TIME(17,0,0),1,0)</f>
        <v/>
      </c>
    </row>
    <row r="409">
      <c r="I409">
        <f>IFERROR(VLOOKUP(D409,'Schedule Lookup'!$A:$H,2,0),0)</f>
        <v/>
      </c>
      <c r="J409">
        <f>IFERROR(VLOOKUP(D409,'Schedule Lookup'!$A:$H,3,0),0)</f>
        <v/>
      </c>
      <c r="K409">
        <f>IFERROR(VLOOKUP(D409,'Schedule Lookup'!$A:$H,4,0),0)</f>
        <v/>
      </c>
      <c r="L409">
        <f>IFERROR(VLOOKUP(D409,'Schedule Lookup'!$A:$H,5,0),0)</f>
        <v/>
      </c>
      <c r="M409">
        <f>IFERROR(VLOOKUP(D409,'Schedule Lookup'!$A:$H,6,0),0)</f>
        <v/>
      </c>
      <c r="N409">
        <f>IFERROR(VLOOKUP(D409,'Schedule Lookup'!$A:$H,7,0),0)</f>
        <v/>
      </c>
      <c r="O409">
        <f>IFERROR(VLOOKUP(D409,'Schedule Lookup'!$A:$H,8,0),0)</f>
        <v/>
      </c>
      <c r="T409">
        <f>IF(AND(E409&lt;TIME(9,0,0),F409&gt;TIME(0,0,1)),1,0)</f>
        <v/>
      </c>
      <c r="U409">
        <f>IF(AND(E409&lt;TIME(17,0,0),F409&gt;TIME(9,0,0)),1,0)</f>
        <v/>
      </c>
      <c r="V409">
        <f>IF(AND(E409&lt;TIME(21,0,0),F409&gt;TIME(17,0,0)),1,0)</f>
        <v/>
      </c>
      <c r="W409">
        <f>IF(F409&gt;TIME(17,0,0),1,0)</f>
        <v/>
      </c>
    </row>
    <row r="410">
      <c r="I410">
        <f>IFERROR(VLOOKUP(D410,'Schedule Lookup'!$A:$H,2,0),0)</f>
        <v/>
      </c>
      <c r="J410">
        <f>IFERROR(VLOOKUP(D410,'Schedule Lookup'!$A:$H,3,0),0)</f>
        <v/>
      </c>
      <c r="K410">
        <f>IFERROR(VLOOKUP(D410,'Schedule Lookup'!$A:$H,4,0),0)</f>
        <v/>
      </c>
      <c r="L410">
        <f>IFERROR(VLOOKUP(D410,'Schedule Lookup'!$A:$H,5,0),0)</f>
        <v/>
      </c>
      <c r="M410">
        <f>IFERROR(VLOOKUP(D410,'Schedule Lookup'!$A:$H,6,0),0)</f>
        <v/>
      </c>
      <c r="N410">
        <f>IFERROR(VLOOKUP(D410,'Schedule Lookup'!$A:$H,7,0),0)</f>
        <v/>
      </c>
      <c r="O410">
        <f>IFERROR(VLOOKUP(D410,'Schedule Lookup'!$A:$H,8,0),0)</f>
        <v/>
      </c>
      <c r="T410">
        <f>IF(AND(E410&lt;TIME(9,0,0),F410&gt;TIME(0,0,1)),1,0)</f>
        <v/>
      </c>
      <c r="U410">
        <f>IF(AND(E410&lt;TIME(17,0,0),F410&gt;TIME(9,0,0)),1,0)</f>
        <v/>
      </c>
      <c r="V410">
        <f>IF(AND(E410&lt;TIME(21,0,0),F410&gt;TIME(17,0,0)),1,0)</f>
        <v/>
      </c>
      <c r="W410">
        <f>IF(F410&gt;TIME(17,0,0),1,0)</f>
        <v/>
      </c>
    </row>
    <row r="411">
      <c r="I411">
        <f>IFERROR(VLOOKUP(D411,'Schedule Lookup'!$A:$H,2,0),0)</f>
        <v/>
      </c>
      <c r="J411">
        <f>IFERROR(VLOOKUP(D411,'Schedule Lookup'!$A:$H,3,0),0)</f>
        <v/>
      </c>
      <c r="K411">
        <f>IFERROR(VLOOKUP(D411,'Schedule Lookup'!$A:$H,4,0),0)</f>
        <v/>
      </c>
      <c r="L411">
        <f>IFERROR(VLOOKUP(D411,'Schedule Lookup'!$A:$H,5,0),0)</f>
        <v/>
      </c>
      <c r="M411">
        <f>IFERROR(VLOOKUP(D411,'Schedule Lookup'!$A:$H,6,0),0)</f>
        <v/>
      </c>
      <c r="N411">
        <f>IFERROR(VLOOKUP(D411,'Schedule Lookup'!$A:$H,7,0),0)</f>
        <v/>
      </c>
      <c r="O411">
        <f>IFERROR(VLOOKUP(D411,'Schedule Lookup'!$A:$H,8,0),0)</f>
        <v/>
      </c>
      <c r="T411">
        <f>IF(AND(E411&lt;TIME(9,0,0),F411&gt;TIME(0,0,1)),1,0)</f>
        <v/>
      </c>
      <c r="U411">
        <f>IF(AND(E411&lt;TIME(17,0,0),F411&gt;TIME(9,0,0)),1,0)</f>
        <v/>
      </c>
      <c r="V411">
        <f>IF(AND(E411&lt;TIME(21,0,0),F411&gt;TIME(17,0,0)),1,0)</f>
        <v/>
      </c>
      <c r="W411">
        <f>IF(F411&gt;TIME(17,0,0),1,0)</f>
        <v/>
      </c>
    </row>
    <row r="412">
      <c r="I412">
        <f>IFERROR(VLOOKUP(D412,'Schedule Lookup'!$A:$H,2,0),0)</f>
        <v/>
      </c>
      <c r="J412">
        <f>IFERROR(VLOOKUP(D412,'Schedule Lookup'!$A:$H,3,0),0)</f>
        <v/>
      </c>
      <c r="K412">
        <f>IFERROR(VLOOKUP(D412,'Schedule Lookup'!$A:$H,4,0),0)</f>
        <v/>
      </c>
      <c r="L412">
        <f>IFERROR(VLOOKUP(D412,'Schedule Lookup'!$A:$H,5,0),0)</f>
        <v/>
      </c>
      <c r="M412">
        <f>IFERROR(VLOOKUP(D412,'Schedule Lookup'!$A:$H,6,0),0)</f>
        <v/>
      </c>
      <c r="N412">
        <f>IFERROR(VLOOKUP(D412,'Schedule Lookup'!$A:$H,7,0),0)</f>
        <v/>
      </c>
      <c r="O412">
        <f>IFERROR(VLOOKUP(D412,'Schedule Lookup'!$A:$H,8,0),0)</f>
        <v/>
      </c>
      <c r="T412">
        <f>IF(AND(E412&lt;TIME(9,0,0),F412&gt;TIME(0,0,1)),1,0)</f>
        <v/>
      </c>
      <c r="U412">
        <f>IF(AND(E412&lt;TIME(17,0,0),F412&gt;TIME(9,0,0)),1,0)</f>
        <v/>
      </c>
      <c r="V412">
        <f>IF(AND(E412&lt;TIME(21,0,0),F412&gt;TIME(17,0,0)),1,0)</f>
        <v/>
      </c>
      <c r="W412">
        <f>IF(F412&gt;TIME(17,0,0),1,0)</f>
        <v/>
      </c>
    </row>
    <row r="413">
      <c r="I413">
        <f>IFERROR(VLOOKUP(D413,'Schedule Lookup'!$A:$H,2,0),0)</f>
        <v/>
      </c>
      <c r="J413">
        <f>IFERROR(VLOOKUP(D413,'Schedule Lookup'!$A:$H,3,0),0)</f>
        <v/>
      </c>
      <c r="K413">
        <f>IFERROR(VLOOKUP(D413,'Schedule Lookup'!$A:$H,4,0),0)</f>
        <v/>
      </c>
      <c r="L413">
        <f>IFERROR(VLOOKUP(D413,'Schedule Lookup'!$A:$H,5,0),0)</f>
        <v/>
      </c>
      <c r="M413">
        <f>IFERROR(VLOOKUP(D413,'Schedule Lookup'!$A:$H,6,0),0)</f>
        <v/>
      </c>
      <c r="N413">
        <f>IFERROR(VLOOKUP(D413,'Schedule Lookup'!$A:$H,7,0),0)</f>
        <v/>
      </c>
      <c r="O413">
        <f>IFERROR(VLOOKUP(D413,'Schedule Lookup'!$A:$H,8,0),0)</f>
        <v/>
      </c>
      <c r="T413">
        <f>IF(AND(E413&lt;TIME(9,0,0),F413&gt;TIME(0,0,1)),1,0)</f>
        <v/>
      </c>
      <c r="U413">
        <f>IF(AND(E413&lt;TIME(17,0,0),F413&gt;TIME(9,0,0)),1,0)</f>
        <v/>
      </c>
      <c r="V413">
        <f>IF(AND(E413&lt;TIME(21,0,0),F413&gt;TIME(17,0,0)),1,0)</f>
        <v/>
      </c>
      <c r="W413">
        <f>IF(F413&gt;TIME(17,0,0),1,0)</f>
        <v/>
      </c>
    </row>
    <row r="414">
      <c r="I414">
        <f>IFERROR(VLOOKUP(D414,'Schedule Lookup'!$A:$H,2,0),0)</f>
        <v/>
      </c>
      <c r="J414">
        <f>IFERROR(VLOOKUP(D414,'Schedule Lookup'!$A:$H,3,0),0)</f>
        <v/>
      </c>
      <c r="K414">
        <f>IFERROR(VLOOKUP(D414,'Schedule Lookup'!$A:$H,4,0),0)</f>
        <v/>
      </c>
      <c r="L414">
        <f>IFERROR(VLOOKUP(D414,'Schedule Lookup'!$A:$H,5,0),0)</f>
        <v/>
      </c>
      <c r="M414">
        <f>IFERROR(VLOOKUP(D414,'Schedule Lookup'!$A:$H,6,0),0)</f>
        <v/>
      </c>
      <c r="N414">
        <f>IFERROR(VLOOKUP(D414,'Schedule Lookup'!$A:$H,7,0),0)</f>
        <v/>
      </c>
      <c r="O414">
        <f>IFERROR(VLOOKUP(D414,'Schedule Lookup'!$A:$H,8,0),0)</f>
        <v/>
      </c>
      <c r="T414">
        <f>IF(AND(E414&lt;TIME(9,0,0),F414&gt;TIME(0,0,1)),1,0)</f>
        <v/>
      </c>
      <c r="U414">
        <f>IF(AND(E414&lt;TIME(17,0,0),F414&gt;TIME(9,0,0)),1,0)</f>
        <v/>
      </c>
      <c r="V414">
        <f>IF(AND(E414&lt;TIME(21,0,0),F414&gt;TIME(17,0,0)),1,0)</f>
        <v/>
      </c>
      <c r="W414">
        <f>IF(F414&gt;TIME(17,0,0),1,0)</f>
        <v/>
      </c>
    </row>
    <row r="415">
      <c r="I415">
        <f>IFERROR(VLOOKUP(D415,'Schedule Lookup'!$A:$H,2,0),0)</f>
        <v/>
      </c>
      <c r="J415">
        <f>IFERROR(VLOOKUP(D415,'Schedule Lookup'!$A:$H,3,0),0)</f>
        <v/>
      </c>
      <c r="K415">
        <f>IFERROR(VLOOKUP(D415,'Schedule Lookup'!$A:$H,4,0),0)</f>
        <v/>
      </c>
      <c r="L415">
        <f>IFERROR(VLOOKUP(D415,'Schedule Lookup'!$A:$H,5,0),0)</f>
        <v/>
      </c>
      <c r="M415">
        <f>IFERROR(VLOOKUP(D415,'Schedule Lookup'!$A:$H,6,0),0)</f>
        <v/>
      </c>
      <c r="N415">
        <f>IFERROR(VLOOKUP(D415,'Schedule Lookup'!$A:$H,7,0),0)</f>
        <v/>
      </c>
      <c r="O415">
        <f>IFERROR(VLOOKUP(D415,'Schedule Lookup'!$A:$H,8,0),0)</f>
        <v/>
      </c>
      <c r="T415">
        <f>IF(AND(E415&lt;TIME(9,0,0),F415&gt;TIME(0,0,1)),1,0)</f>
        <v/>
      </c>
      <c r="U415">
        <f>IF(AND(E415&lt;TIME(17,0,0),F415&gt;TIME(9,0,0)),1,0)</f>
        <v/>
      </c>
      <c r="V415">
        <f>IF(AND(E415&lt;TIME(21,0,0),F415&gt;TIME(17,0,0)),1,0)</f>
        <v/>
      </c>
      <c r="W415">
        <f>IF(F415&gt;TIME(17,0,0),1,0)</f>
        <v/>
      </c>
    </row>
    <row r="416">
      <c r="I416">
        <f>IFERROR(VLOOKUP(D416,'Schedule Lookup'!$A:$H,2,0),0)</f>
        <v/>
      </c>
      <c r="J416">
        <f>IFERROR(VLOOKUP(D416,'Schedule Lookup'!$A:$H,3,0),0)</f>
        <v/>
      </c>
      <c r="K416">
        <f>IFERROR(VLOOKUP(D416,'Schedule Lookup'!$A:$H,4,0),0)</f>
        <v/>
      </c>
      <c r="L416">
        <f>IFERROR(VLOOKUP(D416,'Schedule Lookup'!$A:$H,5,0),0)</f>
        <v/>
      </c>
      <c r="M416">
        <f>IFERROR(VLOOKUP(D416,'Schedule Lookup'!$A:$H,6,0),0)</f>
        <v/>
      </c>
      <c r="N416">
        <f>IFERROR(VLOOKUP(D416,'Schedule Lookup'!$A:$H,7,0),0)</f>
        <v/>
      </c>
      <c r="O416">
        <f>IFERROR(VLOOKUP(D416,'Schedule Lookup'!$A:$H,8,0),0)</f>
        <v/>
      </c>
      <c r="T416">
        <f>IF(AND(E416&lt;TIME(9,0,0),F416&gt;TIME(0,0,1)),1,0)</f>
        <v/>
      </c>
      <c r="U416">
        <f>IF(AND(E416&lt;TIME(17,0,0),F416&gt;TIME(9,0,0)),1,0)</f>
        <v/>
      </c>
      <c r="V416">
        <f>IF(AND(E416&lt;TIME(21,0,0),F416&gt;TIME(17,0,0)),1,0)</f>
        <v/>
      </c>
      <c r="W416">
        <f>IF(F416&gt;TIME(17,0,0),1,0)</f>
        <v/>
      </c>
    </row>
    <row r="417">
      <c r="I417">
        <f>IFERROR(VLOOKUP(D417,'Schedule Lookup'!$A:$H,2,0),0)</f>
        <v/>
      </c>
      <c r="J417">
        <f>IFERROR(VLOOKUP(D417,'Schedule Lookup'!$A:$H,3,0),0)</f>
        <v/>
      </c>
      <c r="K417">
        <f>IFERROR(VLOOKUP(D417,'Schedule Lookup'!$A:$H,4,0),0)</f>
        <v/>
      </c>
      <c r="L417">
        <f>IFERROR(VLOOKUP(D417,'Schedule Lookup'!$A:$H,5,0),0)</f>
        <v/>
      </c>
      <c r="M417">
        <f>IFERROR(VLOOKUP(D417,'Schedule Lookup'!$A:$H,6,0),0)</f>
        <v/>
      </c>
      <c r="N417">
        <f>IFERROR(VLOOKUP(D417,'Schedule Lookup'!$A:$H,7,0),0)</f>
        <v/>
      </c>
      <c r="O417">
        <f>IFERROR(VLOOKUP(D417,'Schedule Lookup'!$A:$H,8,0),0)</f>
        <v/>
      </c>
      <c r="T417">
        <f>IF(AND(E417&lt;TIME(9,0,0),F417&gt;TIME(0,0,1)),1,0)</f>
        <v/>
      </c>
      <c r="U417">
        <f>IF(AND(E417&lt;TIME(17,0,0),F417&gt;TIME(9,0,0)),1,0)</f>
        <v/>
      </c>
      <c r="V417">
        <f>IF(AND(E417&lt;TIME(21,0,0),F417&gt;TIME(17,0,0)),1,0)</f>
        <v/>
      </c>
      <c r="W417">
        <f>IF(F417&gt;TIME(17,0,0),1,0)</f>
        <v/>
      </c>
    </row>
    <row r="418">
      <c r="I418">
        <f>IFERROR(VLOOKUP(D418,'Schedule Lookup'!$A:$H,2,0),0)</f>
        <v/>
      </c>
      <c r="J418">
        <f>IFERROR(VLOOKUP(D418,'Schedule Lookup'!$A:$H,3,0),0)</f>
        <v/>
      </c>
      <c r="K418">
        <f>IFERROR(VLOOKUP(D418,'Schedule Lookup'!$A:$H,4,0),0)</f>
        <v/>
      </c>
      <c r="L418">
        <f>IFERROR(VLOOKUP(D418,'Schedule Lookup'!$A:$H,5,0),0)</f>
        <v/>
      </c>
      <c r="M418">
        <f>IFERROR(VLOOKUP(D418,'Schedule Lookup'!$A:$H,6,0),0)</f>
        <v/>
      </c>
      <c r="N418">
        <f>IFERROR(VLOOKUP(D418,'Schedule Lookup'!$A:$H,7,0),0)</f>
        <v/>
      </c>
      <c r="O418">
        <f>IFERROR(VLOOKUP(D418,'Schedule Lookup'!$A:$H,8,0),0)</f>
        <v/>
      </c>
      <c r="T418">
        <f>IF(AND(E418&lt;TIME(9,0,0),F418&gt;TIME(0,0,1)),1,0)</f>
        <v/>
      </c>
      <c r="U418">
        <f>IF(AND(E418&lt;TIME(17,0,0),F418&gt;TIME(9,0,0)),1,0)</f>
        <v/>
      </c>
      <c r="V418">
        <f>IF(AND(E418&lt;TIME(21,0,0),F418&gt;TIME(17,0,0)),1,0)</f>
        <v/>
      </c>
      <c r="W418">
        <f>IF(F418&gt;TIME(17,0,0),1,0)</f>
        <v/>
      </c>
    </row>
    <row r="419">
      <c r="I419">
        <f>IFERROR(VLOOKUP(D419,'Schedule Lookup'!$A:$H,2,0),0)</f>
        <v/>
      </c>
      <c r="J419">
        <f>IFERROR(VLOOKUP(D419,'Schedule Lookup'!$A:$H,3,0),0)</f>
        <v/>
      </c>
      <c r="K419">
        <f>IFERROR(VLOOKUP(D419,'Schedule Lookup'!$A:$H,4,0),0)</f>
        <v/>
      </c>
      <c r="L419">
        <f>IFERROR(VLOOKUP(D419,'Schedule Lookup'!$A:$H,5,0),0)</f>
        <v/>
      </c>
      <c r="M419">
        <f>IFERROR(VLOOKUP(D419,'Schedule Lookup'!$A:$H,6,0),0)</f>
        <v/>
      </c>
      <c r="N419">
        <f>IFERROR(VLOOKUP(D419,'Schedule Lookup'!$A:$H,7,0),0)</f>
        <v/>
      </c>
      <c r="O419">
        <f>IFERROR(VLOOKUP(D419,'Schedule Lookup'!$A:$H,8,0),0)</f>
        <v/>
      </c>
      <c r="T419">
        <f>IF(AND(E419&lt;TIME(9,0,0),F419&gt;TIME(0,0,1)),1,0)</f>
        <v/>
      </c>
      <c r="U419">
        <f>IF(AND(E419&lt;TIME(17,0,0),F419&gt;TIME(9,0,0)),1,0)</f>
        <v/>
      </c>
      <c r="V419">
        <f>IF(AND(E419&lt;TIME(21,0,0),F419&gt;TIME(17,0,0)),1,0)</f>
        <v/>
      </c>
      <c r="W419">
        <f>IF(F419&gt;TIME(17,0,0),1,0)</f>
        <v/>
      </c>
    </row>
    <row r="420">
      <c r="I420">
        <f>IFERROR(VLOOKUP(D420,'Schedule Lookup'!$A:$H,2,0),0)</f>
        <v/>
      </c>
      <c r="J420">
        <f>IFERROR(VLOOKUP(D420,'Schedule Lookup'!$A:$H,3,0),0)</f>
        <v/>
      </c>
      <c r="K420">
        <f>IFERROR(VLOOKUP(D420,'Schedule Lookup'!$A:$H,4,0),0)</f>
        <v/>
      </c>
      <c r="L420">
        <f>IFERROR(VLOOKUP(D420,'Schedule Lookup'!$A:$H,5,0),0)</f>
        <v/>
      </c>
      <c r="M420">
        <f>IFERROR(VLOOKUP(D420,'Schedule Lookup'!$A:$H,6,0),0)</f>
        <v/>
      </c>
      <c r="N420">
        <f>IFERROR(VLOOKUP(D420,'Schedule Lookup'!$A:$H,7,0),0)</f>
        <v/>
      </c>
      <c r="O420">
        <f>IFERROR(VLOOKUP(D420,'Schedule Lookup'!$A:$H,8,0),0)</f>
        <v/>
      </c>
      <c r="T420">
        <f>IF(AND(E420&lt;TIME(9,0,0),F420&gt;TIME(0,0,1)),1,0)</f>
        <v/>
      </c>
      <c r="U420">
        <f>IF(AND(E420&lt;TIME(17,0,0),F420&gt;TIME(9,0,0)),1,0)</f>
        <v/>
      </c>
      <c r="V420">
        <f>IF(AND(E420&lt;TIME(21,0,0),F420&gt;TIME(17,0,0)),1,0)</f>
        <v/>
      </c>
      <c r="W420">
        <f>IF(F420&gt;TIME(17,0,0),1,0)</f>
        <v/>
      </c>
    </row>
    <row r="421">
      <c r="I421">
        <f>IFERROR(VLOOKUP(D421,'Schedule Lookup'!$A:$H,2,0),0)</f>
        <v/>
      </c>
      <c r="J421">
        <f>IFERROR(VLOOKUP(D421,'Schedule Lookup'!$A:$H,3,0),0)</f>
        <v/>
      </c>
      <c r="K421">
        <f>IFERROR(VLOOKUP(D421,'Schedule Lookup'!$A:$H,4,0),0)</f>
        <v/>
      </c>
      <c r="L421">
        <f>IFERROR(VLOOKUP(D421,'Schedule Lookup'!$A:$H,5,0),0)</f>
        <v/>
      </c>
      <c r="M421">
        <f>IFERROR(VLOOKUP(D421,'Schedule Lookup'!$A:$H,6,0),0)</f>
        <v/>
      </c>
      <c r="N421">
        <f>IFERROR(VLOOKUP(D421,'Schedule Lookup'!$A:$H,7,0),0)</f>
        <v/>
      </c>
      <c r="O421">
        <f>IFERROR(VLOOKUP(D421,'Schedule Lookup'!$A:$H,8,0),0)</f>
        <v/>
      </c>
      <c r="T421">
        <f>IF(AND(E421&lt;TIME(9,0,0),F421&gt;TIME(0,0,1)),1,0)</f>
        <v/>
      </c>
      <c r="U421">
        <f>IF(AND(E421&lt;TIME(17,0,0),F421&gt;TIME(9,0,0)),1,0)</f>
        <v/>
      </c>
      <c r="V421">
        <f>IF(AND(E421&lt;TIME(21,0,0),F421&gt;TIME(17,0,0)),1,0)</f>
        <v/>
      </c>
      <c r="W421">
        <f>IF(F421&gt;TIME(17,0,0),1,0)</f>
        <v/>
      </c>
    </row>
    <row r="422">
      <c r="I422">
        <f>IFERROR(VLOOKUP(D422,'Schedule Lookup'!$A:$H,2,0),0)</f>
        <v/>
      </c>
      <c r="J422">
        <f>IFERROR(VLOOKUP(D422,'Schedule Lookup'!$A:$H,3,0),0)</f>
        <v/>
      </c>
      <c r="K422">
        <f>IFERROR(VLOOKUP(D422,'Schedule Lookup'!$A:$H,4,0),0)</f>
        <v/>
      </c>
      <c r="L422">
        <f>IFERROR(VLOOKUP(D422,'Schedule Lookup'!$A:$H,5,0),0)</f>
        <v/>
      </c>
      <c r="M422">
        <f>IFERROR(VLOOKUP(D422,'Schedule Lookup'!$A:$H,6,0),0)</f>
        <v/>
      </c>
      <c r="N422">
        <f>IFERROR(VLOOKUP(D422,'Schedule Lookup'!$A:$H,7,0),0)</f>
        <v/>
      </c>
      <c r="O422">
        <f>IFERROR(VLOOKUP(D422,'Schedule Lookup'!$A:$H,8,0),0)</f>
        <v/>
      </c>
      <c r="T422">
        <f>IF(AND(E422&lt;TIME(9,0,0),F422&gt;TIME(0,0,1)),1,0)</f>
        <v/>
      </c>
      <c r="U422">
        <f>IF(AND(E422&lt;TIME(17,0,0),F422&gt;TIME(9,0,0)),1,0)</f>
        <v/>
      </c>
      <c r="V422">
        <f>IF(AND(E422&lt;TIME(21,0,0),F422&gt;TIME(17,0,0)),1,0)</f>
        <v/>
      </c>
      <c r="W422">
        <f>IF(F422&gt;TIME(17,0,0),1,0)</f>
        <v/>
      </c>
    </row>
    <row r="423">
      <c r="I423">
        <f>IFERROR(VLOOKUP(D423,'Schedule Lookup'!$A:$H,2,0),0)</f>
        <v/>
      </c>
      <c r="J423">
        <f>IFERROR(VLOOKUP(D423,'Schedule Lookup'!$A:$H,3,0),0)</f>
        <v/>
      </c>
      <c r="K423">
        <f>IFERROR(VLOOKUP(D423,'Schedule Lookup'!$A:$H,4,0),0)</f>
        <v/>
      </c>
      <c r="L423">
        <f>IFERROR(VLOOKUP(D423,'Schedule Lookup'!$A:$H,5,0),0)</f>
        <v/>
      </c>
      <c r="M423">
        <f>IFERROR(VLOOKUP(D423,'Schedule Lookup'!$A:$H,6,0),0)</f>
        <v/>
      </c>
      <c r="N423">
        <f>IFERROR(VLOOKUP(D423,'Schedule Lookup'!$A:$H,7,0),0)</f>
        <v/>
      </c>
      <c r="O423">
        <f>IFERROR(VLOOKUP(D423,'Schedule Lookup'!$A:$H,8,0),0)</f>
        <v/>
      </c>
      <c r="T423">
        <f>IF(AND(E423&lt;TIME(9,0,0),F423&gt;TIME(0,0,1)),1,0)</f>
        <v/>
      </c>
      <c r="U423">
        <f>IF(AND(E423&lt;TIME(17,0,0),F423&gt;TIME(9,0,0)),1,0)</f>
        <v/>
      </c>
      <c r="V423">
        <f>IF(AND(E423&lt;TIME(21,0,0),F423&gt;TIME(17,0,0)),1,0)</f>
        <v/>
      </c>
      <c r="W423">
        <f>IF(F423&gt;TIME(17,0,0),1,0)</f>
        <v/>
      </c>
    </row>
    <row r="424">
      <c r="I424">
        <f>IFERROR(VLOOKUP(D424,'Schedule Lookup'!$A:$H,2,0),0)</f>
        <v/>
      </c>
      <c r="J424">
        <f>IFERROR(VLOOKUP(D424,'Schedule Lookup'!$A:$H,3,0),0)</f>
        <v/>
      </c>
      <c r="K424">
        <f>IFERROR(VLOOKUP(D424,'Schedule Lookup'!$A:$H,4,0),0)</f>
        <v/>
      </c>
      <c r="L424">
        <f>IFERROR(VLOOKUP(D424,'Schedule Lookup'!$A:$H,5,0),0)</f>
        <v/>
      </c>
      <c r="M424">
        <f>IFERROR(VLOOKUP(D424,'Schedule Lookup'!$A:$H,6,0),0)</f>
        <v/>
      </c>
      <c r="N424">
        <f>IFERROR(VLOOKUP(D424,'Schedule Lookup'!$A:$H,7,0),0)</f>
        <v/>
      </c>
      <c r="O424">
        <f>IFERROR(VLOOKUP(D424,'Schedule Lookup'!$A:$H,8,0),0)</f>
        <v/>
      </c>
      <c r="T424">
        <f>IF(AND(E424&lt;TIME(9,0,0),F424&gt;TIME(0,0,1)),1,0)</f>
        <v/>
      </c>
      <c r="U424">
        <f>IF(AND(E424&lt;TIME(17,0,0),F424&gt;TIME(9,0,0)),1,0)</f>
        <v/>
      </c>
      <c r="V424">
        <f>IF(AND(E424&lt;TIME(21,0,0),F424&gt;TIME(17,0,0)),1,0)</f>
        <v/>
      </c>
      <c r="W424">
        <f>IF(F424&gt;TIME(17,0,0),1,0)</f>
        <v/>
      </c>
    </row>
    <row r="425">
      <c r="I425">
        <f>IFERROR(VLOOKUP(D425,'Schedule Lookup'!$A:$H,2,0),0)</f>
        <v/>
      </c>
      <c r="J425">
        <f>IFERROR(VLOOKUP(D425,'Schedule Lookup'!$A:$H,3,0),0)</f>
        <v/>
      </c>
      <c r="K425">
        <f>IFERROR(VLOOKUP(D425,'Schedule Lookup'!$A:$H,4,0),0)</f>
        <v/>
      </c>
      <c r="L425">
        <f>IFERROR(VLOOKUP(D425,'Schedule Lookup'!$A:$H,5,0),0)</f>
        <v/>
      </c>
      <c r="M425">
        <f>IFERROR(VLOOKUP(D425,'Schedule Lookup'!$A:$H,6,0),0)</f>
        <v/>
      </c>
      <c r="N425">
        <f>IFERROR(VLOOKUP(D425,'Schedule Lookup'!$A:$H,7,0),0)</f>
        <v/>
      </c>
      <c r="O425">
        <f>IFERROR(VLOOKUP(D425,'Schedule Lookup'!$A:$H,8,0),0)</f>
        <v/>
      </c>
      <c r="T425">
        <f>IF(AND(E425&lt;TIME(9,0,0),F425&gt;TIME(0,0,1)),1,0)</f>
        <v/>
      </c>
      <c r="U425">
        <f>IF(AND(E425&lt;TIME(17,0,0),F425&gt;TIME(9,0,0)),1,0)</f>
        <v/>
      </c>
      <c r="V425">
        <f>IF(AND(E425&lt;TIME(21,0,0),F425&gt;TIME(17,0,0)),1,0)</f>
        <v/>
      </c>
      <c r="W425">
        <f>IF(F425&gt;TIME(17,0,0),1,0)</f>
        <v/>
      </c>
    </row>
    <row r="426">
      <c r="I426">
        <f>IFERROR(VLOOKUP(D426,'Schedule Lookup'!$A:$H,2,0),0)</f>
        <v/>
      </c>
      <c r="J426">
        <f>IFERROR(VLOOKUP(D426,'Schedule Lookup'!$A:$H,3,0),0)</f>
        <v/>
      </c>
      <c r="K426">
        <f>IFERROR(VLOOKUP(D426,'Schedule Lookup'!$A:$H,4,0),0)</f>
        <v/>
      </c>
      <c r="L426">
        <f>IFERROR(VLOOKUP(D426,'Schedule Lookup'!$A:$H,5,0),0)</f>
        <v/>
      </c>
      <c r="M426">
        <f>IFERROR(VLOOKUP(D426,'Schedule Lookup'!$A:$H,6,0),0)</f>
        <v/>
      </c>
      <c r="N426">
        <f>IFERROR(VLOOKUP(D426,'Schedule Lookup'!$A:$H,7,0),0)</f>
        <v/>
      </c>
      <c r="O426">
        <f>IFERROR(VLOOKUP(D426,'Schedule Lookup'!$A:$H,8,0),0)</f>
        <v/>
      </c>
      <c r="T426">
        <f>IF(AND(E426&lt;TIME(9,0,0),F426&gt;TIME(0,0,1)),1,0)</f>
        <v/>
      </c>
      <c r="U426">
        <f>IF(AND(E426&lt;TIME(17,0,0),F426&gt;TIME(9,0,0)),1,0)</f>
        <v/>
      </c>
      <c r="V426">
        <f>IF(AND(E426&lt;TIME(21,0,0),F426&gt;TIME(17,0,0)),1,0)</f>
        <v/>
      </c>
      <c r="W426">
        <f>IF(F426&gt;TIME(17,0,0),1,0)</f>
        <v/>
      </c>
    </row>
    <row r="427">
      <c r="I427">
        <f>IFERROR(VLOOKUP(D427,'Schedule Lookup'!$A:$H,2,0),0)</f>
        <v/>
      </c>
      <c r="J427">
        <f>IFERROR(VLOOKUP(D427,'Schedule Lookup'!$A:$H,3,0),0)</f>
        <v/>
      </c>
      <c r="K427">
        <f>IFERROR(VLOOKUP(D427,'Schedule Lookup'!$A:$H,4,0),0)</f>
        <v/>
      </c>
      <c r="L427">
        <f>IFERROR(VLOOKUP(D427,'Schedule Lookup'!$A:$H,5,0),0)</f>
        <v/>
      </c>
      <c r="M427">
        <f>IFERROR(VLOOKUP(D427,'Schedule Lookup'!$A:$H,6,0),0)</f>
        <v/>
      </c>
      <c r="N427">
        <f>IFERROR(VLOOKUP(D427,'Schedule Lookup'!$A:$H,7,0),0)</f>
        <v/>
      </c>
      <c r="O427">
        <f>IFERROR(VLOOKUP(D427,'Schedule Lookup'!$A:$H,8,0),0)</f>
        <v/>
      </c>
      <c r="T427">
        <f>IF(AND(E427&lt;TIME(9,0,0),F427&gt;TIME(0,0,1)),1,0)</f>
        <v/>
      </c>
      <c r="U427">
        <f>IF(AND(E427&lt;TIME(17,0,0),F427&gt;TIME(9,0,0)),1,0)</f>
        <v/>
      </c>
      <c r="V427">
        <f>IF(AND(E427&lt;TIME(21,0,0),F427&gt;TIME(17,0,0)),1,0)</f>
        <v/>
      </c>
      <c r="W427">
        <f>IF(F427&gt;TIME(17,0,0),1,0)</f>
        <v/>
      </c>
    </row>
    <row r="428">
      <c r="I428">
        <f>IFERROR(VLOOKUP(D428,'Schedule Lookup'!$A:$H,2,0),0)</f>
        <v/>
      </c>
      <c r="J428">
        <f>IFERROR(VLOOKUP(D428,'Schedule Lookup'!$A:$H,3,0),0)</f>
        <v/>
      </c>
      <c r="K428">
        <f>IFERROR(VLOOKUP(D428,'Schedule Lookup'!$A:$H,4,0),0)</f>
        <v/>
      </c>
      <c r="L428">
        <f>IFERROR(VLOOKUP(D428,'Schedule Lookup'!$A:$H,5,0),0)</f>
        <v/>
      </c>
      <c r="M428">
        <f>IFERROR(VLOOKUP(D428,'Schedule Lookup'!$A:$H,6,0),0)</f>
        <v/>
      </c>
      <c r="N428">
        <f>IFERROR(VLOOKUP(D428,'Schedule Lookup'!$A:$H,7,0),0)</f>
        <v/>
      </c>
      <c r="O428">
        <f>IFERROR(VLOOKUP(D428,'Schedule Lookup'!$A:$H,8,0),0)</f>
        <v/>
      </c>
      <c r="T428">
        <f>IF(AND(E428&lt;TIME(9,0,0),F428&gt;TIME(0,0,1)),1,0)</f>
        <v/>
      </c>
      <c r="U428">
        <f>IF(AND(E428&lt;TIME(17,0,0),F428&gt;TIME(9,0,0)),1,0)</f>
        <v/>
      </c>
      <c r="V428">
        <f>IF(AND(E428&lt;TIME(21,0,0),F428&gt;TIME(17,0,0)),1,0)</f>
        <v/>
      </c>
      <c r="W428">
        <f>IF(F428&gt;TIME(17,0,0),1,0)</f>
        <v/>
      </c>
    </row>
    <row r="429">
      <c r="I429">
        <f>IFERROR(VLOOKUP(D429,'Schedule Lookup'!$A:$H,2,0),0)</f>
        <v/>
      </c>
      <c r="J429">
        <f>IFERROR(VLOOKUP(D429,'Schedule Lookup'!$A:$H,3,0),0)</f>
        <v/>
      </c>
      <c r="K429">
        <f>IFERROR(VLOOKUP(D429,'Schedule Lookup'!$A:$H,4,0),0)</f>
        <v/>
      </c>
      <c r="L429">
        <f>IFERROR(VLOOKUP(D429,'Schedule Lookup'!$A:$H,5,0),0)</f>
        <v/>
      </c>
      <c r="M429">
        <f>IFERROR(VLOOKUP(D429,'Schedule Lookup'!$A:$H,6,0),0)</f>
        <v/>
      </c>
      <c r="N429">
        <f>IFERROR(VLOOKUP(D429,'Schedule Lookup'!$A:$H,7,0),0)</f>
        <v/>
      </c>
      <c r="O429">
        <f>IFERROR(VLOOKUP(D429,'Schedule Lookup'!$A:$H,8,0),0)</f>
        <v/>
      </c>
      <c r="T429">
        <f>IF(AND(E429&lt;TIME(9,0,0),F429&gt;TIME(0,0,1)),1,0)</f>
        <v/>
      </c>
      <c r="U429">
        <f>IF(AND(E429&lt;TIME(17,0,0),F429&gt;TIME(9,0,0)),1,0)</f>
        <v/>
      </c>
      <c r="V429">
        <f>IF(AND(E429&lt;TIME(21,0,0),F429&gt;TIME(17,0,0)),1,0)</f>
        <v/>
      </c>
      <c r="W429">
        <f>IF(F429&gt;TIME(17,0,0),1,0)</f>
        <v/>
      </c>
    </row>
    <row r="430">
      <c r="I430">
        <f>IFERROR(VLOOKUP(D430,'Schedule Lookup'!$A:$H,2,0),0)</f>
        <v/>
      </c>
      <c r="J430">
        <f>IFERROR(VLOOKUP(D430,'Schedule Lookup'!$A:$H,3,0),0)</f>
        <v/>
      </c>
      <c r="K430">
        <f>IFERROR(VLOOKUP(D430,'Schedule Lookup'!$A:$H,4,0),0)</f>
        <v/>
      </c>
      <c r="L430">
        <f>IFERROR(VLOOKUP(D430,'Schedule Lookup'!$A:$H,5,0),0)</f>
        <v/>
      </c>
      <c r="M430">
        <f>IFERROR(VLOOKUP(D430,'Schedule Lookup'!$A:$H,6,0),0)</f>
        <v/>
      </c>
      <c r="N430">
        <f>IFERROR(VLOOKUP(D430,'Schedule Lookup'!$A:$H,7,0),0)</f>
        <v/>
      </c>
      <c r="O430">
        <f>IFERROR(VLOOKUP(D430,'Schedule Lookup'!$A:$H,8,0),0)</f>
        <v/>
      </c>
      <c r="T430">
        <f>IF(AND(E430&lt;TIME(9,0,0),F430&gt;TIME(0,0,1)),1,0)</f>
        <v/>
      </c>
      <c r="U430">
        <f>IF(AND(E430&lt;TIME(17,0,0),F430&gt;TIME(9,0,0)),1,0)</f>
        <v/>
      </c>
      <c r="V430">
        <f>IF(AND(E430&lt;TIME(21,0,0),F430&gt;TIME(17,0,0)),1,0)</f>
        <v/>
      </c>
      <c r="W430">
        <f>IF(F430&gt;TIME(17,0,0),1,0)</f>
        <v/>
      </c>
    </row>
    <row r="431">
      <c r="I431">
        <f>IFERROR(VLOOKUP(D431,'Schedule Lookup'!$A:$H,2,0),0)</f>
        <v/>
      </c>
      <c r="J431">
        <f>IFERROR(VLOOKUP(D431,'Schedule Lookup'!$A:$H,3,0),0)</f>
        <v/>
      </c>
      <c r="K431">
        <f>IFERROR(VLOOKUP(D431,'Schedule Lookup'!$A:$H,4,0),0)</f>
        <v/>
      </c>
      <c r="L431">
        <f>IFERROR(VLOOKUP(D431,'Schedule Lookup'!$A:$H,5,0),0)</f>
        <v/>
      </c>
      <c r="M431">
        <f>IFERROR(VLOOKUP(D431,'Schedule Lookup'!$A:$H,6,0),0)</f>
        <v/>
      </c>
      <c r="N431">
        <f>IFERROR(VLOOKUP(D431,'Schedule Lookup'!$A:$H,7,0),0)</f>
        <v/>
      </c>
      <c r="O431">
        <f>IFERROR(VLOOKUP(D431,'Schedule Lookup'!$A:$H,8,0),0)</f>
        <v/>
      </c>
      <c r="T431">
        <f>IF(AND(E431&lt;TIME(9,0,0),F431&gt;TIME(0,0,1)),1,0)</f>
        <v/>
      </c>
      <c r="U431">
        <f>IF(AND(E431&lt;TIME(17,0,0),F431&gt;TIME(9,0,0)),1,0)</f>
        <v/>
      </c>
      <c r="V431">
        <f>IF(AND(E431&lt;TIME(21,0,0),F431&gt;TIME(17,0,0)),1,0)</f>
        <v/>
      </c>
      <c r="W431">
        <f>IF(F431&gt;TIME(17,0,0),1,0)</f>
        <v/>
      </c>
    </row>
    <row r="432">
      <c r="I432">
        <f>IFERROR(VLOOKUP(D432,'Schedule Lookup'!$A:$H,2,0),0)</f>
        <v/>
      </c>
      <c r="J432">
        <f>IFERROR(VLOOKUP(D432,'Schedule Lookup'!$A:$H,3,0),0)</f>
        <v/>
      </c>
      <c r="K432">
        <f>IFERROR(VLOOKUP(D432,'Schedule Lookup'!$A:$H,4,0),0)</f>
        <v/>
      </c>
      <c r="L432">
        <f>IFERROR(VLOOKUP(D432,'Schedule Lookup'!$A:$H,5,0),0)</f>
        <v/>
      </c>
      <c r="M432">
        <f>IFERROR(VLOOKUP(D432,'Schedule Lookup'!$A:$H,6,0),0)</f>
        <v/>
      </c>
      <c r="N432">
        <f>IFERROR(VLOOKUP(D432,'Schedule Lookup'!$A:$H,7,0),0)</f>
        <v/>
      </c>
      <c r="O432">
        <f>IFERROR(VLOOKUP(D432,'Schedule Lookup'!$A:$H,8,0),0)</f>
        <v/>
      </c>
      <c r="T432">
        <f>IF(AND(E432&lt;TIME(9,0,0),F432&gt;TIME(0,0,1)),1,0)</f>
        <v/>
      </c>
      <c r="U432">
        <f>IF(AND(E432&lt;TIME(17,0,0),F432&gt;TIME(9,0,0)),1,0)</f>
        <v/>
      </c>
      <c r="V432">
        <f>IF(AND(E432&lt;TIME(21,0,0),F432&gt;TIME(17,0,0)),1,0)</f>
        <v/>
      </c>
      <c r="W432">
        <f>IF(F432&gt;TIME(17,0,0),1,0)</f>
        <v/>
      </c>
    </row>
    <row r="433">
      <c r="I433">
        <f>IFERROR(VLOOKUP(D433,'Schedule Lookup'!$A:$H,2,0),0)</f>
        <v/>
      </c>
      <c r="J433">
        <f>IFERROR(VLOOKUP(D433,'Schedule Lookup'!$A:$H,3,0),0)</f>
        <v/>
      </c>
      <c r="K433">
        <f>IFERROR(VLOOKUP(D433,'Schedule Lookup'!$A:$H,4,0),0)</f>
        <v/>
      </c>
      <c r="L433">
        <f>IFERROR(VLOOKUP(D433,'Schedule Lookup'!$A:$H,5,0),0)</f>
        <v/>
      </c>
      <c r="M433">
        <f>IFERROR(VLOOKUP(D433,'Schedule Lookup'!$A:$H,6,0),0)</f>
        <v/>
      </c>
      <c r="N433">
        <f>IFERROR(VLOOKUP(D433,'Schedule Lookup'!$A:$H,7,0),0)</f>
        <v/>
      </c>
      <c r="O433">
        <f>IFERROR(VLOOKUP(D433,'Schedule Lookup'!$A:$H,8,0),0)</f>
        <v/>
      </c>
      <c r="T433">
        <f>IF(AND(E433&lt;TIME(9,0,0),F433&gt;TIME(0,0,1)),1,0)</f>
        <v/>
      </c>
      <c r="U433">
        <f>IF(AND(E433&lt;TIME(17,0,0),F433&gt;TIME(9,0,0)),1,0)</f>
        <v/>
      </c>
      <c r="V433">
        <f>IF(AND(E433&lt;TIME(21,0,0),F433&gt;TIME(17,0,0)),1,0)</f>
        <v/>
      </c>
      <c r="W433">
        <f>IF(F433&gt;TIME(17,0,0),1,0)</f>
        <v/>
      </c>
    </row>
    <row r="434">
      <c r="I434">
        <f>IFERROR(VLOOKUP(D434,'Schedule Lookup'!$A:$H,2,0),0)</f>
        <v/>
      </c>
      <c r="J434">
        <f>IFERROR(VLOOKUP(D434,'Schedule Lookup'!$A:$H,3,0),0)</f>
        <v/>
      </c>
      <c r="K434">
        <f>IFERROR(VLOOKUP(D434,'Schedule Lookup'!$A:$H,4,0),0)</f>
        <v/>
      </c>
      <c r="L434">
        <f>IFERROR(VLOOKUP(D434,'Schedule Lookup'!$A:$H,5,0),0)</f>
        <v/>
      </c>
      <c r="M434">
        <f>IFERROR(VLOOKUP(D434,'Schedule Lookup'!$A:$H,6,0),0)</f>
        <v/>
      </c>
      <c r="N434">
        <f>IFERROR(VLOOKUP(D434,'Schedule Lookup'!$A:$H,7,0),0)</f>
        <v/>
      </c>
      <c r="O434">
        <f>IFERROR(VLOOKUP(D434,'Schedule Lookup'!$A:$H,8,0),0)</f>
        <v/>
      </c>
      <c r="T434">
        <f>IF(AND(E434&lt;TIME(9,0,0),F434&gt;TIME(0,0,1)),1,0)</f>
        <v/>
      </c>
      <c r="U434">
        <f>IF(AND(E434&lt;TIME(17,0,0),F434&gt;TIME(9,0,0)),1,0)</f>
        <v/>
      </c>
      <c r="V434">
        <f>IF(AND(E434&lt;TIME(21,0,0),F434&gt;TIME(17,0,0)),1,0)</f>
        <v/>
      </c>
      <c r="W434">
        <f>IF(F434&gt;TIME(17,0,0),1,0)</f>
        <v/>
      </c>
    </row>
    <row r="435">
      <c r="I435">
        <f>IFERROR(VLOOKUP(D435,'Schedule Lookup'!$A:$H,2,0),0)</f>
        <v/>
      </c>
      <c r="J435">
        <f>IFERROR(VLOOKUP(D435,'Schedule Lookup'!$A:$H,3,0),0)</f>
        <v/>
      </c>
      <c r="K435">
        <f>IFERROR(VLOOKUP(D435,'Schedule Lookup'!$A:$H,4,0),0)</f>
        <v/>
      </c>
      <c r="L435">
        <f>IFERROR(VLOOKUP(D435,'Schedule Lookup'!$A:$H,5,0),0)</f>
        <v/>
      </c>
      <c r="M435">
        <f>IFERROR(VLOOKUP(D435,'Schedule Lookup'!$A:$H,6,0),0)</f>
        <v/>
      </c>
      <c r="N435">
        <f>IFERROR(VLOOKUP(D435,'Schedule Lookup'!$A:$H,7,0),0)</f>
        <v/>
      </c>
      <c r="O435">
        <f>IFERROR(VLOOKUP(D435,'Schedule Lookup'!$A:$H,8,0),0)</f>
        <v/>
      </c>
      <c r="T435">
        <f>IF(AND(E435&lt;TIME(9,0,0),F435&gt;TIME(0,0,1)),1,0)</f>
        <v/>
      </c>
      <c r="U435">
        <f>IF(AND(E435&lt;TIME(17,0,0),F435&gt;TIME(9,0,0)),1,0)</f>
        <v/>
      </c>
      <c r="V435">
        <f>IF(AND(E435&lt;TIME(21,0,0),F435&gt;TIME(17,0,0)),1,0)</f>
        <v/>
      </c>
      <c r="W435">
        <f>IF(F435&gt;TIME(17,0,0),1,0)</f>
        <v/>
      </c>
    </row>
    <row r="436">
      <c r="I436">
        <f>IFERROR(VLOOKUP(D436,'Schedule Lookup'!$A:$H,2,0),0)</f>
        <v/>
      </c>
      <c r="J436">
        <f>IFERROR(VLOOKUP(D436,'Schedule Lookup'!$A:$H,3,0),0)</f>
        <v/>
      </c>
      <c r="K436">
        <f>IFERROR(VLOOKUP(D436,'Schedule Lookup'!$A:$H,4,0),0)</f>
        <v/>
      </c>
      <c r="L436">
        <f>IFERROR(VLOOKUP(D436,'Schedule Lookup'!$A:$H,5,0),0)</f>
        <v/>
      </c>
      <c r="M436">
        <f>IFERROR(VLOOKUP(D436,'Schedule Lookup'!$A:$H,6,0),0)</f>
        <v/>
      </c>
      <c r="N436">
        <f>IFERROR(VLOOKUP(D436,'Schedule Lookup'!$A:$H,7,0),0)</f>
        <v/>
      </c>
      <c r="O436">
        <f>IFERROR(VLOOKUP(D436,'Schedule Lookup'!$A:$H,8,0),0)</f>
        <v/>
      </c>
      <c r="T436">
        <f>IF(AND(E436&lt;TIME(9,0,0),F436&gt;TIME(0,0,1)),1,0)</f>
        <v/>
      </c>
      <c r="U436">
        <f>IF(AND(E436&lt;TIME(17,0,0),F436&gt;TIME(9,0,0)),1,0)</f>
        <v/>
      </c>
      <c r="V436">
        <f>IF(AND(E436&lt;TIME(21,0,0),F436&gt;TIME(17,0,0)),1,0)</f>
        <v/>
      </c>
      <c r="W436">
        <f>IF(F436&gt;TIME(17,0,0),1,0)</f>
        <v/>
      </c>
    </row>
    <row r="437">
      <c r="I437">
        <f>IFERROR(VLOOKUP(D437,'Schedule Lookup'!$A:$H,2,0),0)</f>
        <v/>
      </c>
      <c r="J437">
        <f>IFERROR(VLOOKUP(D437,'Schedule Lookup'!$A:$H,3,0),0)</f>
        <v/>
      </c>
      <c r="K437">
        <f>IFERROR(VLOOKUP(D437,'Schedule Lookup'!$A:$H,4,0),0)</f>
        <v/>
      </c>
      <c r="L437">
        <f>IFERROR(VLOOKUP(D437,'Schedule Lookup'!$A:$H,5,0),0)</f>
        <v/>
      </c>
      <c r="M437">
        <f>IFERROR(VLOOKUP(D437,'Schedule Lookup'!$A:$H,6,0),0)</f>
        <v/>
      </c>
      <c r="N437">
        <f>IFERROR(VLOOKUP(D437,'Schedule Lookup'!$A:$H,7,0),0)</f>
        <v/>
      </c>
      <c r="O437">
        <f>IFERROR(VLOOKUP(D437,'Schedule Lookup'!$A:$H,8,0),0)</f>
        <v/>
      </c>
      <c r="T437">
        <f>IF(AND(E437&lt;TIME(9,0,0),F437&gt;TIME(0,0,1)),1,0)</f>
        <v/>
      </c>
      <c r="U437">
        <f>IF(AND(E437&lt;TIME(17,0,0),F437&gt;TIME(9,0,0)),1,0)</f>
        <v/>
      </c>
      <c r="V437">
        <f>IF(AND(E437&lt;TIME(21,0,0),F437&gt;TIME(17,0,0)),1,0)</f>
        <v/>
      </c>
      <c r="W437">
        <f>IF(F437&gt;TIME(17,0,0),1,0)</f>
        <v/>
      </c>
    </row>
    <row r="438">
      <c r="I438">
        <f>IFERROR(VLOOKUP(D438,'Schedule Lookup'!$A:$H,2,0),0)</f>
        <v/>
      </c>
      <c r="J438">
        <f>IFERROR(VLOOKUP(D438,'Schedule Lookup'!$A:$H,3,0),0)</f>
        <v/>
      </c>
      <c r="K438">
        <f>IFERROR(VLOOKUP(D438,'Schedule Lookup'!$A:$H,4,0),0)</f>
        <v/>
      </c>
      <c r="L438">
        <f>IFERROR(VLOOKUP(D438,'Schedule Lookup'!$A:$H,5,0),0)</f>
        <v/>
      </c>
      <c r="M438">
        <f>IFERROR(VLOOKUP(D438,'Schedule Lookup'!$A:$H,6,0),0)</f>
        <v/>
      </c>
      <c r="N438">
        <f>IFERROR(VLOOKUP(D438,'Schedule Lookup'!$A:$H,7,0),0)</f>
        <v/>
      </c>
      <c r="O438">
        <f>IFERROR(VLOOKUP(D438,'Schedule Lookup'!$A:$H,8,0),0)</f>
        <v/>
      </c>
      <c r="T438">
        <f>IF(AND(E438&lt;TIME(9,0,0),F438&gt;TIME(0,0,1)),1,0)</f>
        <v/>
      </c>
      <c r="U438">
        <f>IF(AND(E438&lt;TIME(17,0,0),F438&gt;TIME(9,0,0)),1,0)</f>
        <v/>
      </c>
      <c r="V438">
        <f>IF(AND(E438&lt;TIME(21,0,0),F438&gt;TIME(17,0,0)),1,0)</f>
        <v/>
      </c>
      <c r="W438">
        <f>IF(F438&gt;TIME(17,0,0),1,0)</f>
        <v/>
      </c>
    </row>
    <row r="439">
      <c r="I439">
        <f>IFERROR(VLOOKUP(D439,'Schedule Lookup'!$A:$H,2,0),0)</f>
        <v/>
      </c>
      <c r="J439">
        <f>IFERROR(VLOOKUP(D439,'Schedule Lookup'!$A:$H,3,0),0)</f>
        <v/>
      </c>
      <c r="K439">
        <f>IFERROR(VLOOKUP(D439,'Schedule Lookup'!$A:$H,4,0),0)</f>
        <v/>
      </c>
      <c r="L439">
        <f>IFERROR(VLOOKUP(D439,'Schedule Lookup'!$A:$H,5,0),0)</f>
        <v/>
      </c>
      <c r="M439">
        <f>IFERROR(VLOOKUP(D439,'Schedule Lookup'!$A:$H,6,0),0)</f>
        <v/>
      </c>
      <c r="N439">
        <f>IFERROR(VLOOKUP(D439,'Schedule Lookup'!$A:$H,7,0),0)</f>
        <v/>
      </c>
      <c r="O439">
        <f>IFERROR(VLOOKUP(D439,'Schedule Lookup'!$A:$H,8,0),0)</f>
        <v/>
      </c>
      <c r="T439">
        <f>IF(AND(E439&lt;TIME(9,0,0),F439&gt;TIME(0,0,1)),1,0)</f>
        <v/>
      </c>
      <c r="U439">
        <f>IF(AND(E439&lt;TIME(17,0,0),F439&gt;TIME(9,0,0)),1,0)</f>
        <v/>
      </c>
      <c r="V439">
        <f>IF(AND(E439&lt;TIME(21,0,0),F439&gt;TIME(17,0,0)),1,0)</f>
        <v/>
      </c>
      <c r="W439">
        <f>IF(F439&gt;TIME(17,0,0),1,0)</f>
        <v/>
      </c>
    </row>
    <row r="440">
      <c r="I440">
        <f>IFERROR(VLOOKUP(D440,'Schedule Lookup'!$A:$H,2,0),0)</f>
        <v/>
      </c>
      <c r="J440">
        <f>IFERROR(VLOOKUP(D440,'Schedule Lookup'!$A:$H,3,0),0)</f>
        <v/>
      </c>
      <c r="K440">
        <f>IFERROR(VLOOKUP(D440,'Schedule Lookup'!$A:$H,4,0),0)</f>
        <v/>
      </c>
      <c r="L440">
        <f>IFERROR(VLOOKUP(D440,'Schedule Lookup'!$A:$H,5,0),0)</f>
        <v/>
      </c>
      <c r="M440">
        <f>IFERROR(VLOOKUP(D440,'Schedule Lookup'!$A:$H,6,0),0)</f>
        <v/>
      </c>
      <c r="N440">
        <f>IFERROR(VLOOKUP(D440,'Schedule Lookup'!$A:$H,7,0),0)</f>
        <v/>
      </c>
      <c r="O440">
        <f>IFERROR(VLOOKUP(D440,'Schedule Lookup'!$A:$H,8,0),0)</f>
        <v/>
      </c>
      <c r="T440">
        <f>IF(AND(E440&lt;TIME(9,0,0),F440&gt;TIME(0,0,1)),1,0)</f>
        <v/>
      </c>
      <c r="U440">
        <f>IF(AND(E440&lt;TIME(17,0,0),F440&gt;TIME(9,0,0)),1,0)</f>
        <v/>
      </c>
      <c r="V440">
        <f>IF(AND(E440&lt;TIME(21,0,0),F440&gt;TIME(17,0,0)),1,0)</f>
        <v/>
      </c>
      <c r="W440">
        <f>IF(F440&gt;TIME(17,0,0),1,0)</f>
        <v/>
      </c>
    </row>
    <row r="441">
      <c r="I441">
        <f>IFERROR(VLOOKUP(D441,'Schedule Lookup'!$A:$H,2,0),0)</f>
        <v/>
      </c>
      <c r="J441">
        <f>IFERROR(VLOOKUP(D441,'Schedule Lookup'!$A:$H,3,0),0)</f>
        <v/>
      </c>
      <c r="K441">
        <f>IFERROR(VLOOKUP(D441,'Schedule Lookup'!$A:$H,4,0),0)</f>
        <v/>
      </c>
      <c r="L441">
        <f>IFERROR(VLOOKUP(D441,'Schedule Lookup'!$A:$H,5,0),0)</f>
        <v/>
      </c>
      <c r="M441">
        <f>IFERROR(VLOOKUP(D441,'Schedule Lookup'!$A:$H,6,0),0)</f>
        <v/>
      </c>
      <c r="N441">
        <f>IFERROR(VLOOKUP(D441,'Schedule Lookup'!$A:$H,7,0),0)</f>
        <v/>
      </c>
      <c r="O441">
        <f>IFERROR(VLOOKUP(D441,'Schedule Lookup'!$A:$H,8,0),0)</f>
        <v/>
      </c>
      <c r="T441">
        <f>IF(AND(E441&lt;TIME(9,0,0),F441&gt;TIME(0,0,1)),1,0)</f>
        <v/>
      </c>
      <c r="U441">
        <f>IF(AND(E441&lt;TIME(17,0,0),F441&gt;TIME(9,0,0)),1,0)</f>
        <v/>
      </c>
      <c r="V441">
        <f>IF(AND(E441&lt;TIME(21,0,0),F441&gt;TIME(17,0,0)),1,0)</f>
        <v/>
      </c>
      <c r="W441">
        <f>IF(F441&gt;TIME(17,0,0),1,0)</f>
        <v/>
      </c>
    </row>
    <row r="442">
      <c r="I442">
        <f>IFERROR(VLOOKUP(D442,'Schedule Lookup'!$A:$H,2,0),0)</f>
        <v/>
      </c>
      <c r="J442">
        <f>IFERROR(VLOOKUP(D442,'Schedule Lookup'!$A:$H,3,0),0)</f>
        <v/>
      </c>
      <c r="K442">
        <f>IFERROR(VLOOKUP(D442,'Schedule Lookup'!$A:$H,4,0),0)</f>
        <v/>
      </c>
      <c r="L442">
        <f>IFERROR(VLOOKUP(D442,'Schedule Lookup'!$A:$H,5,0),0)</f>
        <v/>
      </c>
      <c r="M442">
        <f>IFERROR(VLOOKUP(D442,'Schedule Lookup'!$A:$H,6,0),0)</f>
        <v/>
      </c>
      <c r="N442">
        <f>IFERROR(VLOOKUP(D442,'Schedule Lookup'!$A:$H,7,0),0)</f>
        <v/>
      </c>
      <c r="O442">
        <f>IFERROR(VLOOKUP(D442,'Schedule Lookup'!$A:$H,8,0),0)</f>
        <v/>
      </c>
      <c r="T442">
        <f>IF(AND(E442&lt;TIME(9,0,0),F442&gt;TIME(0,0,1)),1,0)</f>
        <v/>
      </c>
      <c r="U442">
        <f>IF(AND(E442&lt;TIME(17,0,0),F442&gt;TIME(9,0,0)),1,0)</f>
        <v/>
      </c>
      <c r="V442">
        <f>IF(AND(E442&lt;TIME(21,0,0),F442&gt;TIME(17,0,0)),1,0)</f>
        <v/>
      </c>
      <c r="W442">
        <f>IF(F442&gt;TIME(17,0,0),1,0)</f>
        <v/>
      </c>
    </row>
    <row r="443">
      <c r="I443">
        <f>IFERROR(VLOOKUP(D443,'Schedule Lookup'!$A:$H,2,0),0)</f>
        <v/>
      </c>
      <c r="J443">
        <f>IFERROR(VLOOKUP(D443,'Schedule Lookup'!$A:$H,3,0),0)</f>
        <v/>
      </c>
      <c r="K443">
        <f>IFERROR(VLOOKUP(D443,'Schedule Lookup'!$A:$H,4,0),0)</f>
        <v/>
      </c>
      <c r="L443">
        <f>IFERROR(VLOOKUP(D443,'Schedule Lookup'!$A:$H,5,0),0)</f>
        <v/>
      </c>
      <c r="M443">
        <f>IFERROR(VLOOKUP(D443,'Schedule Lookup'!$A:$H,6,0),0)</f>
        <v/>
      </c>
      <c r="N443">
        <f>IFERROR(VLOOKUP(D443,'Schedule Lookup'!$A:$H,7,0),0)</f>
        <v/>
      </c>
      <c r="O443">
        <f>IFERROR(VLOOKUP(D443,'Schedule Lookup'!$A:$H,8,0),0)</f>
        <v/>
      </c>
      <c r="T443">
        <f>IF(AND(E443&lt;TIME(9,0,0),F443&gt;TIME(0,0,1)),1,0)</f>
        <v/>
      </c>
      <c r="U443">
        <f>IF(AND(E443&lt;TIME(17,0,0),F443&gt;TIME(9,0,0)),1,0)</f>
        <v/>
      </c>
      <c r="V443">
        <f>IF(AND(E443&lt;TIME(21,0,0),F443&gt;TIME(17,0,0)),1,0)</f>
        <v/>
      </c>
      <c r="W443">
        <f>IF(F443&gt;TIME(17,0,0),1,0)</f>
        <v/>
      </c>
    </row>
    <row r="444">
      <c r="I444">
        <f>IFERROR(VLOOKUP(D444,'Schedule Lookup'!$A:$H,2,0),0)</f>
        <v/>
      </c>
      <c r="J444">
        <f>IFERROR(VLOOKUP(D444,'Schedule Lookup'!$A:$H,3,0),0)</f>
        <v/>
      </c>
      <c r="K444">
        <f>IFERROR(VLOOKUP(D444,'Schedule Lookup'!$A:$H,4,0),0)</f>
        <v/>
      </c>
      <c r="L444">
        <f>IFERROR(VLOOKUP(D444,'Schedule Lookup'!$A:$H,5,0),0)</f>
        <v/>
      </c>
      <c r="M444">
        <f>IFERROR(VLOOKUP(D444,'Schedule Lookup'!$A:$H,6,0),0)</f>
        <v/>
      </c>
      <c r="N444">
        <f>IFERROR(VLOOKUP(D444,'Schedule Lookup'!$A:$H,7,0),0)</f>
        <v/>
      </c>
      <c r="O444">
        <f>IFERROR(VLOOKUP(D444,'Schedule Lookup'!$A:$H,8,0),0)</f>
        <v/>
      </c>
      <c r="T444">
        <f>IF(AND(E444&lt;TIME(9,0,0),F444&gt;TIME(0,0,1)),1,0)</f>
        <v/>
      </c>
      <c r="U444">
        <f>IF(AND(E444&lt;TIME(17,0,0),F444&gt;TIME(9,0,0)),1,0)</f>
        <v/>
      </c>
      <c r="V444">
        <f>IF(AND(E444&lt;TIME(21,0,0),F444&gt;TIME(17,0,0)),1,0)</f>
        <v/>
      </c>
      <c r="W444">
        <f>IF(F444&gt;TIME(17,0,0),1,0)</f>
        <v/>
      </c>
    </row>
    <row r="445">
      <c r="I445">
        <f>IFERROR(VLOOKUP(D445,'Schedule Lookup'!$A:$H,2,0),0)</f>
        <v/>
      </c>
      <c r="J445">
        <f>IFERROR(VLOOKUP(D445,'Schedule Lookup'!$A:$H,3,0),0)</f>
        <v/>
      </c>
      <c r="K445">
        <f>IFERROR(VLOOKUP(D445,'Schedule Lookup'!$A:$H,4,0),0)</f>
        <v/>
      </c>
      <c r="L445">
        <f>IFERROR(VLOOKUP(D445,'Schedule Lookup'!$A:$H,5,0),0)</f>
        <v/>
      </c>
      <c r="M445">
        <f>IFERROR(VLOOKUP(D445,'Schedule Lookup'!$A:$H,6,0),0)</f>
        <v/>
      </c>
      <c r="N445">
        <f>IFERROR(VLOOKUP(D445,'Schedule Lookup'!$A:$H,7,0),0)</f>
        <v/>
      </c>
      <c r="O445">
        <f>IFERROR(VLOOKUP(D445,'Schedule Lookup'!$A:$H,8,0),0)</f>
        <v/>
      </c>
      <c r="T445">
        <f>IF(AND(E445&lt;TIME(9,0,0),F445&gt;TIME(0,0,1)),1,0)</f>
        <v/>
      </c>
      <c r="U445">
        <f>IF(AND(E445&lt;TIME(17,0,0),F445&gt;TIME(9,0,0)),1,0)</f>
        <v/>
      </c>
      <c r="V445">
        <f>IF(AND(E445&lt;TIME(21,0,0),F445&gt;TIME(17,0,0)),1,0)</f>
        <v/>
      </c>
      <c r="W445">
        <f>IF(F445&gt;TIME(17,0,0),1,0)</f>
        <v/>
      </c>
    </row>
    <row r="446">
      <c r="I446">
        <f>IFERROR(VLOOKUP(D446,'Schedule Lookup'!$A:$H,2,0),0)</f>
        <v/>
      </c>
      <c r="J446">
        <f>IFERROR(VLOOKUP(D446,'Schedule Lookup'!$A:$H,3,0),0)</f>
        <v/>
      </c>
      <c r="K446">
        <f>IFERROR(VLOOKUP(D446,'Schedule Lookup'!$A:$H,4,0),0)</f>
        <v/>
      </c>
      <c r="L446">
        <f>IFERROR(VLOOKUP(D446,'Schedule Lookup'!$A:$H,5,0),0)</f>
        <v/>
      </c>
      <c r="M446">
        <f>IFERROR(VLOOKUP(D446,'Schedule Lookup'!$A:$H,6,0),0)</f>
        <v/>
      </c>
      <c r="N446">
        <f>IFERROR(VLOOKUP(D446,'Schedule Lookup'!$A:$H,7,0),0)</f>
        <v/>
      </c>
      <c r="O446">
        <f>IFERROR(VLOOKUP(D446,'Schedule Lookup'!$A:$H,8,0),0)</f>
        <v/>
      </c>
      <c r="T446">
        <f>IF(AND(E446&lt;TIME(9,0,0),F446&gt;TIME(0,0,1)),1,0)</f>
        <v/>
      </c>
      <c r="U446">
        <f>IF(AND(E446&lt;TIME(17,0,0),F446&gt;TIME(9,0,0)),1,0)</f>
        <v/>
      </c>
      <c r="V446">
        <f>IF(AND(E446&lt;TIME(21,0,0),F446&gt;TIME(17,0,0)),1,0)</f>
        <v/>
      </c>
      <c r="W446">
        <f>IF(F446&gt;TIME(17,0,0),1,0)</f>
        <v/>
      </c>
    </row>
    <row r="447">
      <c r="I447">
        <f>IFERROR(VLOOKUP(D447,'Schedule Lookup'!$A:$H,2,0),0)</f>
        <v/>
      </c>
      <c r="J447">
        <f>IFERROR(VLOOKUP(D447,'Schedule Lookup'!$A:$H,3,0),0)</f>
        <v/>
      </c>
      <c r="K447">
        <f>IFERROR(VLOOKUP(D447,'Schedule Lookup'!$A:$H,4,0),0)</f>
        <v/>
      </c>
      <c r="L447">
        <f>IFERROR(VLOOKUP(D447,'Schedule Lookup'!$A:$H,5,0),0)</f>
        <v/>
      </c>
      <c r="M447">
        <f>IFERROR(VLOOKUP(D447,'Schedule Lookup'!$A:$H,6,0),0)</f>
        <v/>
      </c>
      <c r="N447">
        <f>IFERROR(VLOOKUP(D447,'Schedule Lookup'!$A:$H,7,0),0)</f>
        <v/>
      </c>
      <c r="O447">
        <f>IFERROR(VLOOKUP(D447,'Schedule Lookup'!$A:$H,8,0),0)</f>
        <v/>
      </c>
      <c r="T447">
        <f>IF(AND(E447&lt;TIME(9,0,0),F447&gt;TIME(0,0,1)),1,0)</f>
        <v/>
      </c>
      <c r="U447">
        <f>IF(AND(E447&lt;TIME(17,0,0),F447&gt;TIME(9,0,0)),1,0)</f>
        <v/>
      </c>
      <c r="V447">
        <f>IF(AND(E447&lt;TIME(21,0,0),F447&gt;TIME(17,0,0)),1,0)</f>
        <v/>
      </c>
      <c r="W447">
        <f>IF(F447&gt;TIME(17,0,0),1,0)</f>
        <v/>
      </c>
    </row>
    <row r="448">
      <c r="I448">
        <f>IFERROR(VLOOKUP(D448,'Schedule Lookup'!$A:$H,2,0),0)</f>
        <v/>
      </c>
      <c r="J448">
        <f>IFERROR(VLOOKUP(D448,'Schedule Lookup'!$A:$H,3,0),0)</f>
        <v/>
      </c>
      <c r="K448">
        <f>IFERROR(VLOOKUP(D448,'Schedule Lookup'!$A:$H,4,0),0)</f>
        <v/>
      </c>
      <c r="L448">
        <f>IFERROR(VLOOKUP(D448,'Schedule Lookup'!$A:$H,5,0),0)</f>
        <v/>
      </c>
      <c r="M448">
        <f>IFERROR(VLOOKUP(D448,'Schedule Lookup'!$A:$H,6,0),0)</f>
        <v/>
      </c>
      <c r="N448">
        <f>IFERROR(VLOOKUP(D448,'Schedule Lookup'!$A:$H,7,0),0)</f>
        <v/>
      </c>
      <c r="O448">
        <f>IFERROR(VLOOKUP(D448,'Schedule Lookup'!$A:$H,8,0),0)</f>
        <v/>
      </c>
      <c r="T448">
        <f>IF(AND(E448&lt;TIME(9,0,0),F448&gt;TIME(0,0,1)),1,0)</f>
        <v/>
      </c>
      <c r="U448">
        <f>IF(AND(E448&lt;TIME(17,0,0),F448&gt;TIME(9,0,0)),1,0)</f>
        <v/>
      </c>
      <c r="V448">
        <f>IF(AND(E448&lt;TIME(21,0,0),F448&gt;TIME(17,0,0)),1,0)</f>
        <v/>
      </c>
      <c r="W448">
        <f>IF(F448&gt;TIME(17,0,0),1,0)</f>
        <v/>
      </c>
    </row>
    <row r="449">
      <c r="I449">
        <f>IFERROR(VLOOKUP(D449,'Schedule Lookup'!$A:$H,2,0),0)</f>
        <v/>
      </c>
      <c r="J449">
        <f>IFERROR(VLOOKUP(D449,'Schedule Lookup'!$A:$H,3,0),0)</f>
        <v/>
      </c>
      <c r="K449">
        <f>IFERROR(VLOOKUP(D449,'Schedule Lookup'!$A:$H,4,0),0)</f>
        <v/>
      </c>
      <c r="L449">
        <f>IFERROR(VLOOKUP(D449,'Schedule Lookup'!$A:$H,5,0),0)</f>
        <v/>
      </c>
      <c r="M449">
        <f>IFERROR(VLOOKUP(D449,'Schedule Lookup'!$A:$H,6,0),0)</f>
        <v/>
      </c>
      <c r="N449">
        <f>IFERROR(VLOOKUP(D449,'Schedule Lookup'!$A:$H,7,0),0)</f>
        <v/>
      </c>
      <c r="O449">
        <f>IFERROR(VLOOKUP(D449,'Schedule Lookup'!$A:$H,8,0),0)</f>
        <v/>
      </c>
      <c r="T449">
        <f>IF(AND(E449&lt;TIME(9,0,0),F449&gt;TIME(0,0,1)),1,0)</f>
        <v/>
      </c>
      <c r="U449">
        <f>IF(AND(E449&lt;TIME(17,0,0),F449&gt;TIME(9,0,0)),1,0)</f>
        <v/>
      </c>
      <c r="V449">
        <f>IF(AND(E449&lt;TIME(21,0,0),F449&gt;TIME(17,0,0)),1,0)</f>
        <v/>
      </c>
      <c r="W449">
        <f>IF(F449&gt;TIME(17,0,0),1,0)</f>
        <v/>
      </c>
    </row>
    <row r="450">
      <c r="I450">
        <f>IFERROR(VLOOKUP(D450,'Schedule Lookup'!$A:$H,2,0),0)</f>
        <v/>
      </c>
      <c r="J450">
        <f>IFERROR(VLOOKUP(D450,'Schedule Lookup'!$A:$H,3,0),0)</f>
        <v/>
      </c>
      <c r="K450">
        <f>IFERROR(VLOOKUP(D450,'Schedule Lookup'!$A:$H,4,0),0)</f>
        <v/>
      </c>
      <c r="L450">
        <f>IFERROR(VLOOKUP(D450,'Schedule Lookup'!$A:$H,5,0),0)</f>
        <v/>
      </c>
      <c r="M450">
        <f>IFERROR(VLOOKUP(D450,'Schedule Lookup'!$A:$H,6,0),0)</f>
        <v/>
      </c>
      <c r="N450">
        <f>IFERROR(VLOOKUP(D450,'Schedule Lookup'!$A:$H,7,0),0)</f>
        <v/>
      </c>
      <c r="O450">
        <f>IFERROR(VLOOKUP(D450,'Schedule Lookup'!$A:$H,8,0),0)</f>
        <v/>
      </c>
      <c r="T450">
        <f>IF(AND(E450&lt;TIME(9,0,0),F450&gt;TIME(0,0,1)),1,0)</f>
        <v/>
      </c>
      <c r="U450">
        <f>IF(AND(E450&lt;TIME(17,0,0),F450&gt;TIME(9,0,0)),1,0)</f>
        <v/>
      </c>
      <c r="V450">
        <f>IF(AND(E450&lt;TIME(21,0,0),F450&gt;TIME(17,0,0)),1,0)</f>
        <v/>
      </c>
      <c r="W450">
        <f>IF(F450&gt;TIME(17,0,0),1,0)</f>
        <v/>
      </c>
    </row>
    <row r="451">
      <c r="I451">
        <f>IFERROR(VLOOKUP(D451,'Schedule Lookup'!$A:$H,2,0),0)</f>
        <v/>
      </c>
      <c r="J451">
        <f>IFERROR(VLOOKUP(D451,'Schedule Lookup'!$A:$H,3,0),0)</f>
        <v/>
      </c>
      <c r="K451">
        <f>IFERROR(VLOOKUP(D451,'Schedule Lookup'!$A:$H,4,0),0)</f>
        <v/>
      </c>
      <c r="L451">
        <f>IFERROR(VLOOKUP(D451,'Schedule Lookup'!$A:$H,5,0),0)</f>
        <v/>
      </c>
      <c r="M451">
        <f>IFERROR(VLOOKUP(D451,'Schedule Lookup'!$A:$H,6,0),0)</f>
        <v/>
      </c>
      <c r="N451">
        <f>IFERROR(VLOOKUP(D451,'Schedule Lookup'!$A:$H,7,0),0)</f>
        <v/>
      </c>
      <c r="O451">
        <f>IFERROR(VLOOKUP(D451,'Schedule Lookup'!$A:$H,8,0),0)</f>
        <v/>
      </c>
      <c r="T451">
        <f>IF(AND(E451&lt;TIME(9,0,0),F451&gt;TIME(0,0,1)),1,0)</f>
        <v/>
      </c>
      <c r="U451">
        <f>IF(AND(E451&lt;TIME(17,0,0),F451&gt;TIME(9,0,0)),1,0)</f>
        <v/>
      </c>
      <c r="V451">
        <f>IF(AND(E451&lt;TIME(21,0,0),F451&gt;TIME(17,0,0)),1,0)</f>
        <v/>
      </c>
      <c r="W451">
        <f>IF(F451&gt;TIME(17,0,0),1,0)</f>
        <v/>
      </c>
    </row>
    <row r="452">
      <c r="I452">
        <f>IFERROR(VLOOKUP(D452,'Schedule Lookup'!$A:$H,2,0),0)</f>
        <v/>
      </c>
      <c r="J452">
        <f>IFERROR(VLOOKUP(D452,'Schedule Lookup'!$A:$H,3,0),0)</f>
        <v/>
      </c>
      <c r="K452">
        <f>IFERROR(VLOOKUP(D452,'Schedule Lookup'!$A:$H,4,0),0)</f>
        <v/>
      </c>
      <c r="L452">
        <f>IFERROR(VLOOKUP(D452,'Schedule Lookup'!$A:$H,5,0),0)</f>
        <v/>
      </c>
      <c r="M452">
        <f>IFERROR(VLOOKUP(D452,'Schedule Lookup'!$A:$H,6,0),0)</f>
        <v/>
      </c>
      <c r="N452">
        <f>IFERROR(VLOOKUP(D452,'Schedule Lookup'!$A:$H,7,0),0)</f>
        <v/>
      </c>
      <c r="O452">
        <f>IFERROR(VLOOKUP(D452,'Schedule Lookup'!$A:$H,8,0),0)</f>
        <v/>
      </c>
      <c r="T452">
        <f>IF(AND(E452&lt;TIME(9,0,0),F452&gt;TIME(0,0,1)),1,0)</f>
        <v/>
      </c>
      <c r="U452">
        <f>IF(AND(E452&lt;TIME(17,0,0),F452&gt;TIME(9,0,0)),1,0)</f>
        <v/>
      </c>
      <c r="V452">
        <f>IF(AND(E452&lt;TIME(21,0,0),F452&gt;TIME(17,0,0)),1,0)</f>
        <v/>
      </c>
      <c r="W452">
        <f>IF(F452&gt;TIME(17,0,0),1,0)</f>
        <v/>
      </c>
    </row>
    <row r="453">
      <c r="I453">
        <f>IFERROR(VLOOKUP(D453,'Schedule Lookup'!$A:$H,2,0),0)</f>
        <v/>
      </c>
      <c r="J453">
        <f>IFERROR(VLOOKUP(D453,'Schedule Lookup'!$A:$H,3,0),0)</f>
        <v/>
      </c>
      <c r="K453">
        <f>IFERROR(VLOOKUP(D453,'Schedule Lookup'!$A:$H,4,0),0)</f>
        <v/>
      </c>
      <c r="L453">
        <f>IFERROR(VLOOKUP(D453,'Schedule Lookup'!$A:$H,5,0),0)</f>
        <v/>
      </c>
      <c r="M453">
        <f>IFERROR(VLOOKUP(D453,'Schedule Lookup'!$A:$H,6,0),0)</f>
        <v/>
      </c>
      <c r="N453">
        <f>IFERROR(VLOOKUP(D453,'Schedule Lookup'!$A:$H,7,0),0)</f>
        <v/>
      </c>
      <c r="O453">
        <f>IFERROR(VLOOKUP(D453,'Schedule Lookup'!$A:$H,8,0),0)</f>
        <v/>
      </c>
      <c r="T453">
        <f>IF(AND(E453&lt;TIME(9,0,0),F453&gt;TIME(0,0,1)),1,0)</f>
        <v/>
      </c>
      <c r="U453">
        <f>IF(AND(E453&lt;TIME(17,0,0),F453&gt;TIME(9,0,0)),1,0)</f>
        <v/>
      </c>
      <c r="V453">
        <f>IF(AND(E453&lt;TIME(21,0,0),F453&gt;TIME(17,0,0)),1,0)</f>
        <v/>
      </c>
      <c r="W453">
        <f>IF(F453&gt;TIME(17,0,0),1,0)</f>
        <v/>
      </c>
    </row>
    <row r="454">
      <c r="I454">
        <f>IFERROR(VLOOKUP(D454,'Schedule Lookup'!$A:$H,2,0),0)</f>
        <v/>
      </c>
      <c r="J454">
        <f>IFERROR(VLOOKUP(D454,'Schedule Lookup'!$A:$H,3,0),0)</f>
        <v/>
      </c>
      <c r="K454">
        <f>IFERROR(VLOOKUP(D454,'Schedule Lookup'!$A:$H,4,0),0)</f>
        <v/>
      </c>
      <c r="L454">
        <f>IFERROR(VLOOKUP(D454,'Schedule Lookup'!$A:$H,5,0),0)</f>
        <v/>
      </c>
      <c r="M454">
        <f>IFERROR(VLOOKUP(D454,'Schedule Lookup'!$A:$H,6,0),0)</f>
        <v/>
      </c>
      <c r="N454">
        <f>IFERROR(VLOOKUP(D454,'Schedule Lookup'!$A:$H,7,0),0)</f>
        <v/>
      </c>
      <c r="O454">
        <f>IFERROR(VLOOKUP(D454,'Schedule Lookup'!$A:$H,8,0),0)</f>
        <v/>
      </c>
      <c r="T454">
        <f>IF(AND(E454&lt;TIME(9,0,0),F454&gt;TIME(0,0,1)),1,0)</f>
        <v/>
      </c>
      <c r="U454">
        <f>IF(AND(E454&lt;TIME(17,0,0),F454&gt;TIME(9,0,0)),1,0)</f>
        <v/>
      </c>
      <c r="V454">
        <f>IF(AND(E454&lt;TIME(21,0,0),F454&gt;TIME(17,0,0)),1,0)</f>
        <v/>
      </c>
      <c r="W454">
        <f>IF(F454&gt;TIME(17,0,0),1,0)</f>
        <v/>
      </c>
    </row>
    <row r="455">
      <c r="I455">
        <f>IFERROR(VLOOKUP(D455,'Schedule Lookup'!$A:$H,2,0),0)</f>
        <v/>
      </c>
      <c r="J455">
        <f>IFERROR(VLOOKUP(D455,'Schedule Lookup'!$A:$H,3,0),0)</f>
        <v/>
      </c>
      <c r="K455">
        <f>IFERROR(VLOOKUP(D455,'Schedule Lookup'!$A:$H,4,0),0)</f>
        <v/>
      </c>
      <c r="L455">
        <f>IFERROR(VLOOKUP(D455,'Schedule Lookup'!$A:$H,5,0),0)</f>
        <v/>
      </c>
      <c r="M455">
        <f>IFERROR(VLOOKUP(D455,'Schedule Lookup'!$A:$H,6,0),0)</f>
        <v/>
      </c>
      <c r="N455">
        <f>IFERROR(VLOOKUP(D455,'Schedule Lookup'!$A:$H,7,0),0)</f>
        <v/>
      </c>
      <c r="O455">
        <f>IFERROR(VLOOKUP(D455,'Schedule Lookup'!$A:$H,8,0),0)</f>
        <v/>
      </c>
      <c r="T455">
        <f>IF(AND(E455&lt;TIME(9,0,0),F455&gt;TIME(0,0,1)),1,0)</f>
        <v/>
      </c>
      <c r="U455">
        <f>IF(AND(E455&lt;TIME(17,0,0),F455&gt;TIME(9,0,0)),1,0)</f>
        <v/>
      </c>
      <c r="V455">
        <f>IF(AND(E455&lt;TIME(21,0,0),F455&gt;TIME(17,0,0)),1,0)</f>
        <v/>
      </c>
      <c r="W455">
        <f>IF(F455&gt;TIME(17,0,0),1,0)</f>
        <v/>
      </c>
    </row>
    <row r="456">
      <c r="I456">
        <f>IFERROR(VLOOKUP(D456,'Schedule Lookup'!$A:$H,2,0),0)</f>
        <v/>
      </c>
      <c r="J456">
        <f>IFERROR(VLOOKUP(D456,'Schedule Lookup'!$A:$H,3,0),0)</f>
        <v/>
      </c>
      <c r="K456">
        <f>IFERROR(VLOOKUP(D456,'Schedule Lookup'!$A:$H,4,0),0)</f>
        <v/>
      </c>
      <c r="L456">
        <f>IFERROR(VLOOKUP(D456,'Schedule Lookup'!$A:$H,5,0),0)</f>
        <v/>
      </c>
      <c r="M456">
        <f>IFERROR(VLOOKUP(D456,'Schedule Lookup'!$A:$H,6,0),0)</f>
        <v/>
      </c>
      <c r="N456">
        <f>IFERROR(VLOOKUP(D456,'Schedule Lookup'!$A:$H,7,0),0)</f>
        <v/>
      </c>
      <c r="O456">
        <f>IFERROR(VLOOKUP(D456,'Schedule Lookup'!$A:$H,8,0),0)</f>
        <v/>
      </c>
      <c r="T456">
        <f>IF(AND(E456&lt;TIME(9,0,0),F456&gt;TIME(0,0,1)),1,0)</f>
        <v/>
      </c>
      <c r="U456">
        <f>IF(AND(E456&lt;TIME(17,0,0),F456&gt;TIME(9,0,0)),1,0)</f>
        <v/>
      </c>
      <c r="V456">
        <f>IF(AND(E456&lt;TIME(21,0,0),F456&gt;TIME(17,0,0)),1,0)</f>
        <v/>
      </c>
      <c r="W456">
        <f>IF(F456&gt;TIME(17,0,0),1,0)</f>
        <v/>
      </c>
    </row>
    <row r="457">
      <c r="I457">
        <f>IFERROR(VLOOKUP(D457,'Schedule Lookup'!$A:$H,2,0),0)</f>
        <v/>
      </c>
      <c r="J457">
        <f>IFERROR(VLOOKUP(D457,'Schedule Lookup'!$A:$H,3,0),0)</f>
        <v/>
      </c>
      <c r="K457">
        <f>IFERROR(VLOOKUP(D457,'Schedule Lookup'!$A:$H,4,0),0)</f>
        <v/>
      </c>
      <c r="L457">
        <f>IFERROR(VLOOKUP(D457,'Schedule Lookup'!$A:$H,5,0),0)</f>
        <v/>
      </c>
      <c r="M457">
        <f>IFERROR(VLOOKUP(D457,'Schedule Lookup'!$A:$H,6,0),0)</f>
        <v/>
      </c>
      <c r="N457">
        <f>IFERROR(VLOOKUP(D457,'Schedule Lookup'!$A:$H,7,0),0)</f>
        <v/>
      </c>
      <c r="O457">
        <f>IFERROR(VLOOKUP(D457,'Schedule Lookup'!$A:$H,8,0),0)</f>
        <v/>
      </c>
      <c r="T457">
        <f>IF(AND(E457&lt;TIME(9,0,0),F457&gt;TIME(0,0,1)),1,0)</f>
        <v/>
      </c>
      <c r="U457">
        <f>IF(AND(E457&lt;TIME(17,0,0),F457&gt;TIME(9,0,0)),1,0)</f>
        <v/>
      </c>
      <c r="V457">
        <f>IF(AND(E457&lt;TIME(21,0,0),F457&gt;TIME(17,0,0)),1,0)</f>
        <v/>
      </c>
      <c r="W457">
        <f>IF(F457&gt;TIME(17,0,0),1,0)</f>
        <v/>
      </c>
    </row>
    <row r="458">
      <c r="I458">
        <f>IFERROR(VLOOKUP(D458,'Schedule Lookup'!$A:$H,2,0),0)</f>
        <v/>
      </c>
      <c r="J458">
        <f>IFERROR(VLOOKUP(D458,'Schedule Lookup'!$A:$H,3,0),0)</f>
        <v/>
      </c>
      <c r="K458">
        <f>IFERROR(VLOOKUP(D458,'Schedule Lookup'!$A:$H,4,0),0)</f>
        <v/>
      </c>
      <c r="L458">
        <f>IFERROR(VLOOKUP(D458,'Schedule Lookup'!$A:$H,5,0),0)</f>
        <v/>
      </c>
      <c r="M458">
        <f>IFERROR(VLOOKUP(D458,'Schedule Lookup'!$A:$H,6,0),0)</f>
        <v/>
      </c>
      <c r="N458">
        <f>IFERROR(VLOOKUP(D458,'Schedule Lookup'!$A:$H,7,0),0)</f>
        <v/>
      </c>
      <c r="O458">
        <f>IFERROR(VLOOKUP(D458,'Schedule Lookup'!$A:$H,8,0),0)</f>
        <v/>
      </c>
      <c r="T458">
        <f>IF(AND(E458&lt;TIME(9,0,0),F458&gt;TIME(0,0,1)),1,0)</f>
        <v/>
      </c>
      <c r="U458">
        <f>IF(AND(E458&lt;TIME(17,0,0),F458&gt;TIME(9,0,0)),1,0)</f>
        <v/>
      </c>
      <c r="V458">
        <f>IF(AND(E458&lt;TIME(21,0,0),F458&gt;TIME(17,0,0)),1,0)</f>
        <v/>
      </c>
      <c r="W458">
        <f>IF(F458&gt;TIME(17,0,0),1,0)</f>
        <v/>
      </c>
    </row>
    <row r="459">
      <c r="I459">
        <f>IFERROR(VLOOKUP(D459,'Schedule Lookup'!$A:$H,2,0),0)</f>
        <v/>
      </c>
      <c r="J459">
        <f>IFERROR(VLOOKUP(D459,'Schedule Lookup'!$A:$H,3,0),0)</f>
        <v/>
      </c>
      <c r="K459">
        <f>IFERROR(VLOOKUP(D459,'Schedule Lookup'!$A:$H,4,0),0)</f>
        <v/>
      </c>
      <c r="L459">
        <f>IFERROR(VLOOKUP(D459,'Schedule Lookup'!$A:$H,5,0),0)</f>
        <v/>
      </c>
      <c r="M459">
        <f>IFERROR(VLOOKUP(D459,'Schedule Lookup'!$A:$H,6,0),0)</f>
        <v/>
      </c>
      <c r="N459">
        <f>IFERROR(VLOOKUP(D459,'Schedule Lookup'!$A:$H,7,0),0)</f>
        <v/>
      </c>
      <c r="O459">
        <f>IFERROR(VLOOKUP(D459,'Schedule Lookup'!$A:$H,8,0),0)</f>
        <v/>
      </c>
      <c r="T459">
        <f>IF(AND(E459&lt;TIME(9,0,0),F459&gt;TIME(0,0,1)),1,0)</f>
        <v/>
      </c>
      <c r="U459">
        <f>IF(AND(E459&lt;TIME(17,0,0),F459&gt;TIME(9,0,0)),1,0)</f>
        <v/>
      </c>
      <c r="V459">
        <f>IF(AND(E459&lt;TIME(21,0,0),F459&gt;TIME(17,0,0)),1,0)</f>
        <v/>
      </c>
      <c r="W459">
        <f>IF(F459&gt;TIME(17,0,0),1,0)</f>
        <v/>
      </c>
    </row>
    <row r="460">
      <c r="I460">
        <f>IFERROR(VLOOKUP(D460,'Schedule Lookup'!$A:$H,2,0),0)</f>
        <v/>
      </c>
      <c r="J460">
        <f>IFERROR(VLOOKUP(D460,'Schedule Lookup'!$A:$H,3,0),0)</f>
        <v/>
      </c>
      <c r="K460">
        <f>IFERROR(VLOOKUP(D460,'Schedule Lookup'!$A:$H,4,0),0)</f>
        <v/>
      </c>
      <c r="L460">
        <f>IFERROR(VLOOKUP(D460,'Schedule Lookup'!$A:$H,5,0),0)</f>
        <v/>
      </c>
      <c r="M460">
        <f>IFERROR(VLOOKUP(D460,'Schedule Lookup'!$A:$H,6,0),0)</f>
        <v/>
      </c>
      <c r="N460">
        <f>IFERROR(VLOOKUP(D460,'Schedule Lookup'!$A:$H,7,0),0)</f>
        <v/>
      </c>
      <c r="O460">
        <f>IFERROR(VLOOKUP(D460,'Schedule Lookup'!$A:$H,8,0),0)</f>
        <v/>
      </c>
      <c r="T460">
        <f>IF(AND(E460&lt;TIME(9,0,0),F460&gt;TIME(0,0,1)),1,0)</f>
        <v/>
      </c>
      <c r="U460">
        <f>IF(AND(E460&lt;TIME(17,0,0),F460&gt;TIME(9,0,0)),1,0)</f>
        <v/>
      </c>
      <c r="V460">
        <f>IF(AND(E460&lt;TIME(21,0,0),F460&gt;TIME(17,0,0)),1,0)</f>
        <v/>
      </c>
      <c r="W460">
        <f>IF(F460&gt;TIME(17,0,0),1,0)</f>
        <v/>
      </c>
    </row>
    <row r="461">
      <c r="I461">
        <f>IFERROR(VLOOKUP(D461,'Schedule Lookup'!$A:$H,2,0),0)</f>
        <v/>
      </c>
      <c r="J461">
        <f>IFERROR(VLOOKUP(D461,'Schedule Lookup'!$A:$H,3,0),0)</f>
        <v/>
      </c>
      <c r="K461">
        <f>IFERROR(VLOOKUP(D461,'Schedule Lookup'!$A:$H,4,0),0)</f>
        <v/>
      </c>
      <c r="L461">
        <f>IFERROR(VLOOKUP(D461,'Schedule Lookup'!$A:$H,5,0),0)</f>
        <v/>
      </c>
      <c r="M461">
        <f>IFERROR(VLOOKUP(D461,'Schedule Lookup'!$A:$H,6,0),0)</f>
        <v/>
      </c>
      <c r="N461">
        <f>IFERROR(VLOOKUP(D461,'Schedule Lookup'!$A:$H,7,0),0)</f>
        <v/>
      </c>
      <c r="O461">
        <f>IFERROR(VLOOKUP(D461,'Schedule Lookup'!$A:$H,8,0),0)</f>
        <v/>
      </c>
      <c r="T461">
        <f>IF(AND(E461&lt;TIME(9,0,0),F461&gt;TIME(0,0,1)),1,0)</f>
        <v/>
      </c>
      <c r="U461">
        <f>IF(AND(E461&lt;TIME(17,0,0),F461&gt;TIME(9,0,0)),1,0)</f>
        <v/>
      </c>
      <c r="V461">
        <f>IF(AND(E461&lt;TIME(21,0,0),F461&gt;TIME(17,0,0)),1,0)</f>
        <v/>
      </c>
      <c r="W461">
        <f>IF(F461&gt;TIME(17,0,0),1,0)</f>
        <v/>
      </c>
    </row>
    <row r="462">
      <c r="I462">
        <f>IFERROR(VLOOKUP(D462,'Schedule Lookup'!$A:$H,2,0),0)</f>
        <v/>
      </c>
      <c r="J462">
        <f>IFERROR(VLOOKUP(D462,'Schedule Lookup'!$A:$H,3,0),0)</f>
        <v/>
      </c>
      <c r="K462">
        <f>IFERROR(VLOOKUP(D462,'Schedule Lookup'!$A:$H,4,0),0)</f>
        <v/>
      </c>
      <c r="L462">
        <f>IFERROR(VLOOKUP(D462,'Schedule Lookup'!$A:$H,5,0),0)</f>
        <v/>
      </c>
      <c r="M462">
        <f>IFERROR(VLOOKUP(D462,'Schedule Lookup'!$A:$H,6,0),0)</f>
        <v/>
      </c>
      <c r="N462">
        <f>IFERROR(VLOOKUP(D462,'Schedule Lookup'!$A:$H,7,0),0)</f>
        <v/>
      </c>
      <c r="O462">
        <f>IFERROR(VLOOKUP(D462,'Schedule Lookup'!$A:$H,8,0),0)</f>
        <v/>
      </c>
      <c r="T462">
        <f>IF(AND(E462&lt;TIME(9,0,0),F462&gt;TIME(0,0,1)),1,0)</f>
        <v/>
      </c>
      <c r="U462">
        <f>IF(AND(E462&lt;TIME(17,0,0),F462&gt;TIME(9,0,0)),1,0)</f>
        <v/>
      </c>
      <c r="V462">
        <f>IF(AND(E462&lt;TIME(21,0,0),F462&gt;TIME(17,0,0)),1,0)</f>
        <v/>
      </c>
      <c r="W462">
        <f>IF(F462&gt;TIME(17,0,0),1,0)</f>
        <v/>
      </c>
    </row>
    <row r="463">
      <c r="I463">
        <f>IFERROR(VLOOKUP(D463,'Schedule Lookup'!$A:$H,2,0),0)</f>
        <v/>
      </c>
      <c r="J463">
        <f>IFERROR(VLOOKUP(D463,'Schedule Lookup'!$A:$H,3,0),0)</f>
        <v/>
      </c>
      <c r="K463">
        <f>IFERROR(VLOOKUP(D463,'Schedule Lookup'!$A:$H,4,0),0)</f>
        <v/>
      </c>
      <c r="L463">
        <f>IFERROR(VLOOKUP(D463,'Schedule Lookup'!$A:$H,5,0),0)</f>
        <v/>
      </c>
      <c r="M463">
        <f>IFERROR(VLOOKUP(D463,'Schedule Lookup'!$A:$H,6,0),0)</f>
        <v/>
      </c>
      <c r="N463">
        <f>IFERROR(VLOOKUP(D463,'Schedule Lookup'!$A:$H,7,0),0)</f>
        <v/>
      </c>
      <c r="O463">
        <f>IFERROR(VLOOKUP(D463,'Schedule Lookup'!$A:$H,8,0),0)</f>
        <v/>
      </c>
      <c r="T463">
        <f>IF(AND(E463&lt;TIME(9,0,0),F463&gt;TIME(0,0,1)),1,0)</f>
        <v/>
      </c>
      <c r="U463">
        <f>IF(AND(E463&lt;TIME(17,0,0),F463&gt;TIME(9,0,0)),1,0)</f>
        <v/>
      </c>
      <c r="V463">
        <f>IF(AND(E463&lt;TIME(21,0,0),F463&gt;TIME(17,0,0)),1,0)</f>
        <v/>
      </c>
      <c r="W463">
        <f>IF(F463&gt;TIME(17,0,0),1,0)</f>
        <v/>
      </c>
    </row>
    <row r="464">
      <c r="I464">
        <f>IFERROR(VLOOKUP(D464,'Schedule Lookup'!$A:$H,2,0),0)</f>
        <v/>
      </c>
      <c r="J464">
        <f>IFERROR(VLOOKUP(D464,'Schedule Lookup'!$A:$H,3,0),0)</f>
        <v/>
      </c>
      <c r="K464">
        <f>IFERROR(VLOOKUP(D464,'Schedule Lookup'!$A:$H,4,0),0)</f>
        <v/>
      </c>
      <c r="L464">
        <f>IFERROR(VLOOKUP(D464,'Schedule Lookup'!$A:$H,5,0),0)</f>
        <v/>
      </c>
      <c r="M464">
        <f>IFERROR(VLOOKUP(D464,'Schedule Lookup'!$A:$H,6,0),0)</f>
        <v/>
      </c>
      <c r="N464">
        <f>IFERROR(VLOOKUP(D464,'Schedule Lookup'!$A:$H,7,0),0)</f>
        <v/>
      </c>
      <c r="O464">
        <f>IFERROR(VLOOKUP(D464,'Schedule Lookup'!$A:$H,8,0),0)</f>
        <v/>
      </c>
      <c r="T464">
        <f>IF(AND(E464&lt;TIME(9,0,0),F464&gt;TIME(0,0,1)),1,0)</f>
        <v/>
      </c>
      <c r="U464">
        <f>IF(AND(E464&lt;TIME(17,0,0),F464&gt;TIME(9,0,0)),1,0)</f>
        <v/>
      </c>
      <c r="V464">
        <f>IF(AND(E464&lt;TIME(21,0,0),F464&gt;TIME(17,0,0)),1,0)</f>
        <v/>
      </c>
      <c r="W464">
        <f>IF(F464&gt;TIME(17,0,0),1,0)</f>
        <v/>
      </c>
    </row>
    <row r="465">
      <c r="I465">
        <f>IFERROR(VLOOKUP(D465,'Schedule Lookup'!$A:$H,2,0),0)</f>
        <v/>
      </c>
      <c r="J465">
        <f>IFERROR(VLOOKUP(D465,'Schedule Lookup'!$A:$H,3,0),0)</f>
        <v/>
      </c>
      <c r="K465">
        <f>IFERROR(VLOOKUP(D465,'Schedule Lookup'!$A:$H,4,0),0)</f>
        <v/>
      </c>
      <c r="L465">
        <f>IFERROR(VLOOKUP(D465,'Schedule Lookup'!$A:$H,5,0),0)</f>
        <v/>
      </c>
      <c r="M465">
        <f>IFERROR(VLOOKUP(D465,'Schedule Lookup'!$A:$H,6,0),0)</f>
        <v/>
      </c>
      <c r="N465">
        <f>IFERROR(VLOOKUP(D465,'Schedule Lookup'!$A:$H,7,0),0)</f>
        <v/>
      </c>
      <c r="O465">
        <f>IFERROR(VLOOKUP(D465,'Schedule Lookup'!$A:$H,8,0),0)</f>
        <v/>
      </c>
      <c r="T465">
        <f>IF(AND(E465&lt;TIME(9,0,0),F465&gt;TIME(0,0,1)),1,0)</f>
        <v/>
      </c>
      <c r="U465">
        <f>IF(AND(E465&lt;TIME(17,0,0),F465&gt;TIME(9,0,0)),1,0)</f>
        <v/>
      </c>
      <c r="V465">
        <f>IF(AND(E465&lt;TIME(21,0,0),F465&gt;TIME(17,0,0)),1,0)</f>
        <v/>
      </c>
      <c r="W465">
        <f>IF(F465&gt;TIME(17,0,0),1,0)</f>
        <v/>
      </c>
    </row>
    <row r="466">
      <c r="I466">
        <f>IFERROR(VLOOKUP(D466,'Schedule Lookup'!$A:$H,2,0),0)</f>
        <v/>
      </c>
      <c r="J466">
        <f>IFERROR(VLOOKUP(D466,'Schedule Lookup'!$A:$H,3,0),0)</f>
        <v/>
      </c>
      <c r="K466">
        <f>IFERROR(VLOOKUP(D466,'Schedule Lookup'!$A:$H,4,0),0)</f>
        <v/>
      </c>
      <c r="L466">
        <f>IFERROR(VLOOKUP(D466,'Schedule Lookup'!$A:$H,5,0),0)</f>
        <v/>
      </c>
      <c r="M466">
        <f>IFERROR(VLOOKUP(D466,'Schedule Lookup'!$A:$H,6,0),0)</f>
        <v/>
      </c>
      <c r="N466">
        <f>IFERROR(VLOOKUP(D466,'Schedule Lookup'!$A:$H,7,0),0)</f>
        <v/>
      </c>
      <c r="O466">
        <f>IFERROR(VLOOKUP(D466,'Schedule Lookup'!$A:$H,8,0),0)</f>
        <v/>
      </c>
      <c r="T466">
        <f>IF(AND(E466&lt;TIME(9,0,0),F466&gt;TIME(0,0,1)),1,0)</f>
        <v/>
      </c>
      <c r="U466">
        <f>IF(AND(E466&lt;TIME(17,0,0),F466&gt;TIME(9,0,0)),1,0)</f>
        <v/>
      </c>
      <c r="V466">
        <f>IF(AND(E466&lt;TIME(21,0,0),F466&gt;TIME(17,0,0)),1,0)</f>
        <v/>
      </c>
      <c r="W466">
        <f>IF(F466&gt;TIME(17,0,0),1,0)</f>
        <v/>
      </c>
    </row>
    <row r="467">
      <c r="I467">
        <f>IFERROR(VLOOKUP(D467,'Schedule Lookup'!$A:$H,2,0),0)</f>
        <v/>
      </c>
      <c r="J467">
        <f>IFERROR(VLOOKUP(D467,'Schedule Lookup'!$A:$H,3,0),0)</f>
        <v/>
      </c>
      <c r="K467">
        <f>IFERROR(VLOOKUP(D467,'Schedule Lookup'!$A:$H,4,0),0)</f>
        <v/>
      </c>
      <c r="L467">
        <f>IFERROR(VLOOKUP(D467,'Schedule Lookup'!$A:$H,5,0),0)</f>
        <v/>
      </c>
      <c r="M467">
        <f>IFERROR(VLOOKUP(D467,'Schedule Lookup'!$A:$H,6,0),0)</f>
        <v/>
      </c>
      <c r="N467">
        <f>IFERROR(VLOOKUP(D467,'Schedule Lookup'!$A:$H,7,0),0)</f>
        <v/>
      </c>
      <c r="O467">
        <f>IFERROR(VLOOKUP(D467,'Schedule Lookup'!$A:$H,8,0),0)</f>
        <v/>
      </c>
      <c r="T467">
        <f>IF(AND(E467&lt;TIME(9,0,0),F467&gt;TIME(0,0,1)),1,0)</f>
        <v/>
      </c>
      <c r="U467">
        <f>IF(AND(E467&lt;TIME(17,0,0),F467&gt;TIME(9,0,0)),1,0)</f>
        <v/>
      </c>
      <c r="V467">
        <f>IF(AND(E467&lt;TIME(21,0,0),F467&gt;TIME(17,0,0)),1,0)</f>
        <v/>
      </c>
      <c r="W467">
        <f>IF(F467&gt;TIME(17,0,0),1,0)</f>
        <v/>
      </c>
    </row>
    <row r="468">
      <c r="I468">
        <f>IFERROR(VLOOKUP(D468,'Schedule Lookup'!$A:$H,2,0),0)</f>
        <v/>
      </c>
      <c r="J468">
        <f>IFERROR(VLOOKUP(D468,'Schedule Lookup'!$A:$H,3,0),0)</f>
        <v/>
      </c>
      <c r="K468">
        <f>IFERROR(VLOOKUP(D468,'Schedule Lookup'!$A:$H,4,0),0)</f>
        <v/>
      </c>
      <c r="L468">
        <f>IFERROR(VLOOKUP(D468,'Schedule Lookup'!$A:$H,5,0),0)</f>
        <v/>
      </c>
      <c r="M468">
        <f>IFERROR(VLOOKUP(D468,'Schedule Lookup'!$A:$H,6,0),0)</f>
        <v/>
      </c>
      <c r="N468">
        <f>IFERROR(VLOOKUP(D468,'Schedule Lookup'!$A:$H,7,0),0)</f>
        <v/>
      </c>
      <c r="O468">
        <f>IFERROR(VLOOKUP(D468,'Schedule Lookup'!$A:$H,8,0),0)</f>
        <v/>
      </c>
      <c r="T468">
        <f>IF(AND(E468&lt;TIME(9,0,0),F468&gt;TIME(0,0,1)),1,0)</f>
        <v/>
      </c>
      <c r="U468">
        <f>IF(AND(E468&lt;TIME(17,0,0),F468&gt;TIME(9,0,0)),1,0)</f>
        <v/>
      </c>
      <c r="V468">
        <f>IF(AND(E468&lt;TIME(21,0,0),F468&gt;TIME(17,0,0)),1,0)</f>
        <v/>
      </c>
      <c r="W468">
        <f>IF(F468&gt;TIME(17,0,0),1,0)</f>
        <v/>
      </c>
    </row>
    <row r="469">
      <c r="I469">
        <f>IFERROR(VLOOKUP(D469,'Schedule Lookup'!$A:$H,2,0),0)</f>
        <v/>
      </c>
      <c r="J469">
        <f>IFERROR(VLOOKUP(D469,'Schedule Lookup'!$A:$H,3,0),0)</f>
        <v/>
      </c>
      <c r="K469">
        <f>IFERROR(VLOOKUP(D469,'Schedule Lookup'!$A:$H,4,0),0)</f>
        <v/>
      </c>
      <c r="L469">
        <f>IFERROR(VLOOKUP(D469,'Schedule Lookup'!$A:$H,5,0),0)</f>
        <v/>
      </c>
      <c r="M469">
        <f>IFERROR(VLOOKUP(D469,'Schedule Lookup'!$A:$H,6,0),0)</f>
        <v/>
      </c>
      <c r="N469">
        <f>IFERROR(VLOOKUP(D469,'Schedule Lookup'!$A:$H,7,0),0)</f>
        <v/>
      </c>
      <c r="O469">
        <f>IFERROR(VLOOKUP(D469,'Schedule Lookup'!$A:$H,8,0),0)</f>
        <v/>
      </c>
      <c r="T469">
        <f>IF(AND(E469&lt;TIME(9,0,0),F469&gt;TIME(0,0,1)),1,0)</f>
        <v/>
      </c>
      <c r="U469">
        <f>IF(AND(E469&lt;TIME(17,0,0),F469&gt;TIME(9,0,0)),1,0)</f>
        <v/>
      </c>
      <c r="V469">
        <f>IF(AND(E469&lt;TIME(21,0,0),F469&gt;TIME(17,0,0)),1,0)</f>
        <v/>
      </c>
      <c r="W469">
        <f>IF(F469&gt;TIME(17,0,0),1,0)</f>
        <v/>
      </c>
    </row>
    <row r="470">
      <c r="I470">
        <f>IFERROR(VLOOKUP(D470,'Schedule Lookup'!$A:$H,2,0),0)</f>
        <v/>
      </c>
      <c r="J470">
        <f>IFERROR(VLOOKUP(D470,'Schedule Lookup'!$A:$H,3,0),0)</f>
        <v/>
      </c>
      <c r="K470">
        <f>IFERROR(VLOOKUP(D470,'Schedule Lookup'!$A:$H,4,0),0)</f>
        <v/>
      </c>
      <c r="L470">
        <f>IFERROR(VLOOKUP(D470,'Schedule Lookup'!$A:$H,5,0),0)</f>
        <v/>
      </c>
      <c r="M470">
        <f>IFERROR(VLOOKUP(D470,'Schedule Lookup'!$A:$H,6,0),0)</f>
        <v/>
      </c>
      <c r="N470">
        <f>IFERROR(VLOOKUP(D470,'Schedule Lookup'!$A:$H,7,0),0)</f>
        <v/>
      </c>
      <c r="O470">
        <f>IFERROR(VLOOKUP(D470,'Schedule Lookup'!$A:$H,8,0),0)</f>
        <v/>
      </c>
      <c r="T470">
        <f>IF(AND(E470&lt;TIME(9,0,0),F470&gt;TIME(0,0,1)),1,0)</f>
        <v/>
      </c>
      <c r="U470">
        <f>IF(AND(E470&lt;TIME(17,0,0),F470&gt;TIME(9,0,0)),1,0)</f>
        <v/>
      </c>
      <c r="V470">
        <f>IF(AND(E470&lt;TIME(21,0,0),F470&gt;TIME(17,0,0)),1,0)</f>
        <v/>
      </c>
      <c r="W470">
        <f>IF(F470&gt;TIME(17,0,0),1,0)</f>
        <v/>
      </c>
    </row>
    <row r="471">
      <c r="I471">
        <f>IFERROR(VLOOKUP(D471,'Schedule Lookup'!$A:$H,2,0),0)</f>
        <v/>
      </c>
      <c r="J471">
        <f>IFERROR(VLOOKUP(D471,'Schedule Lookup'!$A:$H,3,0),0)</f>
        <v/>
      </c>
      <c r="K471">
        <f>IFERROR(VLOOKUP(D471,'Schedule Lookup'!$A:$H,4,0),0)</f>
        <v/>
      </c>
      <c r="L471">
        <f>IFERROR(VLOOKUP(D471,'Schedule Lookup'!$A:$H,5,0),0)</f>
        <v/>
      </c>
      <c r="M471">
        <f>IFERROR(VLOOKUP(D471,'Schedule Lookup'!$A:$H,6,0),0)</f>
        <v/>
      </c>
      <c r="N471">
        <f>IFERROR(VLOOKUP(D471,'Schedule Lookup'!$A:$H,7,0),0)</f>
        <v/>
      </c>
      <c r="O471">
        <f>IFERROR(VLOOKUP(D471,'Schedule Lookup'!$A:$H,8,0),0)</f>
        <v/>
      </c>
      <c r="T471">
        <f>IF(AND(E471&lt;TIME(9,0,0),F471&gt;TIME(0,0,1)),1,0)</f>
        <v/>
      </c>
      <c r="U471">
        <f>IF(AND(E471&lt;TIME(17,0,0),F471&gt;TIME(9,0,0)),1,0)</f>
        <v/>
      </c>
      <c r="V471">
        <f>IF(AND(E471&lt;TIME(21,0,0),F471&gt;TIME(17,0,0)),1,0)</f>
        <v/>
      </c>
      <c r="W471">
        <f>IF(F471&gt;TIME(17,0,0),1,0)</f>
        <v/>
      </c>
    </row>
    <row r="472">
      <c r="I472">
        <f>IFERROR(VLOOKUP(D472,'Schedule Lookup'!$A:$H,2,0),0)</f>
        <v/>
      </c>
      <c r="J472">
        <f>IFERROR(VLOOKUP(D472,'Schedule Lookup'!$A:$H,3,0),0)</f>
        <v/>
      </c>
      <c r="K472">
        <f>IFERROR(VLOOKUP(D472,'Schedule Lookup'!$A:$H,4,0),0)</f>
        <v/>
      </c>
      <c r="L472">
        <f>IFERROR(VLOOKUP(D472,'Schedule Lookup'!$A:$H,5,0),0)</f>
        <v/>
      </c>
      <c r="M472">
        <f>IFERROR(VLOOKUP(D472,'Schedule Lookup'!$A:$H,6,0),0)</f>
        <v/>
      </c>
      <c r="N472">
        <f>IFERROR(VLOOKUP(D472,'Schedule Lookup'!$A:$H,7,0),0)</f>
        <v/>
      </c>
      <c r="O472">
        <f>IFERROR(VLOOKUP(D472,'Schedule Lookup'!$A:$H,8,0),0)</f>
        <v/>
      </c>
      <c r="T472">
        <f>IF(AND(E472&lt;TIME(9,0,0),F472&gt;TIME(0,0,1)),1,0)</f>
        <v/>
      </c>
      <c r="U472">
        <f>IF(AND(E472&lt;TIME(17,0,0),F472&gt;TIME(9,0,0)),1,0)</f>
        <v/>
      </c>
      <c r="V472">
        <f>IF(AND(E472&lt;TIME(21,0,0),F472&gt;TIME(17,0,0)),1,0)</f>
        <v/>
      </c>
      <c r="W472">
        <f>IF(F472&gt;TIME(17,0,0),1,0)</f>
        <v/>
      </c>
    </row>
    <row r="473">
      <c r="I473">
        <f>IFERROR(VLOOKUP(D473,'Schedule Lookup'!$A:$H,2,0),0)</f>
        <v/>
      </c>
      <c r="J473">
        <f>IFERROR(VLOOKUP(D473,'Schedule Lookup'!$A:$H,3,0),0)</f>
        <v/>
      </c>
      <c r="K473">
        <f>IFERROR(VLOOKUP(D473,'Schedule Lookup'!$A:$H,4,0),0)</f>
        <v/>
      </c>
      <c r="L473">
        <f>IFERROR(VLOOKUP(D473,'Schedule Lookup'!$A:$H,5,0),0)</f>
        <v/>
      </c>
      <c r="M473">
        <f>IFERROR(VLOOKUP(D473,'Schedule Lookup'!$A:$H,6,0),0)</f>
        <v/>
      </c>
      <c r="N473">
        <f>IFERROR(VLOOKUP(D473,'Schedule Lookup'!$A:$H,7,0),0)</f>
        <v/>
      </c>
      <c r="O473">
        <f>IFERROR(VLOOKUP(D473,'Schedule Lookup'!$A:$H,8,0),0)</f>
        <v/>
      </c>
      <c r="T473">
        <f>IF(AND(E473&lt;TIME(9,0,0),F473&gt;TIME(0,0,1)),1,0)</f>
        <v/>
      </c>
      <c r="U473">
        <f>IF(AND(E473&lt;TIME(17,0,0),F473&gt;TIME(9,0,0)),1,0)</f>
        <v/>
      </c>
      <c r="V473">
        <f>IF(AND(E473&lt;TIME(21,0,0),F473&gt;TIME(17,0,0)),1,0)</f>
        <v/>
      </c>
      <c r="W473">
        <f>IF(F473&gt;TIME(17,0,0),1,0)</f>
        <v/>
      </c>
    </row>
    <row r="474">
      <c r="I474">
        <f>IFERROR(VLOOKUP(D474,'Schedule Lookup'!$A:$H,2,0),0)</f>
        <v/>
      </c>
      <c r="J474">
        <f>IFERROR(VLOOKUP(D474,'Schedule Lookup'!$A:$H,3,0),0)</f>
        <v/>
      </c>
      <c r="K474">
        <f>IFERROR(VLOOKUP(D474,'Schedule Lookup'!$A:$H,4,0),0)</f>
        <v/>
      </c>
      <c r="L474">
        <f>IFERROR(VLOOKUP(D474,'Schedule Lookup'!$A:$H,5,0),0)</f>
        <v/>
      </c>
      <c r="M474">
        <f>IFERROR(VLOOKUP(D474,'Schedule Lookup'!$A:$H,6,0),0)</f>
        <v/>
      </c>
      <c r="N474">
        <f>IFERROR(VLOOKUP(D474,'Schedule Lookup'!$A:$H,7,0),0)</f>
        <v/>
      </c>
      <c r="O474">
        <f>IFERROR(VLOOKUP(D474,'Schedule Lookup'!$A:$H,8,0),0)</f>
        <v/>
      </c>
      <c r="T474">
        <f>IF(AND(E474&lt;TIME(9,0,0),F474&gt;TIME(0,0,1)),1,0)</f>
        <v/>
      </c>
      <c r="U474">
        <f>IF(AND(E474&lt;TIME(17,0,0),F474&gt;TIME(9,0,0)),1,0)</f>
        <v/>
      </c>
      <c r="V474">
        <f>IF(AND(E474&lt;TIME(21,0,0),F474&gt;TIME(17,0,0)),1,0)</f>
        <v/>
      </c>
      <c r="W474">
        <f>IF(F474&gt;TIME(17,0,0),1,0)</f>
        <v/>
      </c>
    </row>
    <row r="475">
      <c r="I475">
        <f>IFERROR(VLOOKUP(D475,'Schedule Lookup'!$A:$H,2,0),0)</f>
        <v/>
      </c>
      <c r="J475">
        <f>IFERROR(VLOOKUP(D475,'Schedule Lookup'!$A:$H,3,0),0)</f>
        <v/>
      </c>
      <c r="K475">
        <f>IFERROR(VLOOKUP(D475,'Schedule Lookup'!$A:$H,4,0),0)</f>
        <v/>
      </c>
      <c r="L475">
        <f>IFERROR(VLOOKUP(D475,'Schedule Lookup'!$A:$H,5,0),0)</f>
        <v/>
      </c>
      <c r="M475">
        <f>IFERROR(VLOOKUP(D475,'Schedule Lookup'!$A:$H,6,0),0)</f>
        <v/>
      </c>
      <c r="N475">
        <f>IFERROR(VLOOKUP(D475,'Schedule Lookup'!$A:$H,7,0),0)</f>
        <v/>
      </c>
      <c r="O475">
        <f>IFERROR(VLOOKUP(D475,'Schedule Lookup'!$A:$H,8,0),0)</f>
        <v/>
      </c>
      <c r="T475">
        <f>IF(AND(E475&lt;TIME(9,0,0),F475&gt;TIME(0,0,1)),1,0)</f>
        <v/>
      </c>
      <c r="U475">
        <f>IF(AND(E475&lt;TIME(17,0,0),F475&gt;TIME(9,0,0)),1,0)</f>
        <v/>
      </c>
      <c r="V475">
        <f>IF(AND(E475&lt;TIME(21,0,0),F475&gt;TIME(17,0,0)),1,0)</f>
        <v/>
      </c>
      <c r="W475">
        <f>IF(F475&gt;TIME(17,0,0),1,0)</f>
        <v/>
      </c>
    </row>
    <row r="476">
      <c r="I476">
        <f>IFERROR(VLOOKUP(D476,'Schedule Lookup'!$A:$H,2,0),0)</f>
        <v/>
      </c>
      <c r="J476">
        <f>IFERROR(VLOOKUP(D476,'Schedule Lookup'!$A:$H,3,0),0)</f>
        <v/>
      </c>
      <c r="K476">
        <f>IFERROR(VLOOKUP(D476,'Schedule Lookup'!$A:$H,4,0),0)</f>
        <v/>
      </c>
      <c r="L476">
        <f>IFERROR(VLOOKUP(D476,'Schedule Lookup'!$A:$H,5,0),0)</f>
        <v/>
      </c>
      <c r="M476">
        <f>IFERROR(VLOOKUP(D476,'Schedule Lookup'!$A:$H,6,0),0)</f>
        <v/>
      </c>
      <c r="N476">
        <f>IFERROR(VLOOKUP(D476,'Schedule Lookup'!$A:$H,7,0),0)</f>
        <v/>
      </c>
      <c r="O476">
        <f>IFERROR(VLOOKUP(D476,'Schedule Lookup'!$A:$H,8,0),0)</f>
        <v/>
      </c>
      <c r="T476">
        <f>IF(AND(E476&lt;TIME(9,0,0),F476&gt;TIME(0,0,1)),1,0)</f>
        <v/>
      </c>
      <c r="U476">
        <f>IF(AND(E476&lt;TIME(17,0,0),F476&gt;TIME(9,0,0)),1,0)</f>
        <v/>
      </c>
      <c r="V476">
        <f>IF(AND(E476&lt;TIME(21,0,0),F476&gt;TIME(17,0,0)),1,0)</f>
        <v/>
      </c>
      <c r="W476">
        <f>IF(F476&gt;TIME(17,0,0),1,0)</f>
        <v/>
      </c>
    </row>
    <row r="477">
      <c r="I477">
        <f>IFERROR(VLOOKUP(D477,'Schedule Lookup'!$A:$H,2,0),0)</f>
        <v/>
      </c>
      <c r="J477">
        <f>IFERROR(VLOOKUP(D477,'Schedule Lookup'!$A:$H,3,0),0)</f>
        <v/>
      </c>
      <c r="K477">
        <f>IFERROR(VLOOKUP(D477,'Schedule Lookup'!$A:$H,4,0),0)</f>
        <v/>
      </c>
      <c r="L477">
        <f>IFERROR(VLOOKUP(D477,'Schedule Lookup'!$A:$H,5,0),0)</f>
        <v/>
      </c>
      <c r="M477">
        <f>IFERROR(VLOOKUP(D477,'Schedule Lookup'!$A:$H,6,0),0)</f>
        <v/>
      </c>
      <c r="N477">
        <f>IFERROR(VLOOKUP(D477,'Schedule Lookup'!$A:$H,7,0),0)</f>
        <v/>
      </c>
      <c r="O477">
        <f>IFERROR(VLOOKUP(D477,'Schedule Lookup'!$A:$H,8,0),0)</f>
        <v/>
      </c>
      <c r="T477">
        <f>IF(AND(E477&lt;TIME(9,0,0),F477&gt;TIME(0,0,1)),1,0)</f>
        <v/>
      </c>
      <c r="U477">
        <f>IF(AND(E477&lt;TIME(17,0,0),F477&gt;TIME(9,0,0)),1,0)</f>
        <v/>
      </c>
      <c r="V477">
        <f>IF(AND(E477&lt;TIME(21,0,0),F477&gt;TIME(17,0,0)),1,0)</f>
        <v/>
      </c>
      <c r="W477">
        <f>IF(F477&gt;TIME(17,0,0),1,0)</f>
        <v/>
      </c>
    </row>
    <row r="478">
      <c r="I478">
        <f>IFERROR(VLOOKUP(D478,'Schedule Lookup'!$A:$H,2,0),0)</f>
        <v/>
      </c>
      <c r="J478">
        <f>IFERROR(VLOOKUP(D478,'Schedule Lookup'!$A:$H,3,0),0)</f>
        <v/>
      </c>
      <c r="K478">
        <f>IFERROR(VLOOKUP(D478,'Schedule Lookup'!$A:$H,4,0),0)</f>
        <v/>
      </c>
      <c r="L478">
        <f>IFERROR(VLOOKUP(D478,'Schedule Lookup'!$A:$H,5,0),0)</f>
        <v/>
      </c>
      <c r="M478">
        <f>IFERROR(VLOOKUP(D478,'Schedule Lookup'!$A:$H,6,0),0)</f>
        <v/>
      </c>
      <c r="N478">
        <f>IFERROR(VLOOKUP(D478,'Schedule Lookup'!$A:$H,7,0),0)</f>
        <v/>
      </c>
      <c r="O478">
        <f>IFERROR(VLOOKUP(D478,'Schedule Lookup'!$A:$H,8,0),0)</f>
        <v/>
      </c>
      <c r="T478">
        <f>IF(AND(E478&lt;TIME(9,0,0),F478&gt;TIME(0,0,1)),1,0)</f>
        <v/>
      </c>
      <c r="U478">
        <f>IF(AND(E478&lt;TIME(17,0,0),F478&gt;TIME(9,0,0)),1,0)</f>
        <v/>
      </c>
      <c r="V478">
        <f>IF(AND(E478&lt;TIME(21,0,0),F478&gt;TIME(17,0,0)),1,0)</f>
        <v/>
      </c>
      <c r="W478">
        <f>IF(F478&gt;TIME(17,0,0),1,0)</f>
        <v/>
      </c>
    </row>
    <row r="479">
      <c r="I479">
        <f>IFERROR(VLOOKUP(D479,'Schedule Lookup'!$A:$H,2,0),0)</f>
        <v/>
      </c>
      <c r="J479">
        <f>IFERROR(VLOOKUP(D479,'Schedule Lookup'!$A:$H,3,0),0)</f>
        <v/>
      </c>
      <c r="K479">
        <f>IFERROR(VLOOKUP(D479,'Schedule Lookup'!$A:$H,4,0),0)</f>
        <v/>
      </c>
      <c r="L479">
        <f>IFERROR(VLOOKUP(D479,'Schedule Lookup'!$A:$H,5,0),0)</f>
        <v/>
      </c>
      <c r="M479">
        <f>IFERROR(VLOOKUP(D479,'Schedule Lookup'!$A:$H,6,0),0)</f>
        <v/>
      </c>
      <c r="N479">
        <f>IFERROR(VLOOKUP(D479,'Schedule Lookup'!$A:$H,7,0),0)</f>
        <v/>
      </c>
      <c r="O479">
        <f>IFERROR(VLOOKUP(D479,'Schedule Lookup'!$A:$H,8,0),0)</f>
        <v/>
      </c>
      <c r="T479">
        <f>IF(AND(E479&lt;TIME(9,0,0),F479&gt;TIME(0,0,1)),1,0)</f>
        <v/>
      </c>
      <c r="U479">
        <f>IF(AND(E479&lt;TIME(17,0,0),F479&gt;TIME(9,0,0)),1,0)</f>
        <v/>
      </c>
      <c r="V479">
        <f>IF(AND(E479&lt;TIME(21,0,0),F479&gt;TIME(17,0,0)),1,0)</f>
        <v/>
      </c>
      <c r="W479">
        <f>IF(F479&gt;TIME(17,0,0),1,0)</f>
        <v/>
      </c>
    </row>
    <row r="480">
      <c r="I480">
        <f>IFERROR(VLOOKUP(D480,'Schedule Lookup'!$A:$H,2,0),0)</f>
        <v/>
      </c>
      <c r="J480">
        <f>IFERROR(VLOOKUP(D480,'Schedule Lookup'!$A:$H,3,0),0)</f>
        <v/>
      </c>
      <c r="K480">
        <f>IFERROR(VLOOKUP(D480,'Schedule Lookup'!$A:$H,4,0),0)</f>
        <v/>
      </c>
      <c r="L480">
        <f>IFERROR(VLOOKUP(D480,'Schedule Lookup'!$A:$H,5,0),0)</f>
        <v/>
      </c>
      <c r="M480">
        <f>IFERROR(VLOOKUP(D480,'Schedule Lookup'!$A:$H,6,0),0)</f>
        <v/>
      </c>
      <c r="N480">
        <f>IFERROR(VLOOKUP(D480,'Schedule Lookup'!$A:$H,7,0),0)</f>
        <v/>
      </c>
      <c r="O480">
        <f>IFERROR(VLOOKUP(D480,'Schedule Lookup'!$A:$H,8,0),0)</f>
        <v/>
      </c>
      <c r="T480">
        <f>IF(AND(E480&lt;TIME(9,0,0),F480&gt;TIME(0,0,1)),1,0)</f>
        <v/>
      </c>
      <c r="U480">
        <f>IF(AND(E480&lt;TIME(17,0,0),F480&gt;TIME(9,0,0)),1,0)</f>
        <v/>
      </c>
      <c r="V480">
        <f>IF(AND(E480&lt;TIME(21,0,0),F480&gt;TIME(17,0,0)),1,0)</f>
        <v/>
      </c>
      <c r="W480">
        <f>IF(F480&gt;TIME(17,0,0),1,0)</f>
        <v/>
      </c>
    </row>
    <row r="481">
      <c r="I481">
        <f>IFERROR(VLOOKUP(D481,'Schedule Lookup'!$A:$H,2,0),0)</f>
        <v/>
      </c>
      <c r="J481">
        <f>IFERROR(VLOOKUP(D481,'Schedule Lookup'!$A:$H,3,0),0)</f>
        <v/>
      </c>
      <c r="K481">
        <f>IFERROR(VLOOKUP(D481,'Schedule Lookup'!$A:$H,4,0),0)</f>
        <v/>
      </c>
      <c r="L481">
        <f>IFERROR(VLOOKUP(D481,'Schedule Lookup'!$A:$H,5,0),0)</f>
        <v/>
      </c>
      <c r="M481">
        <f>IFERROR(VLOOKUP(D481,'Schedule Lookup'!$A:$H,6,0),0)</f>
        <v/>
      </c>
      <c r="N481">
        <f>IFERROR(VLOOKUP(D481,'Schedule Lookup'!$A:$H,7,0),0)</f>
        <v/>
      </c>
      <c r="O481">
        <f>IFERROR(VLOOKUP(D481,'Schedule Lookup'!$A:$H,8,0),0)</f>
        <v/>
      </c>
      <c r="T481">
        <f>IF(AND(E481&lt;TIME(9,0,0),F481&gt;TIME(0,0,1)),1,0)</f>
        <v/>
      </c>
      <c r="U481">
        <f>IF(AND(E481&lt;TIME(17,0,0),F481&gt;TIME(9,0,0)),1,0)</f>
        <v/>
      </c>
      <c r="V481">
        <f>IF(AND(E481&lt;TIME(21,0,0),F481&gt;TIME(17,0,0)),1,0)</f>
        <v/>
      </c>
      <c r="W481">
        <f>IF(F481&gt;TIME(17,0,0),1,0)</f>
        <v/>
      </c>
    </row>
    <row r="482">
      <c r="I482">
        <f>IFERROR(VLOOKUP(D482,'Schedule Lookup'!$A:$H,2,0),0)</f>
        <v/>
      </c>
      <c r="J482">
        <f>IFERROR(VLOOKUP(D482,'Schedule Lookup'!$A:$H,3,0),0)</f>
        <v/>
      </c>
      <c r="K482">
        <f>IFERROR(VLOOKUP(D482,'Schedule Lookup'!$A:$H,4,0),0)</f>
        <v/>
      </c>
      <c r="L482">
        <f>IFERROR(VLOOKUP(D482,'Schedule Lookup'!$A:$H,5,0),0)</f>
        <v/>
      </c>
      <c r="M482">
        <f>IFERROR(VLOOKUP(D482,'Schedule Lookup'!$A:$H,6,0),0)</f>
        <v/>
      </c>
      <c r="N482">
        <f>IFERROR(VLOOKUP(D482,'Schedule Lookup'!$A:$H,7,0),0)</f>
        <v/>
      </c>
      <c r="O482">
        <f>IFERROR(VLOOKUP(D482,'Schedule Lookup'!$A:$H,8,0),0)</f>
        <v/>
      </c>
      <c r="T482">
        <f>IF(AND(E482&lt;TIME(9,0,0),F482&gt;TIME(0,0,1)),1,0)</f>
        <v/>
      </c>
      <c r="U482">
        <f>IF(AND(E482&lt;TIME(17,0,0),F482&gt;TIME(9,0,0)),1,0)</f>
        <v/>
      </c>
      <c r="V482">
        <f>IF(AND(E482&lt;TIME(21,0,0),F482&gt;TIME(17,0,0)),1,0)</f>
        <v/>
      </c>
      <c r="W482">
        <f>IF(F482&gt;TIME(17,0,0),1,0)</f>
        <v/>
      </c>
    </row>
    <row r="483">
      <c r="I483">
        <f>IFERROR(VLOOKUP(D483,'Schedule Lookup'!$A:$H,2,0),0)</f>
        <v/>
      </c>
      <c r="J483">
        <f>IFERROR(VLOOKUP(D483,'Schedule Lookup'!$A:$H,3,0),0)</f>
        <v/>
      </c>
      <c r="K483">
        <f>IFERROR(VLOOKUP(D483,'Schedule Lookup'!$A:$H,4,0),0)</f>
        <v/>
      </c>
      <c r="L483">
        <f>IFERROR(VLOOKUP(D483,'Schedule Lookup'!$A:$H,5,0),0)</f>
        <v/>
      </c>
      <c r="M483">
        <f>IFERROR(VLOOKUP(D483,'Schedule Lookup'!$A:$H,6,0),0)</f>
        <v/>
      </c>
      <c r="N483">
        <f>IFERROR(VLOOKUP(D483,'Schedule Lookup'!$A:$H,7,0),0)</f>
        <v/>
      </c>
      <c r="O483">
        <f>IFERROR(VLOOKUP(D483,'Schedule Lookup'!$A:$H,8,0),0)</f>
        <v/>
      </c>
      <c r="T483">
        <f>IF(AND(E483&lt;TIME(9,0,0),F483&gt;TIME(0,0,1)),1,0)</f>
        <v/>
      </c>
      <c r="U483">
        <f>IF(AND(E483&lt;TIME(17,0,0),F483&gt;TIME(9,0,0)),1,0)</f>
        <v/>
      </c>
      <c r="V483">
        <f>IF(AND(E483&lt;TIME(21,0,0),F483&gt;TIME(17,0,0)),1,0)</f>
        <v/>
      </c>
      <c r="W483">
        <f>IF(F483&gt;TIME(17,0,0),1,0)</f>
        <v/>
      </c>
    </row>
    <row r="484">
      <c r="I484">
        <f>IFERROR(VLOOKUP(D484,'Schedule Lookup'!$A:$H,2,0),0)</f>
        <v/>
      </c>
      <c r="J484">
        <f>IFERROR(VLOOKUP(D484,'Schedule Lookup'!$A:$H,3,0),0)</f>
        <v/>
      </c>
      <c r="K484">
        <f>IFERROR(VLOOKUP(D484,'Schedule Lookup'!$A:$H,4,0),0)</f>
        <v/>
      </c>
      <c r="L484">
        <f>IFERROR(VLOOKUP(D484,'Schedule Lookup'!$A:$H,5,0),0)</f>
        <v/>
      </c>
      <c r="M484">
        <f>IFERROR(VLOOKUP(D484,'Schedule Lookup'!$A:$H,6,0),0)</f>
        <v/>
      </c>
      <c r="N484">
        <f>IFERROR(VLOOKUP(D484,'Schedule Lookup'!$A:$H,7,0),0)</f>
        <v/>
      </c>
      <c r="O484">
        <f>IFERROR(VLOOKUP(D484,'Schedule Lookup'!$A:$H,8,0),0)</f>
        <v/>
      </c>
      <c r="T484">
        <f>IF(AND(E484&lt;TIME(9,0,0),F484&gt;TIME(0,0,1)),1,0)</f>
        <v/>
      </c>
      <c r="U484">
        <f>IF(AND(E484&lt;TIME(17,0,0),F484&gt;TIME(9,0,0)),1,0)</f>
        <v/>
      </c>
      <c r="V484">
        <f>IF(AND(E484&lt;TIME(21,0,0),F484&gt;TIME(17,0,0)),1,0)</f>
        <v/>
      </c>
      <c r="W484">
        <f>IF(F484&gt;TIME(17,0,0),1,0)</f>
        <v/>
      </c>
    </row>
    <row r="485">
      <c r="I485">
        <f>IFERROR(VLOOKUP(D485,'Schedule Lookup'!$A:$H,2,0),0)</f>
        <v/>
      </c>
      <c r="J485">
        <f>IFERROR(VLOOKUP(D485,'Schedule Lookup'!$A:$H,3,0),0)</f>
        <v/>
      </c>
      <c r="K485">
        <f>IFERROR(VLOOKUP(D485,'Schedule Lookup'!$A:$H,4,0),0)</f>
        <v/>
      </c>
      <c r="L485">
        <f>IFERROR(VLOOKUP(D485,'Schedule Lookup'!$A:$H,5,0),0)</f>
        <v/>
      </c>
      <c r="M485">
        <f>IFERROR(VLOOKUP(D485,'Schedule Lookup'!$A:$H,6,0),0)</f>
        <v/>
      </c>
      <c r="N485">
        <f>IFERROR(VLOOKUP(D485,'Schedule Lookup'!$A:$H,7,0),0)</f>
        <v/>
      </c>
      <c r="O485">
        <f>IFERROR(VLOOKUP(D485,'Schedule Lookup'!$A:$H,8,0),0)</f>
        <v/>
      </c>
      <c r="T485">
        <f>IF(AND(E485&lt;TIME(9,0,0),F485&gt;TIME(0,0,1)),1,0)</f>
        <v/>
      </c>
      <c r="U485">
        <f>IF(AND(E485&lt;TIME(17,0,0),F485&gt;TIME(9,0,0)),1,0)</f>
        <v/>
      </c>
      <c r="V485">
        <f>IF(AND(E485&lt;TIME(21,0,0),F485&gt;TIME(17,0,0)),1,0)</f>
        <v/>
      </c>
      <c r="W485">
        <f>IF(F485&gt;TIME(17,0,0),1,0)</f>
        <v/>
      </c>
    </row>
    <row r="486">
      <c r="I486">
        <f>IFERROR(VLOOKUP(D486,'Schedule Lookup'!$A:$H,2,0),0)</f>
        <v/>
      </c>
      <c r="J486">
        <f>IFERROR(VLOOKUP(D486,'Schedule Lookup'!$A:$H,3,0),0)</f>
        <v/>
      </c>
      <c r="K486">
        <f>IFERROR(VLOOKUP(D486,'Schedule Lookup'!$A:$H,4,0),0)</f>
        <v/>
      </c>
      <c r="L486">
        <f>IFERROR(VLOOKUP(D486,'Schedule Lookup'!$A:$H,5,0),0)</f>
        <v/>
      </c>
      <c r="M486">
        <f>IFERROR(VLOOKUP(D486,'Schedule Lookup'!$A:$H,6,0),0)</f>
        <v/>
      </c>
      <c r="N486">
        <f>IFERROR(VLOOKUP(D486,'Schedule Lookup'!$A:$H,7,0),0)</f>
        <v/>
      </c>
      <c r="O486">
        <f>IFERROR(VLOOKUP(D486,'Schedule Lookup'!$A:$H,8,0),0)</f>
        <v/>
      </c>
      <c r="T486">
        <f>IF(AND(E486&lt;TIME(9,0,0),F486&gt;TIME(0,0,1)),1,0)</f>
        <v/>
      </c>
      <c r="U486">
        <f>IF(AND(E486&lt;TIME(17,0,0),F486&gt;TIME(9,0,0)),1,0)</f>
        <v/>
      </c>
      <c r="V486">
        <f>IF(AND(E486&lt;TIME(21,0,0),F486&gt;TIME(17,0,0)),1,0)</f>
        <v/>
      </c>
      <c r="W486">
        <f>IF(F486&gt;TIME(17,0,0),1,0)</f>
        <v/>
      </c>
    </row>
    <row r="487">
      <c r="I487">
        <f>IFERROR(VLOOKUP(D487,'Schedule Lookup'!$A:$H,2,0),0)</f>
        <v/>
      </c>
      <c r="J487">
        <f>IFERROR(VLOOKUP(D487,'Schedule Lookup'!$A:$H,3,0),0)</f>
        <v/>
      </c>
      <c r="K487">
        <f>IFERROR(VLOOKUP(D487,'Schedule Lookup'!$A:$H,4,0),0)</f>
        <v/>
      </c>
      <c r="L487">
        <f>IFERROR(VLOOKUP(D487,'Schedule Lookup'!$A:$H,5,0),0)</f>
        <v/>
      </c>
      <c r="M487">
        <f>IFERROR(VLOOKUP(D487,'Schedule Lookup'!$A:$H,6,0),0)</f>
        <v/>
      </c>
      <c r="N487">
        <f>IFERROR(VLOOKUP(D487,'Schedule Lookup'!$A:$H,7,0),0)</f>
        <v/>
      </c>
      <c r="O487">
        <f>IFERROR(VLOOKUP(D487,'Schedule Lookup'!$A:$H,8,0),0)</f>
        <v/>
      </c>
      <c r="T487">
        <f>IF(AND(E487&lt;TIME(9,0,0),F487&gt;TIME(0,0,1)),1,0)</f>
        <v/>
      </c>
      <c r="U487">
        <f>IF(AND(E487&lt;TIME(17,0,0),F487&gt;TIME(9,0,0)),1,0)</f>
        <v/>
      </c>
      <c r="V487">
        <f>IF(AND(E487&lt;TIME(21,0,0),F487&gt;TIME(17,0,0)),1,0)</f>
        <v/>
      </c>
      <c r="W487">
        <f>IF(F487&gt;TIME(17,0,0),1,0)</f>
        <v/>
      </c>
    </row>
    <row r="488">
      <c r="I488">
        <f>IFERROR(VLOOKUP(D488,'Schedule Lookup'!$A:$H,2,0),0)</f>
        <v/>
      </c>
      <c r="J488">
        <f>IFERROR(VLOOKUP(D488,'Schedule Lookup'!$A:$H,3,0),0)</f>
        <v/>
      </c>
      <c r="K488">
        <f>IFERROR(VLOOKUP(D488,'Schedule Lookup'!$A:$H,4,0),0)</f>
        <v/>
      </c>
      <c r="L488">
        <f>IFERROR(VLOOKUP(D488,'Schedule Lookup'!$A:$H,5,0),0)</f>
        <v/>
      </c>
      <c r="M488">
        <f>IFERROR(VLOOKUP(D488,'Schedule Lookup'!$A:$H,6,0),0)</f>
        <v/>
      </c>
      <c r="N488">
        <f>IFERROR(VLOOKUP(D488,'Schedule Lookup'!$A:$H,7,0),0)</f>
        <v/>
      </c>
      <c r="O488">
        <f>IFERROR(VLOOKUP(D488,'Schedule Lookup'!$A:$H,8,0),0)</f>
        <v/>
      </c>
      <c r="T488">
        <f>IF(AND(E488&lt;TIME(9,0,0),F488&gt;TIME(0,0,1)),1,0)</f>
        <v/>
      </c>
      <c r="U488">
        <f>IF(AND(E488&lt;TIME(17,0,0),F488&gt;TIME(9,0,0)),1,0)</f>
        <v/>
      </c>
      <c r="V488">
        <f>IF(AND(E488&lt;TIME(21,0,0),F488&gt;TIME(17,0,0)),1,0)</f>
        <v/>
      </c>
      <c r="W488">
        <f>IF(F488&gt;TIME(17,0,0),1,0)</f>
        <v/>
      </c>
    </row>
    <row r="489">
      <c r="I489">
        <f>IFERROR(VLOOKUP(D489,'Schedule Lookup'!$A:$H,2,0),0)</f>
        <v/>
      </c>
      <c r="J489">
        <f>IFERROR(VLOOKUP(D489,'Schedule Lookup'!$A:$H,3,0),0)</f>
        <v/>
      </c>
      <c r="K489">
        <f>IFERROR(VLOOKUP(D489,'Schedule Lookup'!$A:$H,4,0),0)</f>
        <v/>
      </c>
      <c r="L489">
        <f>IFERROR(VLOOKUP(D489,'Schedule Lookup'!$A:$H,5,0),0)</f>
        <v/>
      </c>
      <c r="M489">
        <f>IFERROR(VLOOKUP(D489,'Schedule Lookup'!$A:$H,6,0),0)</f>
        <v/>
      </c>
      <c r="N489">
        <f>IFERROR(VLOOKUP(D489,'Schedule Lookup'!$A:$H,7,0),0)</f>
        <v/>
      </c>
      <c r="O489">
        <f>IFERROR(VLOOKUP(D489,'Schedule Lookup'!$A:$H,8,0),0)</f>
        <v/>
      </c>
      <c r="T489">
        <f>IF(AND(E489&lt;TIME(9,0,0),F489&gt;TIME(0,0,1)),1,0)</f>
        <v/>
      </c>
      <c r="U489">
        <f>IF(AND(E489&lt;TIME(17,0,0),F489&gt;TIME(9,0,0)),1,0)</f>
        <v/>
      </c>
      <c r="V489">
        <f>IF(AND(E489&lt;TIME(21,0,0),F489&gt;TIME(17,0,0)),1,0)</f>
        <v/>
      </c>
      <c r="W489">
        <f>IF(F489&gt;TIME(17,0,0),1,0)</f>
        <v/>
      </c>
    </row>
    <row r="490">
      <c r="I490">
        <f>IFERROR(VLOOKUP(D490,'Schedule Lookup'!$A:$H,2,0),0)</f>
        <v/>
      </c>
      <c r="J490">
        <f>IFERROR(VLOOKUP(D490,'Schedule Lookup'!$A:$H,3,0),0)</f>
        <v/>
      </c>
      <c r="K490">
        <f>IFERROR(VLOOKUP(D490,'Schedule Lookup'!$A:$H,4,0),0)</f>
        <v/>
      </c>
      <c r="L490">
        <f>IFERROR(VLOOKUP(D490,'Schedule Lookup'!$A:$H,5,0),0)</f>
        <v/>
      </c>
      <c r="M490">
        <f>IFERROR(VLOOKUP(D490,'Schedule Lookup'!$A:$H,6,0),0)</f>
        <v/>
      </c>
      <c r="N490">
        <f>IFERROR(VLOOKUP(D490,'Schedule Lookup'!$A:$H,7,0),0)</f>
        <v/>
      </c>
      <c r="O490">
        <f>IFERROR(VLOOKUP(D490,'Schedule Lookup'!$A:$H,8,0),0)</f>
        <v/>
      </c>
      <c r="T490">
        <f>IF(AND(E490&lt;TIME(9,0,0),F490&gt;TIME(0,0,1)),1,0)</f>
        <v/>
      </c>
      <c r="U490">
        <f>IF(AND(E490&lt;TIME(17,0,0),F490&gt;TIME(9,0,0)),1,0)</f>
        <v/>
      </c>
      <c r="V490">
        <f>IF(AND(E490&lt;TIME(21,0,0),F490&gt;TIME(17,0,0)),1,0)</f>
        <v/>
      </c>
      <c r="W490">
        <f>IF(F490&gt;TIME(17,0,0),1,0)</f>
        <v/>
      </c>
    </row>
    <row r="491">
      <c r="I491">
        <f>IFERROR(VLOOKUP(D491,'Schedule Lookup'!$A:$H,2,0),0)</f>
        <v/>
      </c>
      <c r="J491">
        <f>IFERROR(VLOOKUP(D491,'Schedule Lookup'!$A:$H,3,0),0)</f>
        <v/>
      </c>
      <c r="K491">
        <f>IFERROR(VLOOKUP(D491,'Schedule Lookup'!$A:$H,4,0),0)</f>
        <v/>
      </c>
      <c r="L491">
        <f>IFERROR(VLOOKUP(D491,'Schedule Lookup'!$A:$H,5,0),0)</f>
        <v/>
      </c>
      <c r="M491">
        <f>IFERROR(VLOOKUP(D491,'Schedule Lookup'!$A:$H,6,0),0)</f>
        <v/>
      </c>
      <c r="N491">
        <f>IFERROR(VLOOKUP(D491,'Schedule Lookup'!$A:$H,7,0),0)</f>
        <v/>
      </c>
      <c r="O491">
        <f>IFERROR(VLOOKUP(D491,'Schedule Lookup'!$A:$H,8,0),0)</f>
        <v/>
      </c>
      <c r="T491">
        <f>IF(AND(E491&lt;TIME(9,0,0),F491&gt;TIME(0,0,1)),1,0)</f>
        <v/>
      </c>
      <c r="U491">
        <f>IF(AND(E491&lt;TIME(17,0,0),F491&gt;TIME(9,0,0)),1,0)</f>
        <v/>
      </c>
      <c r="V491">
        <f>IF(AND(E491&lt;TIME(21,0,0),F491&gt;TIME(17,0,0)),1,0)</f>
        <v/>
      </c>
      <c r="W491">
        <f>IF(F491&gt;TIME(17,0,0),1,0)</f>
        <v/>
      </c>
    </row>
    <row r="492">
      <c r="I492">
        <f>IFERROR(VLOOKUP(D492,'Schedule Lookup'!$A:$H,2,0),0)</f>
        <v/>
      </c>
      <c r="J492">
        <f>IFERROR(VLOOKUP(D492,'Schedule Lookup'!$A:$H,3,0),0)</f>
        <v/>
      </c>
      <c r="K492">
        <f>IFERROR(VLOOKUP(D492,'Schedule Lookup'!$A:$H,4,0),0)</f>
        <v/>
      </c>
      <c r="L492">
        <f>IFERROR(VLOOKUP(D492,'Schedule Lookup'!$A:$H,5,0),0)</f>
        <v/>
      </c>
      <c r="M492">
        <f>IFERROR(VLOOKUP(D492,'Schedule Lookup'!$A:$H,6,0),0)</f>
        <v/>
      </c>
      <c r="N492">
        <f>IFERROR(VLOOKUP(D492,'Schedule Lookup'!$A:$H,7,0),0)</f>
        <v/>
      </c>
      <c r="O492">
        <f>IFERROR(VLOOKUP(D492,'Schedule Lookup'!$A:$H,8,0),0)</f>
        <v/>
      </c>
      <c r="T492">
        <f>IF(AND(E492&lt;TIME(9,0,0),F492&gt;TIME(0,0,1)),1,0)</f>
        <v/>
      </c>
      <c r="U492">
        <f>IF(AND(E492&lt;TIME(17,0,0),F492&gt;TIME(9,0,0)),1,0)</f>
        <v/>
      </c>
      <c r="V492">
        <f>IF(AND(E492&lt;TIME(21,0,0),F492&gt;TIME(17,0,0)),1,0)</f>
        <v/>
      </c>
      <c r="W492">
        <f>IF(F492&gt;TIME(17,0,0),1,0)</f>
        <v/>
      </c>
    </row>
    <row r="493">
      <c r="I493">
        <f>IFERROR(VLOOKUP(D493,'Schedule Lookup'!$A:$H,2,0),0)</f>
        <v/>
      </c>
      <c r="J493">
        <f>IFERROR(VLOOKUP(D493,'Schedule Lookup'!$A:$H,3,0),0)</f>
        <v/>
      </c>
      <c r="K493">
        <f>IFERROR(VLOOKUP(D493,'Schedule Lookup'!$A:$H,4,0),0)</f>
        <v/>
      </c>
      <c r="L493">
        <f>IFERROR(VLOOKUP(D493,'Schedule Lookup'!$A:$H,5,0),0)</f>
        <v/>
      </c>
      <c r="M493">
        <f>IFERROR(VLOOKUP(D493,'Schedule Lookup'!$A:$H,6,0),0)</f>
        <v/>
      </c>
      <c r="N493">
        <f>IFERROR(VLOOKUP(D493,'Schedule Lookup'!$A:$H,7,0),0)</f>
        <v/>
      </c>
      <c r="O493">
        <f>IFERROR(VLOOKUP(D493,'Schedule Lookup'!$A:$H,8,0),0)</f>
        <v/>
      </c>
      <c r="T493">
        <f>IF(AND(E493&lt;TIME(9,0,0),F493&gt;TIME(0,0,1)),1,0)</f>
        <v/>
      </c>
      <c r="U493">
        <f>IF(AND(E493&lt;TIME(17,0,0),F493&gt;TIME(9,0,0)),1,0)</f>
        <v/>
      </c>
      <c r="V493">
        <f>IF(AND(E493&lt;TIME(21,0,0),F493&gt;TIME(17,0,0)),1,0)</f>
        <v/>
      </c>
      <c r="W493">
        <f>IF(F493&gt;TIME(17,0,0),1,0)</f>
        <v/>
      </c>
    </row>
    <row r="494">
      <c r="I494">
        <f>IFERROR(VLOOKUP(D494,'Schedule Lookup'!$A:$H,2,0),0)</f>
        <v/>
      </c>
      <c r="J494">
        <f>IFERROR(VLOOKUP(D494,'Schedule Lookup'!$A:$H,3,0),0)</f>
        <v/>
      </c>
      <c r="K494">
        <f>IFERROR(VLOOKUP(D494,'Schedule Lookup'!$A:$H,4,0),0)</f>
        <v/>
      </c>
      <c r="L494">
        <f>IFERROR(VLOOKUP(D494,'Schedule Lookup'!$A:$H,5,0),0)</f>
        <v/>
      </c>
      <c r="M494">
        <f>IFERROR(VLOOKUP(D494,'Schedule Lookup'!$A:$H,6,0),0)</f>
        <v/>
      </c>
      <c r="N494">
        <f>IFERROR(VLOOKUP(D494,'Schedule Lookup'!$A:$H,7,0),0)</f>
        <v/>
      </c>
      <c r="O494">
        <f>IFERROR(VLOOKUP(D494,'Schedule Lookup'!$A:$H,8,0),0)</f>
        <v/>
      </c>
      <c r="T494">
        <f>IF(AND(E494&lt;TIME(9,0,0),F494&gt;TIME(0,0,1)),1,0)</f>
        <v/>
      </c>
      <c r="U494">
        <f>IF(AND(E494&lt;TIME(17,0,0),F494&gt;TIME(9,0,0)),1,0)</f>
        <v/>
      </c>
      <c r="V494">
        <f>IF(AND(E494&lt;TIME(21,0,0),F494&gt;TIME(17,0,0)),1,0)</f>
        <v/>
      </c>
      <c r="W494">
        <f>IF(F494&gt;TIME(17,0,0),1,0)</f>
        <v/>
      </c>
    </row>
    <row r="495">
      <c r="I495">
        <f>IFERROR(VLOOKUP(D495,'Schedule Lookup'!$A:$H,2,0),0)</f>
        <v/>
      </c>
      <c r="J495">
        <f>IFERROR(VLOOKUP(D495,'Schedule Lookup'!$A:$H,3,0),0)</f>
        <v/>
      </c>
      <c r="K495">
        <f>IFERROR(VLOOKUP(D495,'Schedule Lookup'!$A:$H,4,0),0)</f>
        <v/>
      </c>
      <c r="L495">
        <f>IFERROR(VLOOKUP(D495,'Schedule Lookup'!$A:$H,5,0),0)</f>
        <v/>
      </c>
      <c r="M495">
        <f>IFERROR(VLOOKUP(D495,'Schedule Lookup'!$A:$H,6,0),0)</f>
        <v/>
      </c>
      <c r="N495">
        <f>IFERROR(VLOOKUP(D495,'Schedule Lookup'!$A:$H,7,0),0)</f>
        <v/>
      </c>
      <c r="O495">
        <f>IFERROR(VLOOKUP(D495,'Schedule Lookup'!$A:$H,8,0),0)</f>
        <v/>
      </c>
      <c r="T495">
        <f>IF(AND(E495&lt;TIME(9,0,0),F495&gt;TIME(0,0,1)),1,0)</f>
        <v/>
      </c>
      <c r="U495">
        <f>IF(AND(E495&lt;TIME(17,0,0),F495&gt;TIME(9,0,0)),1,0)</f>
        <v/>
      </c>
      <c r="V495">
        <f>IF(AND(E495&lt;TIME(21,0,0),F495&gt;TIME(17,0,0)),1,0)</f>
        <v/>
      </c>
      <c r="W495">
        <f>IF(F495&gt;TIME(17,0,0),1,0)</f>
        <v/>
      </c>
    </row>
    <row r="496">
      <c r="I496">
        <f>IFERROR(VLOOKUP(D496,'Schedule Lookup'!$A:$H,2,0),0)</f>
        <v/>
      </c>
      <c r="J496">
        <f>IFERROR(VLOOKUP(D496,'Schedule Lookup'!$A:$H,3,0),0)</f>
        <v/>
      </c>
      <c r="K496">
        <f>IFERROR(VLOOKUP(D496,'Schedule Lookup'!$A:$H,4,0),0)</f>
        <v/>
      </c>
      <c r="L496">
        <f>IFERROR(VLOOKUP(D496,'Schedule Lookup'!$A:$H,5,0),0)</f>
        <v/>
      </c>
      <c r="M496">
        <f>IFERROR(VLOOKUP(D496,'Schedule Lookup'!$A:$H,6,0),0)</f>
        <v/>
      </c>
      <c r="N496">
        <f>IFERROR(VLOOKUP(D496,'Schedule Lookup'!$A:$H,7,0),0)</f>
        <v/>
      </c>
      <c r="O496">
        <f>IFERROR(VLOOKUP(D496,'Schedule Lookup'!$A:$H,8,0),0)</f>
        <v/>
      </c>
      <c r="T496">
        <f>IF(AND(E496&lt;TIME(9,0,0),F496&gt;TIME(0,0,1)),1,0)</f>
        <v/>
      </c>
      <c r="U496">
        <f>IF(AND(E496&lt;TIME(17,0,0),F496&gt;TIME(9,0,0)),1,0)</f>
        <v/>
      </c>
      <c r="V496">
        <f>IF(AND(E496&lt;TIME(21,0,0),F496&gt;TIME(17,0,0)),1,0)</f>
        <v/>
      </c>
      <c r="W496">
        <f>IF(F496&gt;TIME(17,0,0),1,0)</f>
        <v/>
      </c>
    </row>
    <row r="497">
      <c r="I497">
        <f>IFERROR(VLOOKUP(D497,'Schedule Lookup'!$A:$H,2,0),0)</f>
        <v/>
      </c>
      <c r="J497">
        <f>IFERROR(VLOOKUP(D497,'Schedule Lookup'!$A:$H,3,0),0)</f>
        <v/>
      </c>
      <c r="K497">
        <f>IFERROR(VLOOKUP(D497,'Schedule Lookup'!$A:$H,4,0),0)</f>
        <v/>
      </c>
      <c r="L497">
        <f>IFERROR(VLOOKUP(D497,'Schedule Lookup'!$A:$H,5,0),0)</f>
        <v/>
      </c>
      <c r="M497">
        <f>IFERROR(VLOOKUP(D497,'Schedule Lookup'!$A:$H,6,0),0)</f>
        <v/>
      </c>
      <c r="N497">
        <f>IFERROR(VLOOKUP(D497,'Schedule Lookup'!$A:$H,7,0),0)</f>
        <v/>
      </c>
      <c r="O497">
        <f>IFERROR(VLOOKUP(D497,'Schedule Lookup'!$A:$H,8,0),0)</f>
        <v/>
      </c>
      <c r="T497">
        <f>IF(AND(E497&lt;TIME(9,0,0),F497&gt;TIME(0,0,1)),1,0)</f>
        <v/>
      </c>
      <c r="U497">
        <f>IF(AND(E497&lt;TIME(17,0,0),F497&gt;TIME(9,0,0)),1,0)</f>
        <v/>
      </c>
      <c r="V497">
        <f>IF(AND(E497&lt;TIME(21,0,0),F497&gt;TIME(17,0,0)),1,0)</f>
        <v/>
      </c>
      <c r="W497">
        <f>IF(F497&gt;TIME(17,0,0),1,0)</f>
        <v/>
      </c>
    </row>
    <row r="498">
      <c r="I498">
        <f>IFERROR(VLOOKUP(D498,'Schedule Lookup'!$A:$H,2,0),0)</f>
        <v/>
      </c>
      <c r="J498">
        <f>IFERROR(VLOOKUP(D498,'Schedule Lookup'!$A:$H,3,0),0)</f>
        <v/>
      </c>
      <c r="K498">
        <f>IFERROR(VLOOKUP(D498,'Schedule Lookup'!$A:$H,4,0),0)</f>
        <v/>
      </c>
      <c r="L498">
        <f>IFERROR(VLOOKUP(D498,'Schedule Lookup'!$A:$H,5,0),0)</f>
        <v/>
      </c>
      <c r="M498">
        <f>IFERROR(VLOOKUP(D498,'Schedule Lookup'!$A:$H,6,0),0)</f>
        <v/>
      </c>
      <c r="N498">
        <f>IFERROR(VLOOKUP(D498,'Schedule Lookup'!$A:$H,7,0),0)</f>
        <v/>
      </c>
      <c r="O498">
        <f>IFERROR(VLOOKUP(D498,'Schedule Lookup'!$A:$H,8,0),0)</f>
        <v/>
      </c>
      <c r="T498">
        <f>IF(AND(E498&lt;TIME(9,0,0),F498&gt;TIME(0,0,1)),1,0)</f>
        <v/>
      </c>
      <c r="U498">
        <f>IF(AND(E498&lt;TIME(17,0,0),F498&gt;TIME(9,0,0)),1,0)</f>
        <v/>
      </c>
      <c r="V498">
        <f>IF(AND(E498&lt;TIME(21,0,0),F498&gt;TIME(17,0,0)),1,0)</f>
        <v/>
      </c>
      <c r="W498">
        <f>IF(F498&gt;TIME(17,0,0),1,0)</f>
        <v/>
      </c>
    </row>
    <row r="499">
      <c r="I499">
        <f>IFERROR(VLOOKUP(D499,'Schedule Lookup'!$A:$H,2,0),0)</f>
        <v/>
      </c>
      <c r="J499">
        <f>IFERROR(VLOOKUP(D499,'Schedule Lookup'!$A:$H,3,0),0)</f>
        <v/>
      </c>
      <c r="K499">
        <f>IFERROR(VLOOKUP(D499,'Schedule Lookup'!$A:$H,4,0),0)</f>
        <v/>
      </c>
      <c r="L499">
        <f>IFERROR(VLOOKUP(D499,'Schedule Lookup'!$A:$H,5,0),0)</f>
        <v/>
      </c>
      <c r="M499">
        <f>IFERROR(VLOOKUP(D499,'Schedule Lookup'!$A:$H,6,0),0)</f>
        <v/>
      </c>
      <c r="N499">
        <f>IFERROR(VLOOKUP(D499,'Schedule Lookup'!$A:$H,7,0),0)</f>
        <v/>
      </c>
      <c r="O499">
        <f>IFERROR(VLOOKUP(D499,'Schedule Lookup'!$A:$H,8,0),0)</f>
        <v/>
      </c>
      <c r="T499">
        <f>IF(AND(E499&lt;TIME(9,0,0),F499&gt;TIME(0,0,1)),1,0)</f>
        <v/>
      </c>
      <c r="U499">
        <f>IF(AND(E499&lt;TIME(17,0,0),F499&gt;TIME(9,0,0)),1,0)</f>
        <v/>
      </c>
      <c r="V499">
        <f>IF(AND(E499&lt;TIME(21,0,0),F499&gt;TIME(17,0,0)),1,0)</f>
        <v/>
      </c>
      <c r="W499">
        <f>IF(F499&gt;TIME(17,0,0),1,0)</f>
        <v/>
      </c>
    </row>
    <row r="500">
      <c r="I500">
        <f>IFERROR(VLOOKUP(D500,'Schedule Lookup'!$A:$H,2,0),0)</f>
        <v/>
      </c>
      <c r="J500">
        <f>IFERROR(VLOOKUP(D500,'Schedule Lookup'!$A:$H,3,0),0)</f>
        <v/>
      </c>
      <c r="K500">
        <f>IFERROR(VLOOKUP(D500,'Schedule Lookup'!$A:$H,4,0),0)</f>
        <v/>
      </c>
      <c r="L500">
        <f>IFERROR(VLOOKUP(D500,'Schedule Lookup'!$A:$H,5,0),0)</f>
        <v/>
      </c>
      <c r="M500">
        <f>IFERROR(VLOOKUP(D500,'Schedule Lookup'!$A:$H,6,0),0)</f>
        <v/>
      </c>
      <c r="N500">
        <f>IFERROR(VLOOKUP(D500,'Schedule Lookup'!$A:$H,7,0),0)</f>
        <v/>
      </c>
      <c r="O500">
        <f>IFERROR(VLOOKUP(D500,'Schedule Lookup'!$A:$H,8,0),0)</f>
        <v/>
      </c>
      <c r="T500">
        <f>IF(AND(E500&lt;TIME(9,0,0),F500&gt;TIME(0,0,1)),1,0)</f>
        <v/>
      </c>
      <c r="U500">
        <f>IF(AND(E500&lt;TIME(17,0,0),F500&gt;TIME(9,0,0)),1,0)</f>
        <v/>
      </c>
      <c r="V500">
        <f>IF(AND(E500&lt;TIME(21,0,0),F500&gt;TIME(17,0,0)),1,0)</f>
        <v/>
      </c>
      <c r="W500">
        <f>IF(F500&gt;TIME(17,0,0),1,0)</f>
        <v/>
      </c>
    </row>
  </sheetData>
  <mergeCells count="1">
    <mergeCell ref="A1:H1"/>
  </mergeCells>
  <dataValidations count="2">
    <dataValidation sqref="B3:B500" showDropDown="0" showInputMessage="0" showErrorMessage="0" allowBlank="0" type="list">
      <formula1>"Manager,Researcher"</formula1>
    </dataValidation>
    <dataValidation sqref="D3:D500" showDropDown="0" showInputMessage="0" showErrorMessage="0" allowBlank="0" type="list">
      <formula1>"Mon-Fri,Mon-Thu,Mon-Sat,Mon-Sun,Tue-Sat,Tue-Sun,Wed-Sun,Thu-Sun,Sat-Sun,Mon only,Tue only,Wed only,Thu only,Fri only,Sat only,Sun only"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S5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24" customWidth="1" min="7" max="7"/>
    <col width="12" customWidth="1" min="8" max="8"/>
    <col width="9" customWidth="1" min="9" max="9"/>
    <col width="14" customWidth="1" min="10" max="10"/>
    <col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6" customHeight="1">
      <c r="A1" s="11" t="inlineStr">
        <is>
          <t>Enter PTO requests below. The Coverage Check column (J) calculates automatically based on your Employees schedules and Coverage Rules. Columns L–S are hidden helper columns — do not delete. Note: formula checks the full date range as a whole; for multi-week requests verify day-by-day on the Coverage Summary sheet.</t>
        </is>
      </c>
    </row>
    <row r="2" ht="32" customHeight="1">
      <c r="A2" s="8" t="inlineStr">
        <is>
          <t>Request ID</t>
        </is>
      </c>
      <c r="B2" s="8" t="inlineStr">
        <is>
          <t>Employee Name</t>
        </is>
      </c>
      <c r="C2" s="8" t="inlineStr">
        <is>
          <t>Role</t>
        </is>
      </c>
      <c r="D2" s="8" t="inlineStr">
        <is>
          <t>Start Date</t>
        </is>
      </c>
      <c r="E2" s="8" t="inlineStr">
        <is>
          <t>End Date</t>
        </is>
      </c>
      <c r="F2" s="8" t="inlineStr">
        <is>
          <t>Type</t>
        </is>
      </c>
      <c r="G2" s="8" t="inlineStr">
        <is>
          <t>Notes</t>
        </is>
      </c>
      <c r="H2" s="8" t="inlineStr">
        <is>
          <t>Status</t>
        </is>
      </c>
      <c r="I2" s="8" t="inlineStr">
        <is>
          <t>Days Off</t>
        </is>
      </c>
      <c r="J2" s="8" t="inlineStr">
        <is>
          <t>Coverage Check</t>
        </is>
      </c>
      <c r="K2" s="8" t="inlineStr">
        <is>
          <t>Submitted</t>
        </is>
      </c>
      <c r="L2" s="13" t="inlineStr">
        <is>
          <t>Rem
Morning</t>
        </is>
      </c>
      <c r="M2" s="13" t="inlineStr">
        <is>
          <t>Rem
Daytime</t>
        </is>
      </c>
      <c r="N2" s="13" t="inlineStr">
        <is>
          <t>Rem
DT Mgr</t>
        </is>
      </c>
      <c r="O2" s="13" t="inlineStr">
        <is>
          <t>Rem
Eve EST</t>
        </is>
      </c>
      <c r="P2" s="13" t="inlineStr">
        <is>
          <t>Rem
Eve PST</t>
        </is>
      </c>
      <c r="Q2" s="13" t="inlineStr">
        <is>
          <t>Sat
Others Off</t>
        </is>
      </c>
      <c r="R2" s="13" t="inlineStr">
        <is>
          <t>Sun
Others Off</t>
        </is>
      </c>
      <c r="S2" s="13" t="inlineStr">
        <is>
          <t>Group
Others Off</t>
        </is>
      </c>
    </row>
    <row r="3">
      <c r="A3" s="9" t="inlineStr">
        <is>
          <t>PTO-001</t>
        </is>
      </c>
      <c r="B3" s="22" t="inlineStr">
        <is>
          <t>John Smith</t>
        </is>
      </c>
      <c r="C3">
        <f>IFERROR(XLOOKUP(B3,Employees!$A$3:$A$500,Employees!$B$3:$B$500,""),"")</f>
        <v/>
      </c>
      <c r="D3" s="9" t="inlineStr">
        <is>
          <t>2026-05-10</t>
        </is>
      </c>
      <c r="E3" s="9" t="inlineStr">
        <is>
          <t>2026-05-12</t>
        </is>
      </c>
      <c r="F3" s="9" t="inlineStr">
        <is>
          <t>Vacation</t>
        </is>
      </c>
      <c r="G3" s="22" t="inlineStr"/>
      <c r="H3" s="9" t="inlineStr">
        <is>
          <t>Approved</t>
        </is>
      </c>
      <c r="I3">
        <f>IF(AND(B3&lt;&gt;"",D3&lt;&gt;"",E3&lt;&gt;""),E3-D3+1,"")</f>
        <v/>
      </c>
      <c r="J3">
        <f>IF(OR(B3="",D3="",E3=""),"",IF(OR(L3&lt;'Coverage Rules'!E7,M3&lt;'Coverage Rules'!E8,N3&lt;'Coverage Rules'!C8,O3&lt;'Coverage Rules'!E9,P3&lt;'Coverage Rules'!E10,Q3&gt;='Coverage Rules'!B16,R3&gt;='Coverage Rules'!B17,IF(S3="",FALSE,S3&gt;='Coverage Rules'!D24)),"Denied","OK"))</f>
        <v/>
      </c>
      <c r="K3" s="9" t="inlineStr">
        <is>
          <t>2026-04-28</t>
        </is>
      </c>
      <c r="L3">
        <f>IF(B3="","",IFERROR(SUMPRODUCT((LEN(Employees!$A$3:$A$500)&gt;0)*(Employees!$T$3:$T$500=1)*(COUNTIFS($B$3:$B$500,Employees!$A$3:$A$500,$H$3:$H$500,"Approved",$D$3:$D$500,"&lt;="&amp;E3,$E$3:$E$500,"&gt;="&amp;D3,$A$3:$A$500,"&lt;&gt;"&amp;A3)=0)),0))</f>
        <v/>
      </c>
      <c r="M3">
        <f>IF(B3="","",IFERROR(SUMPRODUCT((LEN(Employees!$A$3:$A$500)&gt;0)*(Employees!$U$3:$U$500=1)*(COUNTIFS($B$3:$B$500,Employees!$A$3:$A$500,$H$3:$H$500,"Approved",$D$3:$D$500,"&lt;="&amp;E3,$E$3:$E$500,"&gt;="&amp;D3,$A$3:$A$500,"&lt;&gt;"&amp;A3)=0)),0))</f>
        <v/>
      </c>
      <c r="N3">
        <f>IF(B3="","",IFERROR(SUMPRODUCT((LEN(Employees!$A$3:$A$500)&gt;0)*(Employees!$B$3:$B$500="Manager")*(Employees!$U$3:$U$500=1)*(COUNTIFS($B$3:$B$500,Employees!$A$3:$A$500,$H$3:$H$500,"Approved",$D$3:$D$500,"&lt;="&amp;E3,$E$3:$E$500,"&gt;="&amp;D3,$A$3:$A$500,"&lt;&gt;"&amp;A3)=0)),0))</f>
        <v/>
      </c>
      <c r="O3">
        <f>IF(B3="","",IFERROR(SUMPRODUCT((LEN(Employees!$A$3:$A$500)&gt;0)*(Employees!$V$3:$V$500=1)*(COUNTIFS($B$3:$B$500,Employees!$A$3:$A$500,$H$3:$H$500,"Approved",$D$3:$D$500,"&lt;="&amp;E3,$E$3:$E$500,"&gt;="&amp;D3,$A$3:$A$500,"&lt;&gt;"&amp;A3)=0)),0))</f>
        <v/>
      </c>
      <c r="P3">
        <f>IF(B3="","",IFERROR(SUMPRODUCT((LEN(Employees!$A$3:$A$500)&gt;0)*(Employees!$W$3:$W$500=1)*(COUNTIFS($B$3:$B$500,Employees!$A$3:$A$500,$H$3:$H$500,"Approved",$D$3:$D$500,"&lt;="&amp;E3,$E$3:$E$500,"&gt;="&amp;D3,$A$3:$A$500,"&lt;&gt;"&amp;A3)=0)),0))</f>
        <v/>
      </c>
      <c r="Q3">
        <f>IF(B3="","",IFERROR(SUMPRODUCT((LEN(Employees!$A$3:$A$500)&gt;0)*(Employees!$N$3:$N$500=1)*(COUNTIFS($B$3:$B$500,Employees!$A$3:$A$500,$H$3:$H$500,"Approved",$D$3:$D$500,"&lt;="&amp;E3,$E$3:$E$500,"&gt;="&amp;D3,$A$3:$A$500,"&lt;&gt;"&amp;A3)&gt;0)),0))</f>
        <v/>
      </c>
      <c r="R3">
        <f>IF(B3="","",IFERROR(SUMPRODUCT((LEN(Employees!$A$3:$A$500)&gt;0)*(Employees!$O$3:$O$500=1)*(COUNTIFS($B$3:$B$500,Employees!$A$3:$A$500,$H$3:$H$500,"Approved",$D$3:$D$500,"&lt;="&amp;E3,$E$3:$E$500,"&gt;="&amp;D3,$A$3:$A$500,"&lt;&gt;"&amp;A3)&gt;0)),0))</f>
        <v/>
      </c>
      <c r="S3">
        <f>IF(OR(B3="",IFERROR(XLOOKUP(B3,Employees!$A$3:$A$500,Employees!$G$3:$G$500,""),"")=""),"",IFERROR(SUMPRODUCT((LEN(Employees!$A$3:$A$500)&gt;0)*(Employees!$G$3:$G$500=IFERROR(XLOOKUP(B3,Employees!$A$3:$A$500,Employees!$G$3:$G$500,""),""))*(COUNTIFS($B$3:$B$500,Employees!$A$3:$A$500,$H$3:$H$500,"Approved",$D$3:$D$500,"&lt;="&amp;E3,$E$3:$E$500,"&gt;="&amp;D3,$A$3:$A$500,"&lt;&gt;"&amp;A3)&gt;0)),0))</f>
        <v/>
      </c>
    </row>
    <row r="4">
      <c r="A4" s="10" t="inlineStr">
        <is>
          <t>PTO-002</t>
        </is>
      </c>
      <c r="B4" s="23" t="inlineStr">
        <is>
          <t>Sarah Chen</t>
        </is>
      </c>
      <c r="C4">
        <f>IFERROR(XLOOKUP(B4,Employees!$A$3:$A$500,Employees!$B$3:$B$500,""),"")</f>
        <v/>
      </c>
      <c r="D4" s="10" t="inlineStr">
        <is>
          <t>2026-05-15</t>
        </is>
      </c>
      <c r="E4" s="10" t="inlineStr">
        <is>
          <t>2026-05-15</t>
        </is>
      </c>
      <c r="F4" s="10" t="inlineStr">
        <is>
          <t>Sick</t>
        </is>
      </c>
      <c r="G4" s="23" t="inlineStr"/>
      <c r="H4" s="10" t="inlineStr">
        <is>
          <t>Approved</t>
        </is>
      </c>
      <c r="I4">
        <f>IF(AND(B4&lt;&gt;"",D4&lt;&gt;"",E4&lt;&gt;""),E4-D4+1,"")</f>
        <v/>
      </c>
      <c r="J4">
        <f>IF(OR(B4="",D4="",E4=""),"",IF(OR(L4&lt;'Coverage Rules'!E7,M4&lt;'Coverage Rules'!E8,N4&lt;'Coverage Rules'!C8,O4&lt;'Coverage Rules'!E9,P4&lt;'Coverage Rules'!E10,Q4&gt;='Coverage Rules'!B16,R4&gt;='Coverage Rules'!B17,IF(S4="",FALSE,S4&gt;='Coverage Rules'!D24)),"Denied","OK"))</f>
        <v/>
      </c>
      <c r="K4" s="10" t="inlineStr">
        <is>
          <t>2026-05-15</t>
        </is>
      </c>
      <c r="L4">
        <f>IF(B4="","",IFERROR(SUMPRODUCT((LEN(Employees!$A$3:$A$500)&gt;0)*(Employees!$T$3:$T$500=1)*(COUNTIFS($B$3:$B$500,Employees!$A$3:$A$500,$H$3:$H$500,"Approved",$D$3:$D$500,"&lt;="&amp;E4,$E$3:$E$500,"&gt;="&amp;D4,$A$3:$A$500,"&lt;&gt;"&amp;A4)=0)),0))</f>
        <v/>
      </c>
      <c r="M4">
        <f>IF(B4="","",IFERROR(SUMPRODUCT((LEN(Employees!$A$3:$A$500)&gt;0)*(Employees!$U$3:$U$500=1)*(COUNTIFS($B$3:$B$500,Employees!$A$3:$A$500,$H$3:$H$500,"Approved",$D$3:$D$500,"&lt;="&amp;E4,$E$3:$E$500,"&gt;="&amp;D4,$A$3:$A$500,"&lt;&gt;"&amp;A4)=0)),0))</f>
        <v/>
      </c>
      <c r="N4">
        <f>IF(B4="","",IFERROR(SUMPRODUCT((LEN(Employees!$A$3:$A$500)&gt;0)*(Employees!$B$3:$B$500="Manager")*(Employees!$U$3:$U$500=1)*(COUNTIFS($B$3:$B$500,Employees!$A$3:$A$500,$H$3:$H$500,"Approved",$D$3:$D$500,"&lt;="&amp;E4,$E$3:$E$500,"&gt;="&amp;D4,$A$3:$A$500,"&lt;&gt;"&amp;A4)=0)),0))</f>
        <v/>
      </c>
      <c r="O4">
        <f>IF(B4="","",IFERROR(SUMPRODUCT((LEN(Employees!$A$3:$A$500)&gt;0)*(Employees!$V$3:$V$500=1)*(COUNTIFS($B$3:$B$500,Employees!$A$3:$A$500,$H$3:$H$500,"Approved",$D$3:$D$500,"&lt;="&amp;E4,$E$3:$E$500,"&gt;="&amp;D4,$A$3:$A$500,"&lt;&gt;"&amp;A4)=0)),0))</f>
        <v/>
      </c>
      <c r="P4">
        <f>IF(B4="","",IFERROR(SUMPRODUCT((LEN(Employees!$A$3:$A$500)&gt;0)*(Employees!$W$3:$W$500=1)*(COUNTIFS($B$3:$B$500,Employees!$A$3:$A$500,$H$3:$H$500,"Approved",$D$3:$D$500,"&lt;="&amp;E4,$E$3:$E$500,"&gt;="&amp;D4,$A$3:$A$500,"&lt;&gt;"&amp;A4)=0)),0))</f>
        <v/>
      </c>
      <c r="Q4">
        <f>IF(B4="","",IFERROR(SUMPRODUCT((LEN(Employees!$A$3:$A$500)&gt;0)*(Employees!$N$3:$N$500=1)*(COUNTIFS($B$3:$B$500,Employees!$A$3:$A$500,$H$3:$H$500,"Approved",$D$3:$D$500,"&lt;="&amp;E4,$E$3:$E$500,"&gt;="&amp;D4,$A$3:$A$500,"&lt;&gt;"&amp;A4)&gt;0)),0))</f>
        <v/>
      </c>
      <c r="R4">
        <f>IF(B4="","",IFERROR(SUMPRODUCT((LEN(Employees!$A$3:$A$500)&gt;0)*(Employees!$O$3:$O$500=1)*(COUNTIFS($B$3:$B$500,Employees!$A$3:$A$500,$H$3:$H$500,"Approved",$D$3:$D$500,"&lt;="&amp;E4,$E$3:$E$500,"&gt;="&amp;D4,$A$3:$A$500,"&lt;&gt;"&amp;A4)&gt;0)),0))</f>
        <v/>
      </c>
      <c r="S4">
        <f>IF(OR(B4="",IFERROR(XLOOKUP(B4,Employees!$A$3:$A$500,Employees!$G$3:$G$500,""),"")=""),"",IFERROR(SUMPRODUCT((LEN(Employees!$A$3:$A$500)&gt;0)*(Employees!$G$3:$G$500=IFERROR(XLOOKUP(B4,Employees!$A$3:$A$500,Employees!$G$3:$G$500,""),""))*(COUNTIFS($B$3:$B$500,Employees!$A$3:$A$500,$H$3:$H$500,"Approved",$D$3:$D$500,"&lt;="&amp;E4,$E$3:$E$500,"&gt;="&amp;D4,$A$3:$A$500,"&lt;&gt;"&amp;A4)&gt;0)),0))</f>
        <v/>
      </c>
    </row>
    <row r="5">
      <c r="A5" s="9" t="inlineStr">
        <is>
          <t>PTO-003</t>
        </is>
      </c>
      <c r="B5" s="22" t="inlineStr">
        <is>
          <t>Emma Clarke</t>
        </is>
      </c>
      <c r="C5">
        <f>IFERROR(XLOOKUP(B5,Employees!$A$3:$A$500,Employees!$B$3:$B$500,""),"")</f>
        <v/>
      </c>
      <c r="D5" s="9" t="inlineStr">
        <is>
          <t>2026-06-01</t>
        </is>
      </c>
      <c r="E5" s="9" t="inlineStr">
        <is>
          <t>2026-06-05</t>
        </is>
      </c>
      <c r="F5" s="9" t="inlineStr">
        <is>
          <t>Vacation</t>
        </is>
      </c>
      <c r="G5" s="22" t="inlineStr">
        <is>
          <t>Pre-planned</t>
        </is>
      </c>
      <c r="H5" s="9" t="inlineStr">
        <is>
          <t>Pending</t>
        </is>
      </c>
      <c r="I5">
        <f>IF(AND(B5&lt;&gt;"",D5&lt;&gt;"",E5&lt;&gt;""),E5-D5+1,"")</f>
        <v/>
      </c>
      <c r="J5">
        <f>IF(OR(B5="",D5="",E5=""),"",IF(OR(L5&lt;'Coverage Rules'!E7,M5&lt;'Coverage Rules'!E8,N5&lt;'Coverage Rules'!C8,O5&lt;'Coverage Rules'!E9,P5&lt;'Coverage Rules'!E10,Q5&gt;='Coverage Rules'!B16,R5&gt;='Coverage Rules'!B17,IF(S5="",FALSE,S5&gt;='Coverage Rules'!D24)),"Denied","OK"))</f>
        <v/>
      </c>
      <c r="K5" s="9" t="inlineStr">
        <is>
          <t>2026-05-01</t>
        </is>
      </c>
      <c r="L5">
        <f>IF(B5="","",IFERROR(SUMPRODUCT((LEN(Employees!$A$3:$A$500)&gt;0)*(Employees!$T$3:$T$500=1)*(COUNTIFS($B$3:$B$500,Employees!$A$3:$A$500,$H$3:$H$500,"Approved",$D$3:$D$500,"&lt;="&amp;E5,$E$3:$E$500,"&gt;="&amp;D5,$A$3:$A$500,"&lt;&gt;"&amp;A5)=0)),0))</f>
        <v/>
      </c>
      <c r="M5">
        <f>IF(B5="","",IFERROR(SUMPRODUCT((LEN(Employees!$A$3:$A$500)&gt;0)*(Employees!$U$3:$U$500=1)*(COUNTIFS($B$3:$B$500,Employees!$A$3:$A$500,$H$3:$H$500,"Approved",$D$3:$D$500,"&lt;="&amp;E5,$E$3:$E$500,"&gt;="&amp;D5,$A$3:$A$500,"&lt;&gt;"&amp;A5)=0)),0))</f>
        <v/>
      </c>
      <c r="N5">
        <f>IF(B5="","",IFERROR(SUMPRODUCT((LEN(Employees!$A$3:$A$500)&gt;0)*(Employees!$B$3:$B$500="Manager")*(Employees!$U$3:$U$500=1)*(COUNTIFS($B$3:$B$500,Employees!$A$3:$A$500,$H$3:$H$500,"Approved",$D$3:$D$500,"&lt;="&amp;E5,$E$3:$E$500,"&gt;="&amp;D5,$A$3:$A$500,"&lt;&gt;"&amp;A5)=0)),0))</f>
        <v/>
      </c>
      <c r="O5">
        <f>IF(B5="","",IFERROR(SUMPRODUCT((LEN(Employees!$A$3:$A$500)&gt;0)*(Employees!$V$3:$V$500=1)*(COUNTIFS($B$3:$B$500,Employees!$A$3:$A$500,$H$3:$H$500,"Approved",$D$3:$D$500,"&lt;="&amp;E5,$E$3:$E$500,"&gt;="&amp;D5,$A$3:$A$500,"&lt;&gt;"&amp;A5)=0)),0))</f>
        <v/>
      </c>
      <c r="P5">
        <f>IF(B5="","",IFERROR(SUMPRODUCT((LEN(Employees!$A$3:$A$500)&gt;0)*(Employees!$W$3:$W$500=1)*(COUNTIFS($B$3:$B$500,Employees!$A$3:$A$500,$H$3:$H$500,"Approved",$D$3:$D$500,"&lt;="&amp;E5,$E$3:$E$500,"&gt;="&amp;D5,$A$3:$A$500,"&lt;&gt;"&amp;A5)=0)),0))</f>
        <v/>
      </c>
      <c r="Q5">
        <f>IF(B5="","",IFERROR(SUMPRODUCT((LEN(Employees!$A$3:$A$500)&gt;0)*(Employees!$N$3:$N$500=1)*(COUNTIFS($B$3:$B$500,Employees!$A$3:$A$500,$H$3:$H$500,"Approved",$D$3:$D$500,"&lt;="&amp;E5,$E$3:$E$500,"&gt;="&amp;D5,$A$3:$A$500,"&lt;&gt;"&amp;A5)&gt;0)),0))</f>
        <v/>
      </c>
      <c r="R5">
        <f>IF(B5="","",IFERROR(SUMPRODUCT((LEN(Employees!$A$3:$A$500)&gt;0)*(Employees!$O$3:$O$500=1)*(COUNTIFS($B$3:$B$500,Employees!$A$3:$A$500,$H$3:$H$500,"Approved",$D$3:$D$500,"&lt;="&amp;E5,$E$3:$E$500,"&gt;="&amp;D5,$A$3:$A$500,"&lt;&gt;"&amp;A5)&gt;0)),0))</f>
        <v/>
      </c>
      <c r="S5">
        <f>IF(OR(B5="",IFERROR(XLOOKUP(B5,Employees!$A$3:$A$500,Employees!$G$3:$G$500,""),"")=""),"",IFERROR(SUMPRODUCT((LEN(Employees!$A$3:$A$500)&gt;0)*(Employees!$G$3:$G$500=IFERROR(XLOOKUP(B5,Employees!$A$3:$A$500,Employees!$G$3:$G$500,""),""))*(COUNTIFS($B$3:$B$500,Employees!$A$3:$A$500,$H$3:$H$500,"Approved",$D$3:$D$500,"&lt;="&amp;E5,$E$3:$E$500,"&gt;="&amp;D5,$A$3:$A$500,"&lt;&gt;"&amp;A5)&gt;0)),0))</f>
        <v/>
      </c>
    </row>
    <row r="6">
      <c r="C6">
        <f>IFERROR(XLOOKUP(B6,Employees!$A$3:$A$500,Employees!$B$3:$B$500,""),"")</f>
        <v/>
      </c>
      <c r="I6">
        <f>IF(AND(B6&lt;&gt;"",D6&lt;&gt;"",E6&lt;&gt;""),E6-D6+1,"")</f>
        <v/>
      </c>
      <c r="J6">
        <f>IF(OR(B6="",D6="",E6=""),"",IF(OR(L6&lt;'Coverage Rules'!E7,M6&lt;'Coverage Rules'!E8,N6&lt;'Coverage Rules'!C8,O6&lt;'Coverage Rules'!E9,P6&lt;'Coverage Rules'!E10,Q6&gt;='Coverage Rules'!B16,R6&gt;='Coverage Rules'!B17,IF(S6="",FALSE,S6&gt;='Coverage Rules'!D24)),"Denied","OK"))</f>
        <v/>
      </c>
      <c r="L6">
        <f>IF(B6="","",IFERROR(SUMPRODUCT((LEN(Employees!$A$3:$A$500)&gt;0)*(Employees!$T$3:$T$500=1)*(COUNTIFS($B$3:$B$500,Employees!$A$3:$A$500,$H$3:$H$500,"Approved",$D$3:$D$500,"&lt;="&amp;E6,$E$3:$E$500,"&gt;="&amp;D6,$A$3:$A$500,"&lt;&gt;"&amp;A6)=0)),0))</f>
        <v/>
      </c>
      <c r="M6">
        <f>IF(B6="","",IFERROR(SUMPRODUCT((LEN(Employees!$A$3:$A$500)&gt;0)*(Employees!$U$3:$U$500=1)*(COUNTIFS($B$3:$B$500,Employees!$A$3:$A$500,$H$3:$H$500,"Approved",$D$3:$D$500,"&lt;="&amp;E6,$E$3:$E$500,"&gt;="&amp;D6,$A$3:$A$500,"&lt;&gt;"&amp;A6)=0)),0))</f>
        <v/>
      </c>
      <c r="N6">
        <f>IF(B6="","",IFERROR(SUMPRODUCT((LEN(Employees!$A$3:$A$500)&gt;0)*(Employees!$B$3:$B$500="Manager")*(Employees!$U$3:$U$500=1)*(COUNTIFS($B$3:$B$500,Employees!$A$3:$A$500,$H$3:$H$500,"Approved",$D$3:$D$500,"&lt;="&amp;E6,$E$3:$E$500,"&gt;="&amp;D6,$A$3:$A$500,"&lt;&gt;"&amp;A6)=0)),0))</f>
        <v/>
      </c>
      <c r="O6">
        <f>IF(B6="","",IFERROR(SUMPRODUCT((LEN(Employees!$A$3:$A$500)&gt;0)*(Employees!$V$3:$V$500=1)*(COUNTIFS($B$3:$B$500,Employees!$A$3:$A$500,$H$3:$H$500,"Approved",$D$3:$D$500,"&lt;="&amp;E6,$E$3:$E$500,"&gt;="&amp;D6,$A$3:$A$500,"&lt;&gt;"&amp;A6)=0)),0))</f>
        <v/>
      </c>
      <c r="P6">
        <f>IF(B6="","",IFERROR(SUMPRODUCT((LEN(Employees!$A$3:$A$500)&gt;0)*(Employees!$W$3:$W$500=1)*(COUNTIFS($B$3:$B$500,Employees!$A$3:$A$500,$H$3:$H$500,"Approved",$D$3:$D$500,"&lt;="&amp;E6,$E$3:$E$500,"&gt;="&amp;D6,$A$3:$A$500,"&lt;&gt;"&amp;A6)=0)),0))</f>
        <v/>
      </c>
      <c r="Q6">
        <f>IF(B6="","",IFERROR(SUMPRODUCT((LEN(Employees!$A$3:$A$500)&gt;0)*(Employees!$N$3:$N$500=1)*(COUNTIFS($B$3:$B$500,Employees!$A$3:$A$500,$H$3:$H$500,"Approved",$D$3:$D$500,"&lt;="&amp;E6,$E$3:$E$500,"&gt;="&amp;D6,$A$3:$A$500,"&lt;&gt;"&amp;A6)&gt;0)),0))</f>
        <v/>
      </c>
      <c r="R6">
        <f>IF(B6="","",IFERROR(SUMPRODUCT((LEN(Employees!$A$3:$A$500)&gt;0)*(Employees!$O$3:$O$500=1)*(COUNTIFS($B$3:$B$500,Employees!$A$3:$A$500,$H$3:$H$500,"Approved",$D$3:$D$500,"&lt;="&amp;E6,$E$3:$E$500,"&gt;="&amp;D6,$A$3:$A$500,"&lt;&gt;"&amp;A6)&gt;0)),0))</f>
        <v/>
      </c>
      <c r="S6">
        <f>IF(OR(B6="",IFERROR(XLOOKUP(B6,Employees!$A$3:$A$500,Employees!$G$3:$G$500,""),"")=""),"",IFERROR(SUMPRODUCT((LEN(Employees!$A$3:$A$500)&gt;0)*(Employees!$G$3:$G$500=IFERROR(XLOOKUP(B6,Employees!$A$3:$A$500,Employees!$G$3:$G$500,""),""))*(COUNTIFS($B$3:$B$500,Employees!$A$3:$A$500,$H$3:$H$500,"Approved",$D$3:$D$500,"&lt;="&amp;E6,$E$3:$E$500,"&gt;="&amp;D6,$A$3:$A$500,"&lt;&gt;"&amp;A6)&gt;0)),0))</f>
        <v/>
      </c>
    </row>
    <row r="7">
      <c r="C7">
        <f>IFERROR(XLOOKUP(B7,Employees!$A$3:$A$500,Employees!$B$3:$B$500,""),"")</f>
        <v/>
      </c>
      <c r="I7">
        <f>IF(AND(B7&lt;&gt;"",D7&lt;&gt;"",E7&lt;&gt;""),E7-D7+1,"")</f>
        <v/>
      </c>
      <c r="J7">
        <f>IF(OR(B7="",D7="",E7=""),"",IF(OR(L7&lt;'Coverage Rules'!E7,M7&lt;'Coverage Rules'!E8,N7&lt;'Coverage Rules'!C8,O7&lt;'Coverage Rules'!E9,P7&lt;'Coverage Rules'!E10,Q7&gt;='Coverage Rules'!B16,R7&gt;='Coverage Rules'!B17,IF(S7="",FALSE,S7&gt;='Coverage Rules'!D24)),"Denied","OK"))</f>
        <v/>
      </c>
      <c r="L7">
        <f>IF(B7="","",IFERROR(SUMPRODUCT((LEN(Employees!$A$3:$A$500)&gt;0)*(Employees!$T$3:$T$500=1)*(COUNTIFS($B$3:$B$500,Employees!$A$3:$A$500,$H$3:$H$500,"Approved",$D$3:$D$500,"&lt;="&amp;E7,$E$3:$E$500,"&gt;="&amp;D7,$A$3:$A$500,"&lt;&gt;"&amp;A7)=0)),0))</f>
        <v/>
      </c>
      <c r="M7">
        <f>IF(B7="","",IFERROR(SUMPRODUCT((LEN(Employees!$A$3:$A$500)&gt;0)*(Employees!$U$3:$U$500=1)*(COUNTIFS($B$3:$B$500,Employees!$A$3:$A$500,$H$3:$H$500,"Approved",$D$3:$D$500,"&lt;="&amp;E7,$E$3:$E$500,"&gt;="&amp;D7,$A$3:$A$500,"&lt;&gt;"&amp;A7)=0)),0))</f>
        <v/>
      </c>
      <c r="N7">
        <f>IF(B7="","",IFERROR(SUMPRODUCT((LEN(Employees!$A$3:$A$500)&gt;0)*(Employees!$B$3:$B$500="Manager")*(Employees!$U$3:$U$500=1)*(COUNTIFS($B$3:$B$500,Employees!$A$3:$A$500,$H$3:$H$500,"Approved",$D$3:$D$500,"&lt;="&amp;E7,$E$3:$E$500,"&gt;="&amp;D7,$A$3:$A$500,"&lt;&gt;"&amp;A7)=0)),0))</f>
        <v/>
      </c>
      <c r="O7">
        <f>IF(B7="","",IFERROR(SUMPRODUCT((LEN(Employees!$A$3:$A$500)&gt;0)*(Employees!$V$3:$V$500=1)*(COUNTIFS($B$3:$B$500,Employees!$A$3:$A$500,$H$3:$H$500,"Approved",$D$3:$D$500,"&lt;="&amp;E7,$E$3:$E$500,"&gt;="&amp;D7,$A$3:$A$500,"&lt;&gt;"&amp;A7)=0)),0))</f>
        <v/>
      </c>
      <c r="P7">
        <f>IF(B7="","",IFERROR(SUMPRODUCT((LEN(Employees!$A$3:$A$500)&gt;0)*(Employees!$W$3:$W$500=1)*(COUNTIFS($B$3:$B$500,Employees!$A$3:$A$500,$H$3:$H$500,"Approved",$D$3:$D$500,"&lt;="&amp;E7,$E$3:$E$500,"&gt;="&amp;D7,$A$3:$A$500,"&lt;&gt;"&amp;A7)=0)),0))</f>
        <v/>
      </c>
      <c r="Q7">
        <f>IF(B7="","",IFERROR(SUMPRODUCT((LEN(Employees!$A$3:$A$500)&gt;0)*(Employees!$N$3:$N$500=1)*(COUNTIFS($B$3:$B$500,Employees!$A$3:$A$500,$H$3:$H$500,"Approved",$D$3:$D$500,"&lt;="&amp;E7,$E$3:$E$500,"&gt;="&amp;D7,$A$3:$A$500,"&lt;&gt;"&amp;A7)&gt;0)),0))</f>
        <v/>
      </c>
      <c r="R7">
        <f>IF(B7="","",IFERROR(SUMPRODUCT((LEN(Employees!$A$3:$A$500)&gt;0)*(Employees!$O$3:$O$500=1)*(COUNTIFS($B$3:$B$500,Employees!$A$3:$A$500,$H$3:$H$500,"Approved",$D$3:$D$500,"&lt;="&amp;E7,$E$3:$E$500,"&gt;="&amp;D7,$A$3:$A$500,"&lt;&gt;"&amp;A7)&gt;0)),0))</f>
        <v/>
      </c>
      <c r="S7">
        <f>IF(OR(B7="",IFERROR(XLOOKUP(B7,Employees!$A$3:$A$500,Employees!$G$3:$G$500,""),"")=""),"",IFERROR(SUMPRODUCT((LEN(Employees!$A$3:$A$500)&gt;0)*(Employees!$G$3:$G$500=IFERROR(XLOOKUP(B7,Employees!$A$3:$A$500,Employees!$G$3:$G$500,""),""))*(COUNTIFS($B$3:$B$500,Employees!$A$3:$A$500,$H$3:$H$500,"Approved",$D$3:$D$500,"&lt;="&amp;E7,$E$3:$E$500,"&gt;="&amp;D7,$A$3:$A$500,"&lt;&gt;"&amp;A7)&gt;0)),0))</f>
        <v/>
      </c>
    </row>
    <row r="8">
      <c r="C8">
        <f>IFERROR(XLOOKUP(B8,Employees!$A$3:$A$500,Employees!$B$3:$B$500,""),"")</f>
        <v/>
      </c>
      <c r="I8">
        <f>IF(AND(B8&lt;&gt;"",D8&lt;&gt;"",E8&lt;&gt;""),E8-D8+1,"")</f>
        <v/>
      </c>
      <c r="J8">
        <f>IF(OR(B8="",D8="",E8=""),"",IF(OR(L8&lt;'Coverage Rules'!E7,M8&lt;'Coverage Rules'!E8,N8&lt;'Coverage Rules'!C8,O8&lt;'Coverage Rules'!E9,P8&lt;'Coverage Rules'!E10,Q8&gt;='Coverage Rules'!B16,R8&gt;='Coverage Rules'!B17,IF(S8="",FALSE,S8&gt;='Coverage Rules'!D24)),"Denied","OK"))</f>
        <v/>
      </c>
      <c r="L8">
        <f>IF(B8="","",IFERROR(SUMPRODUCT((LEN(Employees!$A$3:$A$500)&gt;0)*(Employees!$T$3:$T$500=1)*(COUNTIFS($B$3:$B$500,Employees!$A$3:$A$500,$H$3:$H$500,"Approved",$D$3:$D$500,"&lt;="&amp;E8,$E$3:$E$500,"&gt;="&amp;D8,$A$3:$A$500,"&lt;&gt;"&amp;A8)=0)),0))</f>
        <v/>
      </c>
      <c r="M8">
        <f>IF(B8="","",IFERROR(SUMPRODUCT((LEN(Employees!$A$3:$A$500)&gt;0)*(Employees!$U$3:$U$500=1)*(COUNTIFS($B$3:$B$500,Employees!$A$3:$A$500,$H$3:$H$500,"Approved",$D$3:$D$500,"&lt;="&amp;E8,$E$3:$E$500,"&gt;="&amp;D8,$A$3:$A$500,"&lt;&gt;"&amp;A8)=0)),0))</f>
        <v/>
      </c>
      <c r="N8">
        <f>IF(B8="","",IFERROR(SUMPRODUCT((LEN(Employees!$A$3:$A$500)&gt;0)*(Employees!$B$3:$B$500="Manager")*(Employees!$U$3:$U$500=1)*(COUNTIFS($B$3:$B$500,Employees!$A$3:$A$500,$H$3:$H$500,"Approved",$D$3:$D$500,"&lt;="&amp;E8,$E$3:$E$500,"&gt;="&amp;D8,$A$3:$A$500,"&lt;&gt;"&amp;A8)=0)),0))</f>
        <v/>
      </c>
      <c r="O8">
        <f>IF(B8="","",IFERROR(SUMPRODUCT((LEN(Employees!$A$3:$A$500)&gt;0)*(Employees!$V$3:$V$500=1)*(COUNTIFS($B$3:$B$500,Employees!$A$3:$A$500,$H$3:$H$500,"Approved",$D$3:$D$500,"&lt;="&amp;E8,$E$3:$E$500,"&gt;="&amp;D8,$A$3:$A$500,"&lt;&gt;"&amp;A8)=0)),0))</f>
        <v/>
      </c>
      <c r="P8">
        <f>IF(B8="","",IFERROR(SUMPRODUCT((LEN(Employees!$A$3:$A$500)&gt;0)*(Employees!$W$3:$W$500=1)*(COUNTIFS($B$3:$B$500,Employees!$A$3:$A$500,$H$3:$H$500,"Approved",$D$3:$D$500,"&lt;="&amp;E8,$E$3:$E$500,"&gt;="&amp;D8,$A$3:$A$500,"&lt;&gt;"&amp;A8)=0)),0))</f>
        <v/>
      </c>
      <c r="Q8">
        <f>IF(B8="","",IFERROR(SUMPRODUCT((LEN(Employees!$A$3:$A$500)&gt;0)*(Employees!$N$3:$N$500=1)*(COUNTIFS($B$3:$B$500,Employees!$A$3:$A$500,$H$3:$H$500,"Approved",$D$3:$D$500,"&lt;="&amp;E8,$E$3:$E$500,"&gt;="&amp;D8,$A$3:$A$500,"&lt;&gt;"&amp;A8)&gt;0)),0))</f>
        <v/>
      </c>
      <c r="R8">
        <f>IF(B8="","",IFERROR(SUMPRODUCT((LEN(Employees!$A$3:$A$500)&gt;0)*(Employees!$O$3:$O$500=1)*(COUNTIFS($B$3:$B$500,Employees!$A$3:$A$500,$H$3:$H$500,"Approved",$D$3:$D$500,"&lt;="&amp;E8,$E$3:$E$500,"&gt;="&amp;D8,$A$3:$A$500,"&lt;&gt;"&amp;A8)&gt;0)),0))</f>
        <v/>
      </c>
      <c r="S8">
        <f>IF(OR(B8="",IFERROR(XLOOKUP(B8,Employees!$A$3:$A$500,Employees!$G$3:$G$500,""),"")=""),"",IFERROR(SUMPRODUCT((LEN(Employees!$A$3:$A$500)&gt;0)*(Employees!$G$3:$G$500=IFERROR(XLOOKUP(B8,Employees!$A$3:$A$500,Employees!$G$3:$G$500,""),""))*(COUNTIFS($B$3:$B$500,Employees!$A$3:$A$500,$H$3:$H$500,"Approved",$D$3:$D$500,"&lt;="&amp;E8,$E$3:$E$500,"&gt;="&amp;D8,$A$3:$A$500,"&lt;&gt;"&amp;A8)&gt;0)),0))</f>
        <v/>
      </c>
    </row>
    <row r="9">
      <c r="C9">
        <f>IFERROR(XLOOKUP(B9,Employees!$A$3:$A$500,Employees!$B$3:$B$500,""),"")</f>
        <v/>
      </c>
      <c r="I9">
        <f>IF(AND(B9&lt;&gt;"",D9&lt;&gt;"",E9&lt;&gt;""),E9-D9+1,"")</f>
        <v/>
      </c>
      <c r="J9">
        <f>IF(OR(B9="",D9="",E9=""),"",IF(OR(L9&lt;'Coverage Rules'!E7,M9&lt;'Coverage Rules'!E8,N9&lt;'Coverage Rules'!C8,O9&lt;'Coverage Rules'!E9,P9&lt;'Coverage Rules'!E10,Q9&gt;='Coverage Rules'!B16,R9&gt;='Coverage Rules'!B17,IF(S9="",FALSE,S9&gt;='Coverage Rules'!D24)),"Denied","OK"))</f>
        <v/>
      </c>
      <c r="L9">
        <f>IF(B9="","",IFERROR(SUMPRODUCT((LEN(Employees!$A$3:$A$500)&gt;0)*(Employees!$T$3:$T$500=1)*(COUNTIFS($B$3:$B$500,Employees!$A$3:$A$500,$H$3:$H$500,"Approved",$D$3:$D$500,"&lt;="&amp;E9,$E$3:$E$500,"&gt;="&amp;D9,$A$3:$A$500,"&lt;&gt;"&amp;A9)=0)),0))</f>
        <v/>
      </c>
      <c r="M9">
        <f>IF(B9="","",IFERROR(SUMPRODUCT((LEN(Employees!$A$3:$A$500)&gt;0)*(Employees!$U$3:$U$500=1)*(COUNTIFS($B$3:$B$500,Employees!$A$3:$A$500,$H$3:$H$500,"Approved",$D$3:$D$500,"&lt;="&amp;E9,$E$3:$E$500,"&gt;="&amp;D9,$A$3:$A$500,"&lt;&gt;"&amp;A9)=0)),0))</f>
        <v/>
      </c>
      <c r="N9">
        <f>IF(B9="","",IFERROR(SUMPRODUCT((LEN(Employees!$A$3:$A$500)&gt;0)*(Employees!$B$3:$B$500="Manager")*(Employees!$U$3:$U$500=1)*(COUNTIFS($B$3:$B$500,Employees!$A$3:$A$500,$H$3:$H$500,"Approved",$D$3:$D$500,"&lt;="&amp;E9,$E$3:$E$500,"&gt;="&amp;D9,$A$3:$A$500,"&lt;&gt;"&amp;A9)=0)),0))</f>
        <v/>
      </c>
      <c r="O9">
        <f>IF(B9="","",IFERROR(SUMPRODUCT((LEN(Employees!$A$3:$A$500)&gt;0)*(Employees!$V$3:$V$500=1)*(COUNTIFS($B$3:$B$500,Employees!$A$3:$A$500,$H$3:$H$500,"Approved",$D$3:$D$500,"&lt;="&amp;E9,$E$3:$E$500,"&gt;="&amp;D9,$A$3:$A$500,"&lt;&gt;"&amp;A9)=0)),0))</f>
        <v/>
      </c>
      <c r="P9">
        <f>IF(B9="","",IFERROR(SUMPRODUCT((LEN(Employees!$A$3:$A$500)&gt;0)*(Employees!$W$3:$W$500=1)*(COUNTIFS($B$3:$B$500,Employees!$A$3:$A$500,$H$3:$H$500,"Approved",$D$3:$D$500,"&lt;="&amp;E9,$E$3:$E$500,"&gt;="&amp;D9,$A$3:$A$500,"&lt;&gt;"&amp;A9)=0)),0))</f>
        <v/>
      </c>
      <c r="Q9">
        <f>IF(B9="","",IFERROR(SUMPRODUCT((LEN(Employees!$A$3:$A$500)&gt;0)*(Employees!$N$3:$N$500=1)*(COUNTIFS($B$3:$B$500,Employees!$A$3:$A$500,$H$3:$H$500,"Approved",$D$3:$D$500,"&lt;="&amp;E9,$E$3:$E$500,"&gt;="&amp;D9,$A$3:$A$500,"&lt;&gt;"&amp;A9)&gt;0)),0))</f>
        <v/>
      </c>
      <c r="R9">
        <f>IF(B9="","",IFERROR(SUMPRODUCT((LEN(Employees!$A$3:$A$500)&gt;0)*(Employees!$O$3:$O$500=1)*(COUNTIFS($B$3:$B$500,Employees!$A$3:$A$500,$H$3:$H$500,"Approved",$D$3:$D$500,"&lt;="&amp;E9,$E$3:$E$500,"&gt;="&amp;D9,$A$3:$A$500,"&lt;&gt;"&amp;A9)&gt;0)),0))</f>
        <v/>
      </c>
      <c r="S9">
        <f>IF(OR(B9="",IFERROR(XLOOKUP(B9,Employees!$A$3:$A$500,Employees!$G$3:$G$500,""),"")=""),"",IFERROR(SUMPRODUCT((LEN(Employees!$A$3:$A$500)&gt;0)*(Employees!$G$3:$G$500=IFERROR(XLOOKUP(B9,Employees!$A$3:$A$500,Employees!$G$3:$G$500,""),""))*(COUNTIFS($B$3:$B$500,Employees!$A$3:$A$500,$H$3:$H$500,"Approved",$D$3:$D$500,"&lt;="&amp;E9,$E$3:$E$500,"&gt;="&amp;D9,$A$3:$A$500,"&lt;&gt;"&amp;A9)&gt;0)),0))</f>
        <v/>
      </c>
    </row>
    <row r="10">
      <c r="C10">
        <f>IFERROR(XLOOKUP(B10,Employees!$A$3:$A$500,Employees!$B$3:$B$500,""),"")</f>
        <v/>
      </c>
      <c r="I10">
        <f>IF(AND(B10&lt;&gt;"",D10&lt;&gt;"",E10&lt;&gt;""),E10-D10+1,"")</f>
        <v/>
      </c>
      <c r="J10">
        <f>IF(OR(B10="",D10="",E10=""),"",IF(OR(L10&lt;'Coverage Rules'!E7,M10&lt;'Coverage Rules'!E8,N10&lt;'Coverage Rules'!C8,O10&lt;'Coverage Rules'!E9,P10&lt;'Coverage Rules'!E10,Q10&gt;='Coverage Rules'!B16,R10&gt;='Coverage Rules'!B17,IF(S10="",FALSE,S10&gt;='Coverage Rules'!D24)),"Denied","OK"))</f>
        <v/>
      </c>
      <c r="L10">
        <f>IF(B10="","",IFERROR(SUMPRODUCT((LEN(Employees!$A$3:$A$500)&gt;0)*(Employees!$T$3:$T$500=1)*(COUNTIFS($B$3:$B$500,Employees!$A$3:$A$500,$H$3:$H$500,"Approved",$D$3:$D$500,"&lt;="&amp;E10,$E$3:$E$500,"&gt;="&amp;D10,$A$3:$A$500,"&lt;&gt;"&amp;A10)=0)),0))</f>
        <v/>
      </c>
      <c r="M10">
        <f>IF(B10="","",IFERROR(SUMPRODUCT((LEN(Employees!$A$3:$A$500)&gt;0)*(Employees!$U$3:$U$500=1)*(COUNTIFS($B$3:$B$500,Employees!$A$3:$A$500,$H$3:$H$500,"Approved",$D$3:$D$500,"&lt;="&amp;E10,$E$3:$E$500,"&gt;="&amp;D10,$A$3:$A$500,"&lt;&gt;"&amp;A10)=0)),0))</f>
        <v/>
      </c>
      <c r="N10">
        <f>IF(B10="","",IFERROR(SUMPRODUCT((LEN(Employees!$A$3:$A$500)&gt;0)*(Employees!$B$3:$B$500="Manager")*(Employees!$U$3:$U$500=1)*(COUNTIFS($B$3:$B$500,Employees!$A$3:$A$500,$H$3:$H$500,"Approved",$D$3:$D$500,"&lt;="&amp;E10,$E$3:$E$500,"&gt;="&amp;D10,$A$3:$A$500,"&lt;&gt;"&amp;A10)=0)),0))</f>
        <v/>
      </c>
      <c r="O10">
        <f>IF(B10="","",IFERROR(SUMPRODUCT((LEN(Employees!$A$3:$A$500)&gt;0)*(Employees!$V$3:$V$500=1)*(COUNTIFS($B$3:$B$500,Employees!$A$3:$A$500,$H$3:$H$500,"Approved",$D$3:$D$500,"&lt;="&amp;E10,$E$3:$E$500,"&gt;="&amp;D10,$A$3:$A$500,"&lt;&gt;"&amp;A10)=0)),0))</f>
        <v/>
      </c>
      <c r="P10">
        <f>IF(B10="","",IFERROR(SUMPRODUCT((LEN(Employees!$A$3:$A$500)&gt;0)*(Employees!$W$3:$W$500=1)*(COUNTIFS($B$3:$B$500,Employees!$A$3:$A$500,$H$3:$H$500,"Approved",$D$3:$D$500,"&lt;="&amp;E10,$E$3:$E$500,"&gt;="&amp;D10,$A$3:$A$500,"&lt;&gt;"&amp;A10)=0)),0))</f>
        <v/>
      </c>
      <c r="Q10">
        <f>IF(B10="","",IFERROR(SUMPRODUCT((LEN(Employees!$A$3:$A$500)&gt;0)*(Employees!$N$3:$N$500=1)*(COUNTIFS($B$3:$B$500,Employees!$A$3:$A$500,$H$3:$H$500,"Approved",$D$3:$D$500,"&lt;="&amp;E10,$E$3:$E$500,"&gt;="&amp;D10,$A$3:$A$500,"&lt;&gt;"&amp;A10)&gt;0)),0))</f>
        <v/>
      </c>
      <c r="R10">
        <f>IF(B10="","",IFERROR(SUMPRODUCT((LEN(Employees!$A$3:$A$500)&gt;0)*(Employees!$O$3:$O$500=1)*(COUNTIFS($B$3:$B$500,Employees!$A$3:$A$500,$H$3:$H$500,"Approved",$D$3:$D$500,"&lt;="&amp;E10,$E$3:$E$500,"&gt;="&amp;D10,$A$3:$A$500,"&lt;&gt;"&amp;A10)&gt;0)),0))</f>
        <v/>
      </c>
      <c r="S10">
        <f>IF(OR(B10="",IFERROR(XLOOKUP(B10,Employees!$A$3:$A$500,Employees!$G$3:$G$500,""),"")=""),"",IFERROR(SUMPRODUCT((LEN(Employees!$A$3:$A$500)&gt;0)*(Employees!$G$3:$G$500=IFERROR(XLOOKUP(B10,Employees!$A$3:$A$500,Employees!$G$3:$G$500,""),""))*(COUNTIFS($B$3:$B$500,Employees!$A$3:$A$500,$H$3:$H$500,"Approved",$D$3:$D$500,"&lt;="&amp;E10,$E$3:$E$500,"&gt;="&amp;D10,$A$3:$A$500,"&lt;&gt;"&amp;A10)&gt;0)),0))</f>
        <v/>
      </c>
    </row>
    <row r="11">
      <c r="C11">
        <f>IFERROR(XLOOKUP(B11,Employees!$A$3:$A$500,Employees!$B$3:$B$500,""),"")</f>
        <v/>
      </c>
      <c r="I11">
        <f>IF(AND(B11&lt;&gt;"",D11&lt;&gt;"",E11&lt;&gt;""),E11-D11+1,"")</f>
        <v/>
      </c>
      <c r="J11">
        <f>IF(OR(B11="",D11="",E11=""),"",IF(OR(L11&lt;'Coverage Rules'!E7,M11&lt;'Coverage Rules'!E8,N11&lt;'Coverage Rules'!C8,O11&lt;'Coverage Rules'!E9,P11&lt;'Coverage Rules'!E10,Q11&gt;='Coverage Rules'!B16,R11&gt;='Coverage Rules'!B17,IF(S11="",FALSE,S11&gt;='Coverage Rules'!D24)),"Denied","OK"))</f>
        <v/>
      </c>
      <c r="L11">
        <f>IF(B11="","",IFERROR(SUMPRODUCT((LEN(Employees!$A$3:$A$500)&gt;0)*(Employees!$T$3:$T$500=1)*(COUNTIFS($B$3:$B$500,Employees!$A$3:$A$500,$H$3:$H$500,"Approved",$D$3:$D$500,"&lt;="&amp;E11,$E$3:$E$500,"&gt;="&amp;D11,$A$3:$A$500,"&lt;&gt;"&amp;A11)=0)),0))</f>
        <v/>
      </c>
      <c r="M11">
        <f>IF(B11="","",IFERROR(SUMPRODUCT((LEN(Employees!$A$3:$A$500)&gt;0)*(Employees!$U$3:$U$500=1)*(COUNTIFS($B$3:$B$500,Employees!$A$3:$A$500,$H$3:$H$500,"Approved",$D$3:$D$500,"&lt;="&amp;E11,$E$3:$E$500,"&gt;="&amp;D11,$A$3:$A$500,"&lt;&gt;"&amp;A11)=0)),0))</f>
        <v/>
      </c>
      <c r="N11">
        <f>IF(B11="","",IFERROR(SUMPRODUCT((LEN(Employees!$A$3:$A$500)&gt;0)*(Employees!$B$3:$B$500="Manager")*(Employees!$U$3:$U$500=1)*(COUNTIFS($B$3:$B$500,Employees!$A$3:$A$500,$H$3:$H$500,"Approved",$D$3:$D$500,"&lt;="&amp;E11,$E$3:$E$500,"&gt;="&amp;D11,$A$3:$A$500,"&lt;&gt;"&amp;A11)=0)),0))</f>
        <v/>
      </c>
      <c r="O11">
        <f>IF(B11="","",IFERROR(SUMPRODUCT((LEN(Employees!$A$3:$A$500)&gt;0)*(Employees!$V$3:$V$500=1)*(COUNTIFS($B$3:$B$500,Employees!$A$3:$A$500,$H$3:$H$500,"Approved",$D$3:$D$500,"&lt;="&amp;E11,$E$3:$E$500,"&gt;="&amp;D11,$A$3:$A$500,"&lt;&gt;"&amp;A11)=0)),0))</f>
        <v/>
      </c>
      <c r="P11">
        <f>IF(B11="","",IFERROR(SUMPRODUCT((LEN(Employees!$A$3:$A$500)&gt;0)*(Employees!$W$3:$W$500=1)*(COUNTIFS($B$3:$B$500,Employees!$A$3:$A$500,$H$3:$H$500,"Approved",$D$3:$D$500,"&lt;="&amp;E11,$E$3:$E$500,"&gt;="&amp;D11,$A$3:$A$500,"&lt;&gt;"&amp;A11)=0)),0))</f>
        <v/>
      </c>
      <c r="Q11">
        <f>IF(B11="","",IFERROR(SUMPRODUCT((LEN(Employees!$A$3:$A$500)&gt;0)*(Employees!$N$3:$N$500=1)*(COUNTIFS($B$3:$B$500,Employees!$A$3:$A$500,$H$3:$H$500,"Approved",$D$3:$D$500,"&lt;="&amp;E11,$E$3:$E$500,"&gt;="&amp;D11,$A$3:$A$500,"&lt;&gt;"&amp;A11)&gt;0)),0))</f>
        <v/>
      </c>
      <c r="R11">
        <f>IF(B11="","",IFERROR(SUMPRODUCT((LEN(Employees!$A$3:$A$500)&gt;0)*(Employees!$O$3:$O$500=1)*(COUNTIFS($B$3:$B$500,Employees!$A$3:$A$500,$H$3:$H$500,"Approved",$D$3:$D$500,"&lt;="&amp;E11,$E$3:$E$500,"&gt;="&amp;D11,$A$3:$A$500,"&lt;&gt;"&amp;A11)&gt;0)),0))</f>
        <v/>
      </c>
      <c r="S11">
        <f>IF(OR(B11="",IFERROR(XLOOKUP(B11,Employees!$A$3:$A$500,Employees!$G$3:$G$500,""),"")=""),"",IFERROR(SUMPRODUCT((LEN(Employees!$A$3:$A$500)&gt;0)*(Employees!$G$3:$G$500=IFERROR(XLOOKUP(B11,Employees!$A$3:$A$500,Employees!$G$3:$G$500,""),""))*(COUNTIFS($B$3:$B$500,Employees!$A$3:$A$500,$H$3:$H$500,"Approved",$D$3:$D$500,"&lt;="&amp;E11,$E$3:$E$500,"&gt;="&amp;D11,$A$3:$A$500,"&lt;&gt;"&amp;A11)&gt;0)),0))</f>
        <v/>
      </c>
    </row>
    <row r="12">
      <c r="C12">
        <f>IFERROR(XLOOKUP(B12,Employees!$A$3:$A$500,Employees!$B$3:$B$500,""),"")</f>
        <v/>
      </c>
      <c r="I12">
        <f>IF(AND(B12&lt;&gt;"",D12&lt;&gt;"",E12&lt;&gt;""),E12-D12+1,"")</f>
        <v/>
      </c>
      <c r="J12">
        <f>IF(OR(B12="",D12="",E12=""),"",IF(OR(L12&lt;'Coverage Rules'!E7,M12&lt;'Coverage Rules'!E8,N12&lt;'Coverage Rules'!C8,O12&lt;'Coverage Rules'!E9,P12&lt;'Coverage Rules'!E10,Q12&gt;='Coverage Rules'!B16,R12&gt;='Coverage Rules'!B17,IF(S12="",FALSE,S12&gt;='Coverage Rules'!D24)),"Denied","OK"))</f>
        <v/>
      </c>
      <c r="L12">
        <f>IF(B12="","",IFERROR(SUMPRODUCT((LEN(Employees!$A$3:$A$500)&gt;0)*(Employees!$T$3:$T$500=1)*(COUNTIFS($B$3:$B$500,Employees!$A$3:$A$500,$H$3:$H$500,"Approved",$D$3:$D$500,"&lt;="&amp;E12,$E$3:$E$500,"&gt;="&amp;D12,$A$3:$A$500,"&lt;&gt;"&amp;A12)=0)),0))</f>
        <v/>
      </c>
      <c r="M12">
        <f>IF(B12="","",IFERROR(SUMPRODUCT((LEN(Employees!$A$3:$A$500)&gt;0)*(Employees!$U$3:$U$500=1)*(COUNTIFS($B$3:$B$500,Employees!$A$3:$A$500,$H$3:$H$500,"Approved",$D$3:$D$500,"&lt;="&amp;E12,$E$3:$E$500,"&gt;="&amp;D12,$A$3:$A$500,"&lt;&gt;"&amp;A12)=0)),0))</f>
        <v/>
      </c>
      <c r="N12">
        <f>IF(B12="","",IFERROR(SUMPRODUCT((LEN(Employees!$A$3:$A$500)&gt;0)*(Employees!$B$3:$B$500="Manager")*(Employees!$U$3:$U$500=1)*(COUNTIFS($B$3:$B$500,Employees!$A$3:$A$500,$H$3:$H$500,"Approved",$D$3:$D$500,"&lt;="&amp;E12,$E$3:$E$500,"&gt;="&amp;D12,$A$3:$A$500,"&lt;&gt;"&amp;A12)=0)),0))</f>
        <v/>
      </c>
      <c r="O12">
        <f>IF(B12="","",IFERROR(SUMPRODUCT((LEN(Employees!$A$3:$A$500)&gt;0)*(Employees!$V$3:$V$500=1)*(COUNTIFS($B$3:$B$500,Employees!$A$3:$A$500,$H$3:$H$500,"Approved",$D$3:$D$500,"&lt;="&amp;E12,$E$3:$E$500,"&gt;="&amp;D12,$A$3:$A$500,"&lt;&gt;"&amp;A12)=0)),0))</f>
        <v/>
      </c>
      <c r="P12">
        <f>IF(B12="","",IFERROR(SUMPRODUCT((LEN(Employees!$A$3:$A$500)&gt;0)*(Employees!$W$3:$W$500=1)*(COUNTIFS($B$3:$B$500,Employees!$A$3:$A$500,$H$3:$H$500,"Approved",$D$3:$D$500,"&lt;="&amp;E12,$E$3:$E$500,"&gt;="&amp;D12,$A$3:$A$500,"&lt;&gt;"&amp;A12)=0)),0))</f>
        <v/>
      </c>
      <c r="Q12">
        <f>IF(B12="","",IFERROR(SUMPRODUCT((LEN(Employees!$A$3:$A$500)&gt;0)*(Employees!$N$3:$N$500=1)*(COUNTIFS($B$3:$B$500,Employees!$A$3:$A$500,$H$3:$H$500,"Approved",$D$3:$D$500,"&lt;="&amp;E12,$E$3:$E$500,"&gt;="&amp;D12,$A$3:$A$500,"&lt;&gt;"&amp;A12)&gt;0)),0))</f>
        <v/>
      </c>
      <c r="R12">
        <f>IF(B12="","",IFERROR(SUMPRODUCT((LEN(Employees!$A$3:$A$500)&gt;0)*(Employees!$O$3:$O$500=1)*(COUNTIFS($B$3:$B$500,Employees!$A$3:$A$500,$H$3:$H$500,"Approved",$D$3:$D$500,"&lt;="&amp;E12,$E$3:$E$500,"&gt;="&amp;D12,$A$3:$A$500,"&lt;&gt;"&amp;A12)&gt;0)),0))</f>
        <v/>
      </c>
      <c r="S12">
        <f>IF(OR(B12="",IFERROR(XLOOKUP(B12,Employees!$A$3:$A$500,Employees!$G$3:$G$500,""),"")=""),"",IFERROR(SUMPRODUCT((LEN(Employees!$A$3:$A$500)&gt;0)*(Employees!$G$3:$G$500=IFERROR(XLOOKUP(B12,Employees!$A$3:$A$500,Employees!$G$3:$G$500,""),""))*(COUNTIFS($B$3:$B$500,Employees!$A$3:$A$500,$H$3:$H$500,"Approved",$D$3:$D$500,"&lt;="&amp;E12,$E$3:$E$500,"&gt;="&amp;D12,$A$3:$A$500,"&lt;&gt;"&amp;A12)&gt;0)),0))</f>
        <v/>
      </c>
    </row>
    <row r="13">
      <c r="C13">
        <f>IFERROR(XLOOKUP(B13,Employees!$A$3:$A$500,Employees!$B$3:$B$500,""),"")</f>
        <v/>
      </c>
      <c r="I13">
        <f>IF(AND(B13&lt;&gt;"",D13&lt;&gt;"",E13&lt;&gt;""),E13-D13+1,"")</f>
        <v/>
      </c>
      <c r="J13">
        <f>IF(OR(B13="",D13="",E13=""),"",IF(OR(L13&lt;'Coverage Rules'!E7,M13&lt;'Coverage Rules'!E8,N13&lt;'Coverage Rules'!C8,O13&lt;'Coverage Rules'!E9,P13&lt;'Coverage Rules'!E10,Q13&gt;='Coverage Rules'!B16,R13&gt;='Coverage Rules'!B17,IF(S13="",FALSE,S13&gt;='Coverage Rules'!D24)),"Denied","OK"))</f>
        <v/>
      </c>
      <c r="L13">
        <f>IF(B13="","",IFERROR(SUMPRODUCT((LEN(Employees!$A$3:$A$500)&gt;0)*(Employees!$T$3:$T$500=1)*(COUNTIFS($B$3:$B$500,Employees!$A$3:$A$500,$H$3:$H$500,"Approved",$D$3:$D$500,"&lt;="&amp;E13,$E$3:$E$500,"&gt;="&amp;D13,$A$3:$A$500,"&lt;&gt;"&amp;A13)=0)),0))</f>
        <v/>
      </c>
      <c r="M13">
        <f>IF(B13="","",IFERROR(SUMPRODUCT((LEN(Employees!$A$3:$A$500)&gt;0)*(Employees!$U$3:$U$500=1)*(COUNTIFS($B$3:$B$500,Employees!$A$3:$A$500,$H$3:$H$500,"Approved",$D$3:$D$500,"&lt;="&amp;E13,$E$3:$E$500,"&gt;="&amp;D13,$A$3:$A$500,"&lt;&gt;"&amp;A13)=0)),0))</f>
        <v/>
      </c>
      <c r="N13">
        <f>IF(B13="","",IFERROR(SUMPRODUCT((LEN(Employees!$A$3:$A$500)&gt;0)*(Employees!$B$3:$B$500="Manager")*(Employees!$U$3:$U$500=1)*(COUNTIFS($B$3:$B$500,Employees!$A$3:$A$500,$H$3:$H$500,"Approved",$D$3:$D$500,"&lt;="&amp;E13,$E$3:$E$500,"&gt;="&amp;D13,$A$3:$A$500,"&lt;&gt;"&amp;A13)=0)),0))</f>
        <v/>
      </c>
      <c r="O13">
        <f>IF(B13="","",IFERROR(SUMPRODUCT((LEN(Employees!$A$3:$A$500)&gt;0)*(Employees!$V$3:$V$500=1)*(COUNTIFS($B$3:$B$500,Employees!$A$3:$A$500,$H$3:$H$500,"Approved",$D$3:$D$500,"&lt;="&amp;E13,$E$3:$E$500,"&gt;="&amp;D13,$A$3:$A$500,"&lt;&gt;"&amp;A13)=0)),0))</f>
        <v/>
      </c>
      <c r="P13">
        <f>IF(B13="","",IFERROR(SUMPRODUCT((LEN(Employees!$A$3:$A$500)&gt;0)*(Employees!$W$3:$W$500=1)*(COUNTIFS($B$3:$B$500,Employees!$A$3:$A$500,$H$3:$H$500,"Approved",$D$3:$D$500,"&lt;="&amp;E13,$E$3:$E$500,"&gt;="&amp;D13,$A$3:$A$500,"&lt;&gt;"&amp;A13)=0)),0))</f>
        <v/>
      </c>
      <c r="Q13">
        <f>IF(B13="","",IFERROR(SUMPRODUCT((LEN(Employees!$A$3:$A$500)&gt;0)*(Employees!$N$3:$N$500=1)*(COUNTIFS($B$3:$B$500,Employees!$A$3:$A$500,$H$3:$H$500,"Approved",$D$3:$D$500,"&lt;="&amp;E13,$E$3:$E$500,"&gt;="&amp;D13,$A$3:$A$500,"&lt;&gt;"&amp;A13)&gt;0)),0))</f>
        <v/>
      </c>
      <c r="R13">
        <f>IF(B13="","",IFERROR(SUMPRODUCT((LEN(Employees!$A$3:$A$500)&gt;0)*(Employees!$O$3:$O$500=1)*(COUNTIFS($B$3:$B$500,Employees!$A$3:$A$500,$H$3:$H$500,"Approved",$D$3:$D$500,"&lt;="&amp;E13,$E$3:$E$500,"&gt;="&amp;D13,$A$3:$A$500,"&lt;&gt;"&amp;A13)&gt;0)),0))</f>
        <v/>
      </c>
      <c r="S13">
        <f>IF(OR(B13="",IFERROR(XLOOKUP(B13,Employees!$A$3:$A$500,Employees!$G$3:$G$500,""),"")=""),"",IFERROR(SUMPRODUCT((LEN(Employees!$A$3:$A$500)&gt;0)*(Employees!$G$3:$G$500=IFERROR(XLOOKUP(B13,Employees!$A$3:$A$500,Employees!$G$3:$G$500,""),""))*(COUNTIFS($B$3:$B$500,Employees!$A$3:$A$500,$H$3:$H$500,"Approved",$D$3:$D$500,"&lt;="&amp;E13,$E$3:$E$500,"&gt;="&amp;D13,$A$3:$A$500,"&lt;&gt;"&amp;A13)&gt;0)),0))</f>
        <v/>
      </c>
    </row>
    <row r="14">
      <c r="C14">
        <f>IFERROR(XLOOKUP(B14,Employees!$A$3:$A$500,Employees!$B$3:$B$500,""),"")</f>
        <v/>
      </c>
      <c r="I14">
        <f>IF(AND(B14&lt;&gt;"",D14&lt;&gt;"",E14&lt;&gt;""),E14-D14+1,"")</f>
        <v/>
      </c>
      <c r="J14">
        <f>IF(OR(B14="",D14="",E14=""),"",IF(OR(L14&lt;'Coverage Rules'!E7,M14&lt;'Coverage Rules'!E8,N14&lt;'Coverage Rules'!C8,O14&lt;'Coverage Rules'!E9,P14&lt;'Coverage Rules'!E10,Q14&gt;='Coverage Rules'!B16,R14&gt;='Coverage Rules'!B17,IF(S14="",FALSE,S14&gt;='Coverage Rules'!D24)),"Denied","OK"))</f>
        <v/>
      </c>
      <c r="L14">
        <f>IF(B14="","",IFERROR(SUMPRODUCT((LEN(Employees!$A$3:$A$500)&gt;0)*(Employees!$T$3:$T$500=1)*(COUNTIFS($B$3:$B$500,Employees!$A$3:$A$500,$H$3:$H$500,"Approved",$D$3:$D$500,"&lt;="&amp;E14,$E$3:$E$500,"&gt;="&amp;D14,$A$3:$A$500,"&lt;&gt;"&amp;A14)=0)),0))</f>
        <v/>
      </c>
      <c r="M14">
        <f>IF(B14="","",IFERROR(SUMPRODUCT((LEN(Employees!$A$3:$A$500)&gt;0)*(Employees!$U$3:$U$500=1)*(COUNTIFS($B$3:$B$500,Employees!$A$3:$A$500,$H$3:$H$500,"Approved",$D$3:$D$500,"&lt;="&amp;E14,$E$3:$E$500,"&gt;="&amp;D14,$A$3:$A$500,"&lt;&gt;"&amp;A14)=0)),0))</f>
        <v/>
      </c>
      <c r="N14">
        <f>IF(B14="","",IFERROR(SUMPRODUCT((LEN(Employees!$A$3:$A$500)&gt;0)*(Employees!$B$3:$B$500="Manager")*(Employees!$U$3:$U$500=1)*(COUNTIFS($B$3:$B$500,Employees!$A$3:$A$500,$H$3:$H$500,"Approved",$D$3:$D$500,"&lt;="&amp;E14,$E$3:$E$500,"&gt;="&amp;D14,$A$3:$A$500,"&lt;&gt;"&amp;A14)=0)),0))</f>
        <v/>
      </c>
      <c r="O14">
        <f>IF(B14="","",IFERROR(SUMPRODUCT((LEN(Employees!$A$3:$A$500)&gt;0)*(Employees!$V$3:$V$500=1)*(COUNTIFS($B$3:$B$500,Employees!$A$3:$A$500,$H$3:$H$500,"Approved",$D$3:$D$500,"&lt;="&amp;E14,$E$3:$E$500,"&gt;="&amp;D14,$A$3:$A$500,"&lt;&gt;"&amp;A14)=0)),0))</f>
        <v/>
      </c>
      <c r="P14">
        <f>IF(B14="","",IFERROR(SUMPRODUCT((LEN(Employees!$A$3:$A$500)&gt;0)*(Employees!$W$3:$W$500=1)*(COUNTIFS($B$3:$B$500,Employees!$A$3:$A$500,$H$3:$H$500,"Approved",$D$3:$D$500,"&lt;="&amp;E14,$E$3:$E$500,"&gt;="&amp;D14,$A$3:$A$500,"&lt;&gt;"&amp;A14)=0)),0))</f>
        <v/>
      </c>
      <c r="Q14">
        <f>IF(B14="","",IFERROR(SUMPRODUCT((LEN(Employees!$A$3:$A$500)&gt;0)*(Employees!$N$3:$N$500=1)*(COUNTIFS($B$3:$B$500,Employees!$A$3:$A$500,$H$3:$H$500,"Approved",$D$3:$D$500,"&lt;="&amp;E14,$E$3:$E$500,"&gt;="&amp;D14,$A$3:$A$500,"&lt;&gt;"&amp;A14)&gt;0)),0))</f>
        <v/>
      </c>
      <c r="R14">
        <f>IF(B14="","",IFERROR(SUMPRODUCT((LEN(Employees!$A$3:$A$500)&gt;0)*(Employees!$O$3:$O$500=1)*(COUNTIFS($B$3:$B$500,Employees!$A$3:$A$500,$H$3:$H$500,"Approved",$D$3:$D$500,"&lt;="&amp;E14,$E$3:$E$500,"&gt;="&amp;D14,$A$3:$A$500,"&lt;&gt;"&amp;A14)&gt;0)),0))</f>
        <v/>
      </c>
      <c r="S14">
        <f>IF(OR(B14="",IFERROR(XLOOKUP(B14,Employees!$A$3:$A$500,Employees!$G$3:$G$500,""),"")=""),"",IFERROR(SUMPRODUCT((LEN(Employees!$A$3:$A$500)&gt;0)*(Employees!$G$3:$G$500=IFERROR(XLOOKUP(B14,Employees!$A$3:$A$500,Employees!$G$3:$G$500,""),""))*(COUNTIFS($B$3:$B$500,Employees!$A$3:$A$500,$H$3:$H$500,"Approved",$D$3:$D$500,"&lt;="&amp;E14,$E$3:$E$500,"&gt;="&amp;D14,$A$3:$A$500,"&lt;&gt;"&amp;A14)&gt;0)),0))</f>
        <v/>
      </c>
    </row>
    <row r="15">
      <c r="C15">
        <f>IFERROR(XLOOKUP(B15,Employees!$A$3:$A$500,Employees!$B$3:$B$500,""),"")</f>
        <v/>
      </c>
      <c r="I15">
        <f>IF(AND(B15&lt;&gt;"",D15&lt;&gt;"",E15&lt;&gt;""),E15-D15+1,"")</f>
        <v/>
      </c>
      <c r="J15">
        <f>IF(OR(B15="",D15="",E15=""),"",IF(OR(L15&lt;'Coverage Rules'!E7,M15&lt;'Coverage Rules'!E8,N15&lt;'Coverage Rules'!C8,O15&lt;'Coverage Rules'!E9,P15&lt;'Coverage Rules'!E10,Q15&gt;='Coverage Rules'!B16,R15&gt;='Coverage Rules'!B17,IF(S15="",FALSE,S15&gt;='Coverage Rules'!D24)),"Denied","OK"))</f>
        <v/>
      </c>
      <c r="L15">
        <f>IF(B15="","",IFERROR(SUMPRODUCT((LEN(Employees!$A$3:$A$500)&gt;0)*(Employees!$T$3:$T$500=1)*(COUNTIFS($B$3:$B$500,Employees!$A$3:$A$500,$H$3:$H$500,"Approved",$D$3:$D$500,"&lt;="&amp;E15,$E$3:$E$500,"&gt;="&amp;D15,$A$3:$A$500,"&lt;&gt;"&amp;A15)=0)),0))</f>
        <v/>
      </c>
      <c r="M15">
        <f>IF(B15="","",IFERROR(SUMPRODUCT((LEN(Employees!$A$3:$A$500)&gt;0)*(Employees!$U$3:$U$500=1)*(COUNTIFS($B$3:$B$500,Employees!$A$3:$A$500,$H$3:$H$500,"Approved",$D$3:$D$500,"&lt;="&amp;E15,$E$3:$E$500,"&gt;="&amp;D15,$A$3:$A$500,"&lt;&gt;"&amp;A15)=0)),0))</f>
        <v/>
      </c>
      <c r="N15">
        <f>IF(B15="","",IFERROR(SUMPRODUCT((LEN(Employees!$A$3:$A$500)&gt;0)*(Employees!$B$3:$B$500="Manager")*(Employees!$U$3:$U$500=1)*(COUNTIFS($B$3:$B$500,Employees!$A$3:$A$500,$H$3:$H$500,"Approved",$D$3:$D$500,"&lt;="&amp;E15,$E$3:$E$500,"&gt;="&amp;D15,$A$3:$A$500,"&lt;&gt;"&amp;A15)=0)),0))</f>
        <v/>
      </c>
      <c r="O15">
        <f>IF(B15="","",IFERROR(SUMPRODUCT((LEN(Employees!$A$3:$A$500)&gt;0)*(Employees!$V$3:$V$500=1)*(COUNTIFS($B$3:$B$500,Employees!$A$3:$A$500,$H$3:$H$500,"Approved",$D$3:$D$500,"&lt;="&amp;E15,$E$3:$E$500,"&gt;="&amp;D15,$A$3:$A$500,"&lt;&gt;"&amp;A15)=0)),0))</f>
        <v/>
      </c>
      <c r="P15">
        <f>IF(B15="","",IFERROR(SUMPRODUCT((LEN(Employees!$A$3:$A$500)&gt;0)*(Employees!$W$3:$W$500=1)*(COUNTIFS($B$3:$B$500,Employees!$A$3:$A$500,$H$3:$H$500,"Approved",$D$3:$D$500,"&lt;="&amp;E15,$E$3:$E$500,"&gt;="&amp;D15,$A$3:$A$500,"&lt;&gt;"&amp;A15)=0)),0))</f>
        <v/>
      </c>
      <c r="Q15">
        <f>IF(B15="","",IFERROR(SUMPRODUCT((LEN(Employees!$A$3:$A$500)&gt;0)*(Employees!$N$3:$N$500=1)*(COUNTIFS($B$3:$B$500,Employees!$A$3:$A$500,$H$3:$H$500,"Approved",$D$3:$D$500,"&lt;="&amp;E15,$E$3:$E$500,"&gt;="&amp;D15,$A$3:$A$500,"&lt;&gt;"&amp;A15)&gt;0)),0))</f>
        <v/>
      </c>
      <c r="R15">
        <f>IF(B15="","",IFERROR(SUMPRODUCT((LEN(Employees!$A$3:$A$500)&gt;0)*(Employees!$O$3:$O$500=1)*(COUNTIFS($B$3:$B$500,Employees!$A$3:$A$500,$H$3:$H$500,"Approved",$D$3:$D$500,"&lt;="&amp;E15,$E$3:$E$500,"&gt;="&amp;D15,$A$3:$A$500,"&lt;&gt;"&amp;A15)&gt;0)),0))</f>
        <v/>
      </c>
      <c r="S15">
        <f>IF(OR(B15="",IFERROR(XLOOKUP(B15,Employees!$A$3:$A$500,Employees!$G$3:$G$500,""),"")=""),"",IFERROR(SUMPRODUCT((LEN(Employees!$A$3:$A$500)&gt;0)*(Employees!$G$3:$G$500=IFERROR(XLOOKUP(B15,Employees!$A$3:$A$500,Employees!$G$3:$G$500,""),""))*(COUNTIFS($B$3:$B$500,Employees!$A$3:$A$500,$H$3:$H$500,"Approved",$D$3:$D$500,"&lt;="&amp;E15,$E$3:$E$500,"&gt;="&amp;D15,$A$3:$A$500,"&lt;&gt;"&amp;A15)&gt;0)),0))</f>
        <v/>
      </c>
    </row>
    <row r="16">
      <c r="C16">
        <f>IFERROR(XLOOKUP(B16,Employees!$A$3:$A$500,Employees!$B$3:$B$500,""),"")</f>
        <v/>
      </c>
      <c r="I16">
        <f>IF(AND(B16&lt;&gt;"",D16&lt;&gt;"",E16&lt;&gt;""),E16-D16+1,"")</f>
        <v/>
      </c>
      <c r="J16">
        <f>IF(OR(B16="",D16="",E16=""),"",IF(OR(L16&lt;'Coverage Rules'!E7,M16&lt;'Coverage Rules'!E8,N16&lt;'Coverage Rules'!C8,O16&lt;'Coverage Rules'!E9,P16&lt;'Coverage Rules'!E10,Q16&gt;='Coverage Rules'!B16,R16&gt;='Coverage Rules'!B17,IF(S16="",FALSE,S16&gt;='Coverage Rules'!D24)),"Denied","OK"))</f>
        <v/>
      </c>
      <c r="L16">
        <f>IF(B16="","",IFERROR(SUMPRODUCT((LEN(Employees!$A$3:$A$500)&gt;0)*(Employees!$T$3:$T$500=1)*(COUNTIFS($B$3:$B$500,Employees!$A$3:$A$500,$H$3:$H$500,"Approved",$D$3:$D$500,"&lt;="&amp;E16,$E$3:$E$500,"&gt;="&amp;D16,$A$3:$A$500,"&lt;&gt;"&amp;A16)=0)),0))</f>
        <v/>
      </c>
      <c r="M16">
        <f>IF(B16="","",IFERROR(SUMPRODUCT((LEN(Employees!$A$3:$A$500)&gt;0)*(Employees!$U$3:$U$500=1)*(COUNTIFS($B$3:$B$500,Employees!$A$3:$A$500,$H$3:$H$500,"Approved",$D$3:$D$500,"&lt;="&amp;E16,$E$3:$E$500,"&gt;="&amp;D16,$A$3:$A$500,"&lt;&gt;"&amp;A16)=0)),0))</f>
        <v/>
      </c>
      <c r="N16">
        <f>IF(B16="","",IFERROR(SUMPRODUCT((LEN(Employees!$A$3:$A$500)&gt;0)*(Employees!$B$3:$B$500="Manager")*(Employees!$U$3:$U$500=1)*(COUNTIFS($B$3:$B$500,Employees!$A$3:$A$500,$H$3:$H$500,"Approved",$D$3:$D$500,"&lt;="&amp;E16,$E$3:$E$500,"&gt;="&amp;D16,$A$3:$A$500,"&lt;&gt;"&amp;A16)=0)),0))</f>
        <v/>
      </c>
      <c r="O16">
        <f>IF(B16="","",IFERROR(SUMPRODUCT((LEN(Employees!$A$3:$A$500)&gt;0)*(Employees!$V$3:$V$500=1)*(COUNTIFS($B$3:$B$500,Employees!$A$3:$A$500,$H$3:$H$500,"Approved",$D$3:$D$500,"&lt;="&amp;E16,$E$3:$E$500,"&gt;="&amp;D16,$A$3:$A$500,"&lt;&gt;"&amp;A16)=0)),0))</f>
        <v/>
      </c>
      <c r="P16">
        <f>IF(B16="","",IFERROR(SUMPRODUCT((LEN(Employees!$A$3:$A$500)&gt;0)*(Employees!$W$3:$W$500=1)*(COUNTIFS($B$3:$B$500,Employees!$A$3:$A$500,$H$3:$H$500,"Approved",$D$3:$D$500,"&lt;="&amp;E16,$E$3:$E$500,"&gt;="&amp;D16,$A$3:$A$500,"&lt;&gt;"&amp;A16)=0)),0))</f>
        <v/>
      </c>
      <c r="Q16">
        <f>IF(B16="","",IFERROR(SUMPRODUCT((LEN(Employees!$A$3:$A$500)&gt;0)*(Employees!$N$3:$N$500=1)*(COUNTIFS($B$3:$B$500,Employees!$A$3:$A$500,$H$3:$H$500,"Approved",$D$3:$D$500,"&lt;="&amp;E16,$E$3:$E$500,"&gt;="&amp;D16,$A$3:$A$500,"&lt;&gt;"&amp;A16)&gt;0)),0))</f>
        <v/>
      </c>
      <c r="R16">
        <f>IF(B16="","",IFERROR(SUMPRODUCT((LEN(Employees!$A$3:$A$500)&gt;0)*(Employees!$O$3:$O$500=1)*(COUNTIFS($B$3:$B$500,Employees!$A$3:$A$500,$H$3:$H$500,"Approved",$D$3:$D$500,"&lt;="&amp;E16,$E$3:$E$500,"&gt;="&amp;D16,$A$3:$A$500,"&lt;&gt;"&amp;A16)&gt;0)),0))</f>
        <v/>
      </c>
      <c r="S16">
        <f>IF(OR(B16="",IFERROR(XLOOKUP(B16,Employees!$A$3:$A$500,Employees!$G$3:$G$500,""),"")=""),"",IFERROR(SUMPRODUCT((LEN(Employees!$A$3:$A$500)&gt;0)*(Employees!$G$3:$G$500=IFERROR(XLOOKUP(B16,Employees!$A$3:$A$500,Employees!$G$3:$G$500,""),""))*(COUNTIFS($B$3:$B$500,Employees!$A$3:$A$500,$H$3:$H$500,"Approved",$D$3:$D$500,"&lt;="&amp;E16,$E$3:$E$500,"&gt;="&amp;D16,$A$3:$A$500,"&lt;&gt;"&amp;A16)&gt;0)),0))</f>
        <v/>
      </c>
    </row>
    <row r="17">
      <c r="C17">
        <f>IFERROR(XLOOKUP(B17,Employees!$A$3:$A$500,Employees!$B$3:$B$500,""),"")</f>
        <v/>
      </c>
      <c r="I17">
        <f>IF(AND(B17&lt;&gt;"",D17&lt;&gt;"",E17&lt;&gt;""),E17-D17+1,"")</f>
        <v/>
      </c>
      <c r="J17">
        <f>IF(OR(B17="",D17="",E17=""),"",IF(OR(L17&lt;'Coverage Rules'!E7,M17&lt;'Coverage Rules'!E8,N17&lt;'Coverage Rules'!C8,O17&lt;'Coverage Rules'!E9,P17&lt;'Coverage Rules'!E10,Q17&gt;='Coverage Rules'!B16,R17&gt;='Coverage Rules'!B17,IF(S17="",FALSE,S17&gt;='Coverage Rules'!D24)),"Denied","OK"))</f>
        <v/>
      </c>
      <c r="L17">
        <f>IF(B17="","",IFERROR(SUMPRODUCT((LEN(Employees!$A$3:$A$500)&gt;0)*(Employees!$T$3:$T$500=1)*(COUNTIFS($B$3:$B$500,Employees!$A$3:$A$500,$H$3:$H$500,"Approved",$D$3:$D$500,"&lt;="&amp;E17,$E$3:$E$500,"&gt;="&amp;D17,$A$3:$A$500,"&lt;&gt;"&amp;A17)=0)),0))</f>
        <v/>
      </c>
      <c r="M17">
        <f>IF(B17="","",IFERROR(SUMPRODUCT((LEN(Employees!$A$3:$A$500)&gt;0)*(Employees!$U$3:$U$500=1)*(COUNTIFS($B$3:$B$500,Employees!$A$3:$A$500,$H$3:$H$500,"Approved",$D$3:$D$500,"&lt;="&amp;E17,$E$3:$E$500,"&gt;="&amp;D17,$A$3:$A$500,"&lt;&gt;"&amp;A17)=0)),0))</f>
        <v/>
      </c>
      <c r="N17">
        <f>IF(B17="","",IFERROR(SUMPRODUCT((LEN(Employees!$A$3:$A$500)&gt;0)*(Employees!$B$3:$B$500="Manager")*(Employees!$U$3:$U$500=1)*(COUNTIFS($B$3:$B$500,Employees!$A$3:$A$500,$H$3:$H$500,"Approved",$D$3:$D$500,"&lt;="&amp;E17,$E$3:$E$500,"&gt;="&amp;D17,$A$3:$A$500,"&lt;&gt;"&amp;A17)=0)),0))</f>
        <v/>
      </c>
      <c r="O17">
        <f>IF(B17="","",IFERROR(SUMPRODUCT((LEN(Employees!$A$3:$A$500)&gt;0)*(Employees!$V$3:$V$500=1)*(COUNTIFS($B$3:$B$500,Employees!$A$3:$A$500,$H$3:$H$500,"Approved",$D$3:$D$500,"&lt;="&amp;E17,$E$3:$E$500,"&gt;="&amp;D17,$A$3:$A$500,"&lt;&gt;"&amp;A17)=0)),0))</f>
        <v/>
      </c>
      <c r="P17">
        <f>IF(B17="","",IFERROR(SUMPRODUCT((LEN(Employees!$A$3:$A$500)&gt;0)*(Employees!$W$3:$W$500=1)*(COUNTIFS($B$3:$B$500,Employees!$A$3:$A$500,$H$3:$H$500,"Approved",$D$3:$D$500,"&lt;="&amp;E17,$E$3:$E$500,"&gt;="&amp;D17,$A$3:$A$500,"&lt;&gt;"&amp;A17)=0)),0))</f>
        <v/>
      </c>
      <c r="Q17">
        <f>IF(B17="","",IFERROR(SUMPRODUCT((LEN(Employees!$A$3:$A$500)&gt;0)*(Employees!$N$3:$N$500=1)*(COUNTIFS($B$3:$B$500,Employees!$A$3:$A$500,$H$3:$H$500,"Approved",$D$3:$D$500,"&lt;="&amp;E17,$E$3:$E$500,"&gt;="&amp;D17,$A$3:$A$500,"&lt;&gt;"&amp;A17)&gt;0)),0))</f>
        <v/>
      </c>
      <c r="R17">
        <f>IF(B17="","",IFERROR(SUMPRODUCT((LEN(Employees!$A$3:$A$500)&gt;0)*(Employees!$O$3:$O$500=1)*(COUNTIFS($B$3:$B$500,Employees!$A$3:$A$500,$H$3:$H$500,"Approved",$D$3:$D$500,"&lt;="&amp;E17,$E$3:$E$500,"&gt;="&amp;D17,$A$3:$A$500,"&lt;&gt;"&amp;A17)&gt;0)),0))</f>
        <v/>
      </c>
      <c r="S17">
        <f>IF(OR(B17="",IFERROR(XLOOKUP(B17,Employees!$A$3:$A$500,Employees!$G$3:$G$500,""),"")=""),"",IFERROR(SUMPRODUCT((LEN(Employees!$A$3:$A$500)&gt;0)*(Employees!$G$3:$G$500=IFERROR(XLOOKUP(B17,Employees!$A$3:$A$500,Employees!$G$3:$G$500,""),""))*(COUNTIFS($B$3:$B$500,Employees!$A$3:$A$500,$H$3:$H$500,"Approved",$D$3:$D$500,"&lt;="&amp;E17,$E$3:$E$500,"&gt;="&amp;D17,$A$3:$A$500,"&lt;&gt;"&amp;A17)&gt;0)),0))</f>
        <v/>
      </c>
    </row>
    <row r="18">
      <c r="C18">
        <f>IFERROR(XLOOKUP(B18,Employees!$A$3:$A$500,Employees!$B$3:$B$500,""),"")</f>
        <v/>
      </c>
      <c r="I18">
        <f>IF(AND(B18&lt;&gt;"",D18&lt;&gt;"",E18&lt;&gt;""),E18-D18+1,"")</f>
        <v/>
      </c>
      <c r="J18">
        <f>IF(OR(B18="",D18="",E18=""),"",IF(OR(L18&lt;'Coverage Rules'!E7,M18&lt;'Coverage Rules'!E8,N18&lt;'Coverage Rules'!C8,O18&lt;'Coverage Rules'!E9,P18&lt;'Coverage Rules'!E10,Q18&gt;='Coverage Rules'!B16,R18&gt;='Coverage Rules'!B17,IF(S18="",FALSE,S18&gt;='Coverage Rules'!D24)),"Denied","OK"))</f>
        <v/>
      </c>
      <c r="L18">
        <f>IF(B18="","",IFERROR(SUMPRODUCT((LEN(Employees!$A$3:$A$500)&gt;0)*(Employees!$T$3:$T$500=1)*(COUNTIFS($B$3:$B$500,Employees!$A$3:$A$500,$H$3:$H$500,"Approved",$D$3:$D$500,"&lt;="&amp;E18,$E$3:$E$500,"&gt;="&amp;D18,$A$3:$A$500,"&lt;&gt;"&amp;A18)=0)),0))</f>
        <v/>
      </c>
      <c r="M18">
        <f>IF(B18="","",IFERROR(SUMPRODUCT((LEN(Employees!$A$3:$A$500)&gt;0)*(Employees!$U$3:$U$500=1)*(COUNTIFS($B$3:$B$500,Employees!$A$3:$A$500,$H$3:$H$500,"Approved",$D$3:$D$500,"&lt;="&amp;E18,$E$3:$E$500,"&gt;="&amp;D18,$A$3:$A$500,"&lt;&gt;"&amp;A18)=0)),0))</f>
        <v/>
      </c>
      <c r="N18">
        <f>IF(B18="","",IFERROR(SUMPRODUCT((LEN(Employees!$A$3:$A$500)&gt;0)*(Employees!$B$3:$B$500="Manager")*(Employees!$U$3:$U$500=1)*(COUNTIFS($B$3:$B$500,Employees!$A$3:$A$500,$H$3:$H$500,"Approved",$D$3:$D$500,"&lt;="&amp;E18,$E$3:$E$500,"&gt;="&amp;D18,$A$3:$A$500,"&lt;&gt;"&amp;A18)=0)),0))</f>
        <v/>
      </c>
      <c r="O18">
        <f>IF(B18="","",IFERROR(SUMPRODUCT((LEN(Employees!$A$3:$A$500)&gt;0)*(Employees!$V$3:$V$500=1)*(COUNTIFS($B$3:$B$500,Employees!$A$3:$A$500,$H$3:$H$500,"Approved",$D$3:$D$500,"&lt;="&amp;E18,$E$3:$E$500,"&gt;="&amp;D18,$A$3:$A$500,"&lt;&gt;"&amp;A18)=0)),0))</f>
        <v/>
      </c>
      <c r="P18">
        <f>IF(B18="","",IFERROR(SUMPRODUCT((LEN(Employees!$A$3:$A$500)&gt;0)*(Employees!$W$3:$W$500=1)*(COUNTIFS($B$3:$B$500,Employees!$A$3:$A$500,$H$3:$H$500,"Approved",$D$3:$D$500,"&lt;="&amp;E18,$E$3:$E$500,"&gt;="&amp;D18,$A$3:$A$500,"&lt;&gt;"&amp;A18)=0)),0))</f>
        <v/>
      </c>
      <c r="Q18">
        <f>IF(B18="","",IFERROR(SUMPRODUCT((LEN(Employees!$A$3:$A$500)&gt;0)*(Employees!$N$3:$N$500=1)*(COUNTIFS($B$3:$B$500,Employees!$A$3:$A$500,$H$3:$H$500,"Approved",$D$3:$D$500,"&lt;="&amp;E18,$E$3:$E$500,"&gt;="&amp;D18,$A$3:$A$500,"&lt;&gt;"&amp;A18)&gt;0)),0))</f>
        <v/>
      </c>
      <c r="R18">
        <f>IF(B18="","",IFERROR(SUMPRODUCT((LEN(Employees!$A$3:$A$500)&gt;0)*(Employees!$O$3:$O$500=1)*(COUNTIFS($B$3:$B$500,Employees!$A$3:$A$500,$H$3:$H$500,"Approved",$D$3:$D$500,"&lt;="&amp;E18,$E$3:$E$500,"&gt;="&amp;D18,$A$3:$A$500,"&lt;&gt;"&amp;A18)&gt;0)),0))</f>
        <v/>
      </c>
      <c r="S18">
        <f>IF(OR(B18="",IFERROR(XLOOKUP(B18,Employees!$A$3:$A$500,Employees!$G$3:$G$500,""),"")=""),"",IFERROR(SUMPRODUCT((LEN(Employees!$A$3:$A$500)&gt;0)*(Employees!$G$3:$G$500=IFERROR(XLOOKUP(B18,Employees!$A$3:$A$500,Employees!$G$3:$G$500,""),""))*(COUNTIFS($B$3:$B$500,Employees!$A$3:$A$500,$H$3:$H$500,"Approved",$D$3:$D$500,"&lt;="&amp;E18,$E$3:$E$500,"&gt;="&amp;D18,$A$3:$A$500,"&lt;&gt;"&amp;A18)&gt;0)),0))</f>
        <v/>
      </c>
    </row>
    <row r="19">
      <c r="C19">
        <f>IFERROR(XLOOKUP(B19,Employees!$A$3:$A$500,Employees!$B$3:$B$500,""),"")</f>
        <v/>
      </c>
      <c r="I19">
        <f>IF(AND(B19&lt;&gt;"",D19&lt;&gt;"",E19&lt;&gt;""),E19-D19+1,"")</f>
        <v/>
      </c>
      <c r="J19">
        <f>IF(OR(B19="",D19="",E19=""),"",IF(OR(L19&lt;'Coverage Rules'!E7,M19&lt;'Coverage Rules'!E8,N19&lt;'Coverage Rules'!C8,O19&lt;'Coverage Rules'!E9,P19&lt;'Coverage Rules'!E10,Q19&gt;='Coverage Rules'!B16,R19&gt;='Coverage Rules'!B17,IF(S19="",FALSE,S19&gt;='Coverage Rules'!D24)),"Denied","OK"))</f>
        <v/>
      </c>
      <c r="L19">
        <f>IF(B19="","",IFERROR(SUMPRODUCT((LEN(Employees!$A$3:$A$500)&gt;0)*(Employees!$T$3:$T$500=1)*(COUNTIFS($B$3:$B$500,Employees!$A$3:$A$500,$H$3:$H$500,"Approved",$D$3:$D$500,"&lt;="&amp;E19,$E$3:$E$500,"&gt;="&amp;D19,$A$3:$A$500,"&lt;&gt;"&amp;A19)=0)),0))</f>
        <v/>
      </c>
      <c r="M19">
        <f>IF(B19="","",IFERROR(SUMPRODUCT((LEN(Employees!$A$3:$A$500)&gt;0)*(Employees!$U$3:$U$500=1)*(COUNTIFS($B$3:$B$500,Employees!$A$3:$A$500,$H$3:$H$500,"Approved",$D$3:$D$500,"&lt;="&amp;E19,$E$3:$E$500,"&gt;="&amp;D19,$A$3:$A$500,"&lt;&gt;"&amp;A19)=0)),0))</f>
        <v/>
      </c>
      <c r="N19">
        <f>IF(B19="","",IFERROR(SUMPRODUCT((LEN(Employees!$A$3:$A$500)&gt;0)*(Employees!$B$3:$B$500="Manager")*(Employees!$U$3:$U$500=1)*(COUNTIFS($B$3:$B$500,Employees!$A$3:$A$500,$H$3:$H$500,"Approved",$D$3:$D$500,"&lt;="&amp;E19,$E$3:$E$500,"&gt;="&amp;D19,$A$3:$A$500,"&lt;&gt;"&amp;A19)=0)),0))</f>
        <v/>
      </c>
      <c r="O19">
        <f>IF(B19="","",IFERROR(SUMPRODUCT((LEN(Employees!$A$3:$A$500)&gt;0)*(Employees!$V$3:$V$500=1)*(COUNTIFS($B$3:$B$500,Employees!$A$3:$A$500,$H$3:$H$500,"Approved",$D$3:$D$500,"&lt;="&amp;E19,$E$3:$E$500,"&gt;="&amp;D19,$A$3:$A$500,"&lt;&gt;"&amp;A19)=0)),0))</f>
        <v/>
      </c>
      <c r="P19">
        <f>IF(B19="","",IFERROR(SUMPRODUCT((LEN(Employees!$A$3:$A$500)&gt;0)*(Employees!$W$3:$W$500=1)*(COUNTIFS($B$3:$B$500,Employees!$A$3:$A$500,$H$3:$H$500,"Approved",$D$3:$D$500,"&lt;="&amp;E19,$E$3:$E$500,"&gt;="&amp;D19,$A$3:$A$500,"&lt;&gt;"&amp;A19)=0)),0))</f>
        <v/>
      </c>
      <c r="Q19">
        <f>IF(B19="","",IFERROR(SUMPRODUCT((LEN(Employees!$A$3:$A$500)&gt;0)*(Employees!$N$3:$N$500=1)*(COUNTIFS($B$3:$B$500,Employees!$A$3:$A$500,$H$3:$H$500,"Approved",$D$3:$D$500,"&lt;="&amp;E19,$E$3:$E$500,"&gt;="&amp;D19,$A$3:$A$500,"&lt;&gt;"&amp;A19)&gt;0)),0))</f>
        <v/>
      </c>
      <c r="R19">
        <f>IF(B19="","",IFERROR(SUMPRODUCT((LEN(Employees!$A$3:$A$500)&gt;0)*(Employees!$O$3:$O$500=1)*(COUNTIFS($B$3:$B$500,Employees!$A$3:$A$500,$H$3:$H$500,"Approved",$D$3:$D$500,"&lt;="&amp;E19,$E$3:$E$500,"&gt;="&amp;D19,$A$3:$A$500,"&lt;&gt;"&amp;A19)&gt;0)),0))</f>
        <v/>
      </c>
      <c r="S19">
        <f>IF(OR(B19="",IFERROR(XLOOKUP(B19,Employees!$A$3:$A$500,Employees!$G$3:$G$500,""),"")=""),"",IFERROR(SUMPRODUCT((LEN(Employees!$A$3:$A$500)&gt;0)*(Employees!$G$3:$G$500=IFERROR(XLOOKUP(B19,Employees!$A$3:$A$500,Employees!$G$3:$G$500,""),""))*(COUNTIFS($B$3:$B$500,Employees!$A$3:$A$500,$H$3:$H$500,"Approved",$D$3:$D$500,"&lt;="&amp;E19,$E$3:$E$500,"&gt;="&amp;D19,$A$3:$A$500,"&lt;&gt;"&amp;A19)&gt;0)),0))</f>
        <v/>
      </c>
    </row>
    <row r="20">
      <c r="C20">
        <f>IFERROR(XLOOKUP(B20,Employees!$A$3:$A$500,Employees!$B$3:$B$500,""),"")</f>
        <v/>
      </c>
      <c r="I20">
        <f>IF(AND(B20&lt;&gt;"",D20&lt;&gt;"",E20&lt;&gt;""),E20-D20+1,"")</f>
        <v/>
      </c>
      <c r="J20">
        <f>IF(OR(B20="",D20="",E20=""),"",IF(OR(L20&lt;'Coverage Rules'!E7,M20&lt;'Coverage Rules'!E8,N20&lt;'Coverage Rules'!C8,O20&lt;'Coverage Rules'!E9,P20&lt;'Coverage Rules'!E10,Q20&gt;='Coverage Rules'!B16,R20&gt;='Coverage Rules'!B17,IF(S20="",FALSE,S20&gt;='Coverage Rules'!D24)),"Denied","OK"))</f>
        <v/>
      </c>
      <c r="L20">
        <f>IF(B20="","",IFERROR(SUMPRODUCT((LEN(Employees!$A$3:$A$500)&gt;0)*(Employees!$T$3:$T$500=1)*(COUNTIFS($B$3:$B$500,Employees!$A$3:$A$500,$H$3:$H$500,"Approved",$D$3:$D$500,"&lt;="&amp;E20,$E$3:$E$500,"&gt;="&amp;D20,$A$3:$A$500,"&lt;&gt;"&amp;A20)=0)),0))</f>
        <v/>
      </c>
      <c r="M20">
        <f>IF(B20="","",IFERROR(SUMPRODUCT((LEN(Employees!$A$3:$A$500)&gt;0)*(Employees!$U$3:$U$500=1)*(COUNTIFS($B$3:$B$500,Employees!$A$3:$A$500,$H$3:$H$500,"Approved",$D$3:$D$500,"&lt;="&amp;E20,$E$3:$E$500,"&gt;="&amp;D20,$A$3:$A$500,"&lt;&gt;"&amp;A20)=0)),0))</f>
        <v/>
      </c>
      <c r="N20">
        <f>IF(B20="","",IFERROR(SUMPRODUCT((LEN(Employees!$A$3:$A$500)&gt;0)*(Employees!$B$3:$B$500="Manager")*(Employees!$U$3:$U$500=1)*(COUNTIFS($B$3:$B$500,Employees!$A$3:$A$500,$H$3:$H$500,"Approved",$D$3:$D$500,"&lt;="&amp;E20,$E$3:$E$500,"&gt;="&amp;D20,$A$3:$A$500,"&lt;&gt;"&amp;A20)=0)),0))</f>
        <v/>
      </c>
      <c r="O20">
        <f>IF(B20="","",IFERROR(SUMPRODUCT((LEN(Employees!$A$3:$A$500)&gt;0)*(Employees!$V$3:$V$500=1)*(COUNTIFS($B$3:$B$500,Employees!$A$3:$A$500,$H$3:$H$500,"Approved",$D$3:$D$500,"&lt;="&amp;E20,$E$3:$E$500,"&gt;="&amp;D20,$A$3:$A$500,"&lt;&gt;"&amp;A20)=0)),0))</f>
        <v/>
      </c>
      <c r="P20">
        <f>IF(B20="","",IFERROR(SUMPRODUCT((LEN(Employees!$A$3:$A$500)&gt;0)*(Employees!$W$3:$W$500=1)*(COUNTIFS($B$3:$B$500,Employees!$A$3:$A$500,$H$3:$H$500,"Approved",$D$3:$D$500,"&lt;="&amp;E20,$E$3:$E$500,"&gt;="&amp;D20,$A$3:$A$500,"&lt;&gt;"&amp;A20)=0)),0))</f>
        <v/>
      </c>
      <c r="Q20">
        <f>IF(B20="","",IFERROR(SUMPRODUCT((LEN(Employees!$A$3:$A$500)&gt;0)*(Employees!$N$3:$N$500=1)*(COUNTIFS($B$3:$B$500,Employees!$A$3:$A$500,$H$3:$H$500,"Approved",$D$3:$D$500,"&lt;="&amp;E20,$E$3:$E$500,"&gt;="&amp;D20,$A$3:$A$500,"&lt;&gt;"&amp;A20)&gt;0)),0))</f>
        <v/>
      </c>
      <c r="R20">
        <f>IF(B20="","",IFERROR(SUMPRODUCT((LEN(Employees!$A$3:$A$500)&gt;0)*(Employees!$O$3:$O$500=1)*(COUNTIFS($B$3:$B$500,Employees!$A$3:$A$500,$H$3:$H$500,"Approved",$D$3:$D$500,"&lt;="&amp;E20,$E$3:$E$500,"&gt;="&amp;D20,$A$3:$A$500,"&lt;&gt;"&amp;A20)&gt;0)),0))</f>
        <v/>
      </c>
      <c r="S20">
        <f>IF(OR(B20="",IFERROR(XLOOKUP(B20,Employees!$A$3:$A$500,Employees!$G$3:$G$500,""),"")=""),"",IFERROR(SUMPRODUCT((LEN(Employees!$A$3:$A$500)&gt;0)*(Employees!$G$3:$G$500=IFERROR(XLOOKUP(B20,Employees!$A$3:$A$500,Employees!$G$3:$G$500,""),""))*(COUNTIFS($B$3:$B$500,Employees!$A$3:$A$500,$H$3:$H$500,"Approved",$D$3:$D$500,"&lt;="&amp;E20,$E$3:$E$500,"&gt;="&amp;D20,$A$3:$A$500,"&lt;&gt;"&amp;A20)&gt;0)),0))</f>
        <v/>
      </c>
    </row>
    <row r="21">
      <c r="C21">
        <f>IFERROR(XLOOKUP(B21,Employees!$A$3:$A$500,Employees!$B$3:$B$500,""),"")</f>
        <v/>
      </c>
      <c r="I21">
        <f>IF(AND(B21&lt;&gt;"",D21&lt;&gt;"",E21&lt;&gt;""),E21-D21+1,"")</f>
        <v/>
      </c>
      <c r="J21">
        <f>IF(OR(B21="",D21="",E21=""),"",IF(OR(L21&lt;'Coverage Rules'!E7,M21&lt;'Coverage Rules'!E8,N21&lt;'Coverage Rules'!C8,O21&lt;'Coverage Rules'!E9,P21&lt;'Coverage Rules'!E10,Q21&gt;='Coverage Rules'!B16,R21&gt;='Coverage Rules'!B17,IF(S21="",FALSE,S21&gt;='Coverage Rules'!D24)),"Denied","OK"))</f>
        <v/>
      </c>
      <c r="L21">
        <f>IF(B21="","",IFERROR(SUMPRODUCT((LEN(Employees!$A$3:$A$500)&gt;0)*(Employees!$T$3:$T$500=1)*(COUNTIFS($B$3:$B$500,Employees!$A$3:$A$500,$H$3:$H$500,"Approved",$D$3:$D$500,"&lt;="&amp;E21,$E$3:$E$500,"&gt;="&amp;D21,$A$3:$A$500,"&lt;&gt;"&amp;A21)=0)),0))</f>
        <v/>
      </c>
      <c r="M21">
        <f>IF(B21="","",IFERROR(SUMPRODUCT((LEN(Employees!$A$3:$A$500)&gt;0)*(Employees!$U$3:$U$500=1)*(COUNTIFS($B$3:$B$500,Employees!$A$3:$A$500,$H$3:$H$500,"Approved",$D$3:$D$500,"&lt;="&amp;E21,$E$3:$E$500,"&gt;="&amp;D21,$A$3:$A$500,"&lt;&gt;"&amp;A21)=0)),0))</f>
        <v/>
      </c>
      <c r="N21">
        <f>IF(B21="","",IFERROR(SUMPRODUCT((LEN(Employees!$A$3:$A$500)&gt;0)*(Employees!$B$3:$B$500="Manager")*(Employees!$U$3:$U$500=1)*(COUNTIFS($B$3:$B$500,Employees!$A$3:$A$500,$H$3:$H$500,"Approved",$D$3:$D$500,"&lt;="&amp;E21,$E$3:$E$500,"&gt;="&amp;D21,$A$3:$A$500,"&lt;&gt;"&amp;A21)=0)),0))</f>
        <v/>
      </c>
      <c r="O21">
        <f>IF(B21="","",IFERROR(SUMPRODUCT((LEN(Employees!$A$3:$A$500)&gt;0)*(Employees!$V$3:$V$500=1)*(COUNTIFS($B$3:$B$500,Employees!$A$3:$A$500,$H$3:$H$500,"Approved",$D$3:$D$500,"&lt;="&amp;E21,$E$3:$E$500,"&gt;="&amp;D21,$A$3:$A$500,"&lt;&gt;"&amp;A21)=0)),0))</f>
        <v/>
      </c>
      <c r="P21">
        <f>IF(B21="","",IFERROR(SUMPRODUCT((LEN(Employees!$A$3:$A$500)&gt;0)*(Employees!$W$3:$W$500=1)*(COUNTIFS($B$3:$B$500,Employees!$A$3:$A$500,$H$3:$H$500,"Approved",$D$3:$D$500,"&lt;="&amp;E21,$E$3:$E$500,"&gt;="&amp;D21,$A$3:$A$500,"&lt;&gt;"&amp;A21)=0)),0))</f>
        <v/>
      </c>
      <c r="Q21">
        <f>IF(B21="","",IFERROR(SUMPRODUCT((LEN(Employees!$A$3:$A$500)&gt;0)*(Employees!$N$3:$N$500=1)*(COUNTIFS($B$3:$B$500,Employees!$A$3:$A$500,$H$3:$H$500,"Approved",$D$3:$D$500,"&lt;="&amp;E21,$E$3:$E$500,"&gt;="&amp;D21,$A$3:$A$500,"&lt;&gt;"&amp;A21)&gt;0)),0))</f>
        <v/>
      </c>
      <c r="R21">
        <f>IF(B21="","",IFERROR(SUMPRODUCT((LEN(Employees!$A$3:$A$500)&gt;0)*(Employees!$O$3:$O$500=1)*(COUNTIFS($B$3:$B$500,Employees!$A$3:$A$500,$H$3:$H$500,"Approved",$D$3:$D$500,"&lt;="&amp;E21,$E$3:$E$500,"&gt;="&amp;D21,$A$3:$A$500,"&lt;&gt;"&amp;A21)&gt;0)),0))</f>
        <v/>
      </c>
      <c r="S21">
        <f>IF(OR(B21="",IFERROR(XLOOKUP(B21,Employees!$A$3:$A$500,Employees!$G$3:$G$500,""),"")=""),"",IFERROR(SUMPRODUCT((LEN(Employees!$A$3:$A$500)&gt;0)*(Employees!$G$3:$G$500=IFERROR(XLOOKUP(B21,Employees!$A$3:$A$500,Employees!$G$3:$G$500,""),""))*(COUNTIFS($B$3:$B$500,Employees!$A$3:$A$500,$H$3:$H$500,"Approved",$D$3:$D$500,"&lt;="&amp;E21,$E$3:$E$500,"&gt;="&amp;D21,$A$3:$A$500,"&lt;&gt;"&amp;A21)&gt;0)),0))</f>
        <v/>
      </c>
    </row>
    <row r="22">
      <c r="C22">
        <f>IFERROR(XLOOKUP(B22,Employees!$A$3:$A$500,Employees!$B$3:$B$500,""),"")</f>
        <v/>
      </c>
      <c r="I22">
        <f>IF(AND(B22&lt;&gt;"",D22&lt;&gt;"",E22&lt;&gt;""),E22-D22+1,"")</f>
        <v/>
      </c>
      <c r="J22">
        <f>IF(OR(B22="",D22="",E22=""),"",IF(OR(L22&lt;'Coverage Rules'!E7,M22&lt;'Coverage Rules'!E8,N22&lt;'Coverage Rules'!C8,O22&lt;'Coverage Rules'!E9,P22&lt;'Coverage Rules'!E10,Q22&gt;='Coverage Rules'!B16,R22&gt;='Coverage Rules'!B17,IF(S22="",FALSE,S22&gt;='Coverage Rules'!D24)),"Denied","OK"))</f>
        <v/>
      </c>
      <c r="L22">
        <f>IF(B22="","",IFERROR(SUMPRODUCT((LEN(Employees!$A$3:$A$500)&gt;0)*(Employees!$T$3:$T$500=1)*(COUNTIFS($B$3:$B$500,Employees!$A$3:$A$500,$H$3:$H$500,"Approved",$D$3:$D$500,"&lt;="&amp;E22,$E$3:$E$500,"&gt;="&amp;D22,$A$3:$A$500,"&lt;&gt;"&amp;A22)=0)),0))</f>
        <v/>
      </c>
      <c r="M22">
        <f>IF(B22="","",IFERROR(SUMPRODUCT((LEN(Employees!$A$3:$A$500)&gt;0)*(Employees!$U$3:$U$500=1)*(COUNTIFS($B$3:$B$500,Employees!$A$3:$A$500,$H$3:$H$500,"Approved",$D$3:$D$500,"&lt;="&amp;E22,$E$3:$E$500,"&gt;="&amp;D22,$A$3:$A$500,"&lt;&gt;"&amp;A22)=0)),0))</f>
        <v/>
      </c>
      <c r="N22">
        <f>IF(B22="","",IFERROR(SUMPRODUCT((LEN(Employees!$A$3:$A$500)&gt;0)*(Employees!$B$3:$B$500="Manager")*(Employees!$U$3:$U$500=1)*(COUNTIFS($B$3:$B$500,Employees!$A$3:$A$500,$H$3:$H$500,"Approved",$D$3:$D$500,"&lt;="&amp;E22,$E$3:$E$500,"&gt;="&amp;D22,$A$3:$A$500,"&lt;&gt;"&amp;A22)=0)),0))</f>
        <v/>
      </c>
      <c r="O22">
        <f>IF(B22="","",IFERROR(SUMPRODUCT((LEN(Employees!$A$3:$A$500)&gt;0)*(Employees!$V$3:$V$500=1)*(COUNTIFS($B$3:$B$500,Employees!$A$3:$A$500,$H$3:$H$500,"Approved",$D$3:$D$500,"&lt;="&amp;E22,$E$3:$E$500,"&gt;="&amp;D22,$A$3:$A$500,"&lt;&gt;"&amp;A22)=0)),0))</f>
        <v/>
      </c>
      <c r="P22">
        <f>IF(B22="","",IFERROR(SUMPRODUCT((LEN(Employees!$A$3:$A$500)&gt;0)*(Employees!$W$3:$W$500=1)*(COUNTIFS($B$3:$B$500,Employees!$A$3:$A$500,$H$3:$H$500,"Approved",$D$3:$D$500,"&lt;="&amp;E22,$E$3:$E$500,"&gt;="&amp;D22,$A$3:$A$500,"&lt;&gt;"&amp;A22)=0)),0))</f>
        <v/>
      </c>
      <c r="Q22">
        <f>IF(B22="","",IFERROR(SUMPRODUCT((LEN(Employees!$A$3:$A$500)&gt;0)*(Employees!$N$3:$N$500=1)*(COUNTIFS($B$3:$B$500,Employees!$A$3:$A$500,$H$3:$H$500,"Approved",$D$3:$D$500,"&lt;="&amp;E22,$E$3:$E$500,"&gt;="&amp;D22,$A$3:$A$500,"&lt;&gt;"&amp;A22)&gt;0)),0))</f>
        <v/>
      </c>
      <c r="R22">
        <f>IF(B22="","",IFERROR(SUMPRODUCT((LEN(Employees!$A$3:$A$500)&gt;0)*(Employees!$O$3:$O$500=1)*(COUNTIFS($B$3:$B$500,Employees!$A$3:$A$500,$H$3:$H$500,"Approved",$D$3:$D$500,"&lt;="&amp;E22,$E$3:$E$500,"&gt;="&amp;D22,$A$3:$A$500,"&lt;&gt;"&amp;A22)&gt;0)),0))</f>
        <v/>
      </c>
      <c r="S22">
        <f>IF(OR(B22="",IFERROR(XLOOKUP(B22,Employees!$A$3:$A$500,Employees!$G$3:$G$500,""),"")=""),"",IFERROR(SUMPRODUCT((LEN(Employees!$A$3:$A$500)&gt;0)*(Employees!$G$3:$G$500=IFERROR(XLOOKUP(B22,Employees!$A$3:$A$500,Employees!$G$3:$G$500,""),""))*(COUNTIFS($B$3:$B$500,Employees!$A$3:$A$500,$H$3:$H$500,"Approved",$D$3:$D$500,"&lt;="&amp;E22,$E$3:$E$500,"&gt;="&amp;D22,$A$3:$A$500,"&lt;&gt;"&amp;A22)&gt;0)),0))</f>
        <v/>
      </c>
    </row>
    <row r="23">
      <c r="C23">
        <f>IFERROR(XLOOKUP(B23,Employees!$A$3:$A$500,Employees!$B$3:$B$500,""),"")</f>
        <v/>
      </c>
      <c r="I23">
        <f>IF(AND(B23&lt;&gt;"",D23&lt;&gt;"",E23&lt;&gt;""),E23-D23+1,"")</f>
        <v/>
      </c>
      <c r="J23">
        <f>IF(OR(B23="",D23="",E23=""),"",IF(OR(L23&lt;'Coverage Rules'!E7,M23&lt;'Coverage Rules'!E8,N23&lt;'Coverage Rules'!C8,O23&lt;'Coverage Rules'!E9,P23&lt;'Coverage Rules'!E10,Q23&gt;='Coverage Rules'!B16,R23&gt;='Coverage Rules'!B17,IF(S23="",FALSE,S23&gt;='Coverage Rules'!D24)),"Denied","OK"))</f>
        <v/>
      </c>
      <c r="L23">
        <f>IF(B23="","",IFERROR(SUMPRODUCT((LEN(Employees!$A$3:$A$500)&gt;0)*(Employees!$T$3:$T$500=1)*(COUNTIFS($B$3:$B$500,Employees!$A$3:$A$500,$H$3:$H$500,"Approved",$D$3:$D$500,"&lt;="&amp;E23,$E$3:$E$500,"&gt;="&amp;D23,$A$3:$A$500,"&lt;&gt;"&amp;A23)=0)),0))</f>
        <v/>
      </c>
      <c r="M23">
        <f>IF(B23="","",IFERROR(SUMPRODUCT((LEN(Employees!$A$3:$A$500)&gt;0)*(Employees!$U$3:$U$500=1)*(COUNTIFS($B$3:$B$500,Employees!$A$3:$A$500,$H$3:$H$500,"Approved",$D$3:$D$500,"&lt;="&amp;E23,$E$3:$E$500,"&gt;="&amp;D23,$A$3:$A$500,"&lt;&gt;"&amp;A23)=0)),0))</f>
        <v/>
      </c>
      <c r="N23">
        <f>IF(B23="","",IFERROR(SUMPRODUCT((LEN(Employees!$A$3:$A$500)&gt;0)*(Employees!$B$3:$B$500="Manager")*(Employees!$U$3:$U$500=1)*(COUNTIFS($B$3:$B$500,Employees!$A$3:$A$500,$H$3:$H$500,"Approved",$D$3:$D$500,"&lt;="&amp;E23,$E$3:$E$500,"&gt;="&amp;D23,$A$3:$A$500,"&lt;&gt;"&amp;A23)=0)),0))</f>
        <v/>
      </c>
      <c r="O23">
        <f>IF(B23="","",IFERROR(SUMPRODUCT((LEN(Employees!$A$3:$A$500)&gt;0)*(Employees!$V$3:$V$500=1)*(COUNTIFS($B$3:$B$500,Employees!$A$3:$A$500,$H$3:$H$500,"Approved",$D$3:$D$500,"&lt;="&amp;E23,$E$3:$E$500,"&gt;="&amp;D23,$A$3:$A$500,"&lt;&gt;"&amp;A23)=0)),0))</f>
        <v/>
      </c>
      <c r="P23">
        <f>IF(B23="","",IFERROR(SUMPRODUCT((LEN(Employees!$A$3:$A$500)&gt;0)*(Employees!$W$3:$W$500=1)*(COUNTIFS($B$3:$B$500,Employees!$A$3:$A$500,$H$3:$H$500,"Approved",$D$3:$D$500,"&lt;="&amp;E23,$E$3:$E$500,"&gt;="&amp;D23,$A$3:$A$500,"&lt;&gt;"&amp;A23)=0)),0))</f>
        <v/>
      </c>
      <c r="Q23">
        <f>IF(B23="","",IFERROR(SUMPRODUCT((LEN(Employees!$A$3:$A$500)&gt;0)*(Employees!$N$3:$N$500=1)*(COUNTIFS($B$3:$B$500,Employees!$A$3:$A$500,$H$3:$H$500,"Approved",$D$3:$D$500,"&lt;="&amp;E23,$E$3:$E$500,"&gt;="&amp;D23,$A$3:$A$500,"&lt;&gt;"&amp;A23)&gt;0)),0))</f>
        <v/>
      </c>
      <c r="R23">
        <f>IF(B23="","",IFERROR(SUMPRODUCT((LEN(Employees!$A$3:$A$500)&gt;0)*(Employees!$O$3:$O$500=1)*(COUNTIFS($B$3:$B$500,Employees!$A$3:$A$500,$H$3:$H$500,"Approved",$D$3:$D$500,"&lt;="&amp;E23,$E$3:$E$500,"&gt;="&amp;D23,$A$3:$A$500,"&lt;&gt;"&amp;A23)&gt;0)),0))</f>
        <v/>
      </c>
      <c r="S23">
        <f>IF(OR(B23="",IFERROR(XLOOKUP(B23,Employees!$A$3:$A$500,Employees!$G$3:$G$500,""),"")=""),"",IFERROR(SUMPRODUCT((LEN(Employees!$A$3:$A$500)&gt;0)*(Employees!$G$3:$G$500=IFERROR(XLOOKUP(B23,Employees!$A$3:$A$500,Employees!$G$3:$G$500,""),""))*(COUNTIFS($B$3:$B$500,Employees!$A$3:$A$500,$H$3:$H$500,"Approved",$D$3:$D$500,"&lt;="&amp;E23,$E$3:$E$500,"&gt;="&amp;D23,$A$3:$A$500,"&lt;&gt;"&amp;A23)&gt;0)),0))</f>
        <v/>
      </c>
    </row>
    <row r="24">
      <c r="C24">
        <f>IFERROR(XLOOKUP(B24,Employees!$A$3:$A$500,Employees!$B$3:$B$500,""),"")</f>
        <v/>
      </c>
      <c r="I24">
        <f>IF(AND(B24&lt;&gt;"",D24&lt;&gt;"",E24&lt;&gt;""),E24-D24+1,"")</f>
        <v/>
      </c>
      <c r="J24">
        <f>IF(OR(B24="",D24="",E24=""),"",IF(OR(L24&lt;'Coverage Rules'!E7,M24&lt;'Coverage Rules'!E8,N24&lt;'Coverage Rules'!C8,O24&lt;'Coverage Rules'!E9,P24&lt;'Coverage Rules'!E10,Q24&gt;='Coverage Rules'!B16,R24&gt;='Coverage Rules'!B17,IF(S24="",FALSE,S24&gt;='Coverage Rules'!D24)),"Denied","OK"))</f>
        <v/>
      </c>
      <c r="L24">
        <f>IF(B24="","",IFERROR(SUMPRODUCT((LEN(Employees!$A$3:$A$500)&gt;0)*(Employees!$T$3:$T$500=1)*(COUNTIFS($B$3:$B$500,Employees!$A$3:$A$500,$H$3:$H$500,"Approved",$D$3:$D$500,"&lt;="&amp;E24,$E$3:$E$500,"&gt;="&amp;D24,$A$3:$A$500,"&lt;&gt;"&amp;A24)=0)),0))</f>
        <v/>
      </c>
      <c r="M24">
        <f>IF(B24="","",IFERROR(SUMPRODUCT((LEN(Employees!$A$3:$A$500)&gt;0)*(Employees!$U$3:$U$500=1)*(COUNTIFS($B$3:$B$500,Employees!$A$3:$A$500,$H$3:$H$500,"Approved",$D$3:$D$500,"&lt;="&amp;E24,$E$3:$E$500,"&gt;="&amp;D24,$A$3:$A$500,"&lt;&gt;"&amp;A24)=0)),0))</f>
        <v/>
      </c>
      <c r="N24">
        <f>IF(B24="","",IFERROR(SUMPRODUCT((LEN(Employees!$A$3:$A$500)&gt;0)*(Employees!$B$3:$B$500="Manager")*(Employees!$U$3:$U$500=1)*(COUNTIFS($B$3:$B$500,Employees!$A$3:$A$500,$H$3:$H$500,"Approved",$D$3:$D$500,"&lt;="&amp;E24,$E$3:$E$500,"&gt;="&amp;D24,$A$3:$A$500,"&lt;&gt;"&amp;A24)=0)),0))</f>
        <v/>
      </c>
      <c r="O24">
        <f>IF(B24="","",IFERROR(SUMPRODUCT((LEN(Employees!$A$3:$A$500)&gt;0)*(Employees!$V$3:$V$500=1)*(COUNTIFS($B$3:$B$500,Employees!$A$3:$A$500,$H$3:$H$500,"Approved",$D$3:$D$500,"&lt;="&amp;E24,$E$3:$E$500,"&gt;="&amp;D24,$A$3:$A$500,"&lt;&gt;"&amp;A24)=0)),0))</f>
        <v/>
      </c>
      <c r="P24">
        <f>IF(B24="","",IFERROR(SUMPRODUCT((LEN(Employees!$A$3:$A$500)&gt;0)*(Employees!$W$3:$W$500=1)*(COUNTIFS($B$3:$B$500,Employees!$A$3:$A$500,$H$3:$H$500,"Approved",$D$3:$D$500,"&lt;="&amp;E24,$E$3:$E$500,"&gt;="&amp;D24,$A$3:$A$500,"&lt;&gt;"&amp;A24)=0)),0))</f>
        <v/>
      </c>
      <c r="Q24">
        <f>IF(B24="","",IFERROR(SUMPRODUCT((LEN(Employees!$A$3:$A$500)&gt;0)*(Employees!$N$3:$N$500=1)*(COUNTIFS($B$3:$B$500,Employees!$A$3:$A$500,$H$3:$H$500,"Approved",$D$3:$D$500,"&lt;="&amp;E24,$E$3:$E$500,"&gt;="&amp;D24,$A$3:$A$500,"&lt;&gt;"&amp;A24)&gt;0)),0))</f>
        <v/>
      </c>
      <c r="R24">
        <f>IF(B24="","",IFERROR(SUMPRODUCT((LEN(Employees!$A$3:$A$500)&gt;0)*(Employees!$O$3:$O$500=1)*(COUNTIFS($B$3:$B$500,Employees!$A$3:$A$500,$H$3:$H$500,"Approved",$D$3:$D$500,"&lt;="&amp;E24,$E$3:$E$500,"&gt;="&amp;D24,$A$3:$A$500,"&lt;&gt;"&amp;A24)&gt;0)),0))</f>
        <v/>
      </c>
      <c r="S24">
        <f>IF(OR(B24="",IFERROR(XLOOKUP(B24,Employees!$A$3:$A$500,Employees!$G$3:$G$500,""),"")=""),"",IFERROR(SUMPRODUCT((LEN(Employees!$A$3:$A$500)&gt;0)*(Employees!$G$3:$G$500=IFERROR(XLOOKUP(B24,Employees!$A$3:$A$500,Employees!$G$3:$G$500,""),""))*(COUNTIFS($B$3:$B$500,Employees!$A$3:$A$500,$H$3:$H$500,"Approved",$D$3:$D$500,"&lt;="&amp;E24,$E$3:$E$500,"&gt;="&amp;D24,$A$3:$A$500,"&lt;&gt;"&amp;A24)&gt;0)),0))</f>
        <v/>
      </c>
    </row>
    <row r="25">
      <c r="C25">
        <f>IFERROR(XLOOKUP(B25,Employees!$A$3:$A$500,Employees!$B$3:$B$500,""),"")</f>
        <v/>
      </c>
      <c r="I25">
        <f>IF(AND(B25&lt;&gt;"",D25&lt;&gt;"",E25&lt;&gt;""),E25-D25+1,"")</f>
        <v/>
      </c>
      <c r="J25">
        <f>IF(OR(B25="",D25="",E25=""),"",IF(OR(L25&lt;'Coverage Rules'!E7,M25&lt;'Coverage Rules'!E8,N25&lt;'Coverage Rules'!C8,O25&lt;'Coverage Rules'!E9,P25&lt;'Coverage Rules'!E10,Q25&gt;='Coverage Rules'!B16,R25&gt;='Coverage Rules'!B17,IF(S25="",FALSE,S25&gt;='Coverage Rules'!D24)),"Denied","OK"))</f>
        <v/>
      </c>
      <c r="L25">
        <f>IF(B25="","",IFERROR(SUMPRODUCT((LEN(Employees!$A$3:$A$500)&gt;0)*(Employees!$T$3:$T$500=1)*(COUNTIFS($B$3:$B$500,Employees!$A$3:$A$500,$H$3:$H$500,"Approved",$D$3:$D$500,"&lt;="&amp;E25,$E$3:$E$500,"&gt;="&amp;D25,$A$3:$A$500,"&lt;&gt;"&amp;A25)=0)),0))</f>
        <v/>
      </c>
      <c r="M25">
        <f>IF(B25="","",IFERROR(SUMPRODUCT((LEN(Employees!$A$3:$A$500)&gt;0)*(Employees!$U$3:$U$500=1)*(COUNTIFS($B$3:$B$500,Employees!$A$3:$A$500,$H$3:$H$500,"Approved",$D$3:$D$500,"&lt;="&amp;E25,$E$3:$E$500,"&gt;="&amp;D25,$A$3:$A$500,"&lt;&gt;"&amp;A25)=0)),0))</f>
        <v/>
      </c>
      <c r="N25">
        <f>IF(B25="","",IFERROR(SUMPRODUCT((LEN(Employees!$A$3:$A$500)&gt;0)*(Employees!$B$3:$B$500="Manager")*(Employees!$U$3:$U$500=1)*(COUNTIFS($B$3:$B$500,Employees!$A$3:$A$500,$H$3:$H$500,"Approved",$D$3:$D$500,"&lt;="&amp;E25,$E$3:$E$500,"&gt;="&amp;D25,$A$3:$A$500,"&lt;&gt;"&amp;A25)=0)),0))</f>
        <v/>
      </c>
      <c r="O25">
        <f>IF(B25="","",IFERROR(SUMPRODUCT((LEN(Employees!$A$3:$A$500)&gt;0)*(Employees!$V$3:$V$500=1)*(COUNTIFS($B$3:$B$500,Employees!$A$3:$A$500,$H$3:$H$500,"Approved",$D$3:$D$500,"&lt;="&amp;E25,$E$3:$E$500,"&gt;="&amp;D25,$A$3:$A$500,"&lt;&gt;"&amp;A25)=0)),0))</f>
        <v/>
      </c>
      <c r="P25">
        <f>IF(B25="","",IFERROR(SUMPRODUCT((LEN(Employees!$A$3:$A$500)&gt;0)*(Employees!$W$3:$W$500=1)*(COUNTIFS($B$3:$B$500,Employees!$A$3:$A$500,$H$3:$H$500,"Approved",$D$3:$D$500,"&lt;="&amp;E25,$E$3:$E$500,"&gt;="&amp;D25,$A$3:$A$500,"&lt;&gt;"&amp;A25)=0)),0))</f>
        <v/>
      </c>
      <c r="Q25">
        <f>IF(B25="","",IFERROR(SUMPRODUCT((LEN(Employees!$A$3:$A$500)&gt;0)*(Employees!$N$3:$N$500=1)*(COUNTIFS($B$3:$B$500,Employees!$A$3:$A$500,$H$3:$H$500,"Approved",$D$3:$D$500,"&lt;="&amp;E25,$E$3:$E$500,"&gt;="&amp;D25,$A$3:$A$500,"&lt;&gt;"&amp;A25)&gt;0)),0))</f>
        <v/>
      </c>
      <c r="R25">
        <f>IF(B25="","",IFERROR(SUMPRODUCT((LEN(Employees!$A$3:$A$500)&gt;0)*(Employees!$O$3:$O$500=1)*(COUNTIFS($B$3:$B$500,Employees!$A$3:$A$500,$H$3:$H$500,"Approved",$D$3:$D$500,"&lt;="&amp;E25,$E$3:$E$500,"&gt;="&amp;D25,$A$3:$A$500,"&lt;&gt;"&amp;A25)&gt;0)),0))</f>
        <v/>
      </c>
      <c r="S25">
        <f>IF(OR(B25="",IFERROR(XLOOKUP(B25,Employees!$A$3:$A$500,Employees!$G$3:$G$500,""),"")=""),"",IFERROR(SUMPRODUCT((LEN(Employees!$A$3:$A$500)&gt;0)*(Employees!$G$3:$G$500=IFERROR(XLOOKUP(B25,Employees!$A$3:$A$500,Employees!$G$3:$G$500,""),""))*(COUNTIFS($B$3:$B$500,Employees!$A$3:$A$500,$H$3:$H$500,"Approved",$D$3:$D$500,"&lt;="&amp;E25,$E$3:$E$500,"&gt;="&amp;D25,$A$3:$A$500,"&lt;&gt;"&amp;A25)&gt;0)),0))</f>
        <v/>
      </c>
    </row>
    <row r="26">
      <c r="C26">
        <f>IFERROR(XLOOKUP(B26,Employees!$A$3:$A$500,Employees!$B$3:$B$500,""),"")</f>
        <v/>
      </c>
      <c r="I26">
        <f>IF(AND(B26&lt;&gt;"",D26&lt;&gt;"",E26&lt;&gt;""),E26-D26+1,"")</f>
        <v/>
      </c>
      <c r="J26">
        <f>IF(OR(B26="",D26="",E26=""),"",IF(OR(L26&lt;'Coverage Rules'!E7,M26&lt;'Coverage Rules'!E8,N26&lt;'Coverage Rules'!C8,O26&lt;'Coverage Rules'!E9,P26&lt;'Coverage Rules'!E10,Q26&gt;='Coverage Rules'!B16,R26&gt;='Coverage Rules'!B17,IF(S26="",FALSE,S26&gt;='Coverage Rules'!D24)),"Denied","OK"))</f>
        <v/>
      </c>
      <c r="L26">
        <f>IF(B26="","",IFERROR(SUMPRODUCT((LEN(Employees!$A$3:$A$500)&gt;0)*(Employees!$T$3:$T$500=1)*(COUNTIFS($B$3:$B$500,Employees!$A$3:$A$500,$H$3:$H$500,"Approved",$D$3:$D$500,"&lt;="&amp;E26,$E$3:$E$500,"&gt;="&amp;D26,$A$3:$A$500,"&lt;&gt;"&amp;A26)=0)),0))</f>
        <v/>
      </c>
      <c r="M26">
        <f>IF(B26="","",IFERROR(SUMPRODUCT((LEN(Employees!$A$3:$A$500)&gt;0)*(Employees!$U$3:$U$500=1)*(COUNTIFS($B$3:$B$500,Employees!$A$3:$A$500,$H$3:$H$500,"Approved",$D$3:$D$500,"&lt;="&amp;E26,$E$3:$E$500,"&gt;="&amp;D26,$A$3:$A$500,"&lt;&gt;"&amp;A26)=0)),0))</f>
        <v/>
      </c>
      <c r="N26">
        <f>IF(B26="","",IFERROR(SUMPRODUCT((LEN(Employees!$A$3:$A$500)&gt;0)*(Employees!$B$3:$B$500="Manager")*(Employees!$U$3:$U$500=1)*(COUNTIFS($B$3:$B$500,Employees!$A$3:$A$500,$H$3:$H$500,"Approved",$D$3:$D$500,"&lt;="&amp;E26,$E$3:$E$500,"&gt;="&amp;D26,$A$3:$A$500,"&lt;&gt;"&amp;A26)=0)),0))</f>
        <v/>
      </c>
      <c r="O26">
        <f>IF(B26="","",IFERROR(SUMPRODUCT((LEN(Employees!$A$3:$A$500)&gt;0)*(Employees!$V$3:$V$500=1)*(COUNTIFS($B$3:$B$500,Employees!$A$3:$A$500,$H$3:$H$500,"Approved",$D$3:$D$500,"&lt;="&amp;E26,$E$3:$E$500,"&gt;="&amp;D26,$A$3:$A$500,"&lt;&gt;"&amp;A26)=0)),0))</f>
        <v/>
      </c>
      <c r="P26">
        <f>IF(B26="","",IFERROR(SUMPRODUCT((LEN(Employees!$A$3:$A$500)&gt;0)*(Employees!$W$3:$W$500=1)*(COUNTIFS($B$3:$B$500,Employees!$A$3:$A$500,$H$3:$H$500,"Approved",$D$3:$D$500,"&lt;="&amp;E26,$E$3:$E$500,"&gt;="&amp;D26,$A$3:$A$500,"&lt;&gt;"&amp;A26)=0)),0))</f>
        <v/>
      </c>
      <c r="Q26">
        <f>IF(B26="","",IFERROR(SUMPRODUCT((LEN(Employees!$A$3:$A$500)&gt;0)*(Employees!$N$3:$N$500=1)*(COUNTIFS($B$3:$B$500,Employees!$A$3:$A$500,$H$3:$H$500,"Approved",$D$3:$D$500,"&lt;="&amp;E26,$E$3:$E$500,"&gt;="&amp;D26,$A$3:$A$500,"&lt;&gt;"&amp;A26)&gt;0)),0))</f>
        <v/>
      </c>
      <c r="R26">
        <f>IF(B26="","",IFERROR(SUMPRODUCT((LEN(Employees!$A$3:$A$500)&gt;0)*(Employees!$O$3:$O$500=1)*(COUNTIFS($B$3:$B$500,Employees!$A$3:$A$500,$H$3:$H$500,"Approved",$D$3:$D$500,"&lt;="&amp;E26,$E$3:$E$500,"&gt;="&amp;D26,$A$3:$A$500,"&lt;&gt;"&amp;A26)&gt;0)),0))</f>
        <v/>
      </c>
      <c r="S26">
        <f>IF(OR(B26="",IFERROR(XLOOKUP(B26,Employees!$A$3:$A$500,Employees!$G$3:$G$500,""),"")=""),"",IFERROR(SUMPRODUCT((LEN(Employees!$A$3:$A$500)&gt;0)*(Employees!$G$3:$G$500=IFERROR(XLOOKUP(B26,Employees!$A$3:$A$500,Employees!$G$3:$G$500,""),""))*(COUNTIFS($B$3:$B$500,Employees!$A$3:$A$500,$H$3:$H$500,"Approved",$D$3:$D$500,"&lt;="&amp;E26,$E$3:$E$500,"&gt;="&amp;D26,$A$3:$A$500,"&lt;&gt;"&amp;A26)&gt;0)),0))</f>
        <v/>
      </c>
    </row>
    <row r="27">
      <c r="C27">
        <f>IFERROR(XLOOKUP(B27,Employees!$A$3:$A$500,Employees!$B$3:$B$500,""),"")</f>
        <v/>
      </c>
      <c r="I27">
        <f>IF(AND(B27&lt;&gt;"",D27&lt;&gt;"",E27&lt;&gt;""),E27-D27+1,"")</f>
        <v/>
      </c>
      <c r="J27">
        <f>IF(OR(B27="",D27="",E27=""),"",IF(OR(L27&lt;'Coverage Rules'!E7,M27&lt;'Coverage Rules'!E8,N27&lt;'Coverage Rules'!C8,O27&lt;'Coverage Rules'!E9,P27&lt;'Coverage Rules'!E10,Q27&gt;='Coverage Rules'!B16,R27&gt;='Coverage Rules'!B17,IF(S27="",FALSE,S27&gt;='Coverage Rules'!D24)),"Denied","OK"))</f>
        <v/>
      </c>
      <c r="L27">
        <f>IF(B27="","",IFERROR(SUMPRODUCT((LEN(Employees!$A$3:$A$500)&gt;0)*(Employees!$T$3:$T$500=1)*(COUNTIFS($B$3:$B$500,Employees!$A$3:$A$500,$H$3:$H$500,"Approved",$D$3:$D$500,"&lt;="&amp;E27,$E$3:$E$500,"&gt;="&amp;D27,$A$3:$A$500,"&lt;&gt;"&amp;A27)=0)),0))</f>
        <v/>
      </c>
      <c r="M27">
        <f>IF(B27="","",IFERROR(SUMPRODUCT((LEN(Employees!$A$3:$A$500)&gt;0)*(Employees!$U$3:$U$500=1)*(COUNTIFS($B$3:$B$500,Employees!$A$3:$A$500,$H$3:$H$500,"Approved",$D$3:$D$500,"&lt;="&amp;E27,$E$3:$E$500,"&gt;="&amp;D27,$A$3:$A$500,"&lt;&gt;"&amp;A27)=0)),0))</f>
        <v/>
      </c>
      <c r="N27">
        <f>IF(B27="","",IFERROR(SUMPRODUCT((LEN(Employees!$A$3:$A$500)&gt;0)*(Employees!$B$3:$B$500="Manager")*(Employees!$U$3:$U$500=1)*(COUNTIFS($B$3:$B$500,Employees!$A$3:$A$500,$H$3:$H$500,"Approved",$D$3:$D$500,"&lt;="&amp;E27,$E$3:$E$500,"&gt;="&amp;D27,$A$3:$A$500,"&lt;&gt;"&amp;A27)=0)),0))</f>
        <v/>
      </c>
      <c r="O27">
        <f>IF(B27="","",IFERROR(SUMPRODUCT((LEN(Employees!$A$3:$A$500)&gt;0)*(Employees!$V$3:$V$500=1)*(COUNTIFS($B$3:$B$500,Employees!$A$3:$A$500,$H$3:$H$500,"Approved",$D$3:$D$500,"&lt;="&amp;E27,$E$3:$E$500,"&gt;="&amp;D27,$A$3:$A$500,"&lt;&gt;"&amp;A27)=0)),0))</f>
        <v/>
      </c>
      <c r="P27">
        <f>IF(B27="","",IFERROR(SUMPRODUCT((LEN(Employees!$A$3:$A$500)&gt;0)*(Employees!$W$3:$W$500=1)*(COUNTIFS($B$3:$B$500,Employees!$A$3:$A$500,$H$3:$H$500,"Approved",$D$3:$D$500,"&lt;="&amp;E27,$E$3:$E$500,"&gt;="&amp;D27,$A$3:$A$500,"&lt;&gt;"&amp;A27)=0)),0))</f>
        <v/>
      </c>
      <c r="Q27">
        <f>IF(B27="","",IFERROR(SUMPRODUCT((LEN(Employees!$A$3:$A$500)&gt;0)*(Employees!$N$3:$N$500=1)*(COUNTIFS($B$3:$B$500,Employees!$A$3:$A$500,$H$3:$H$500,"Approved",$D$3:$D$500,"&lt;="&amp;E27,$E$3:$E$500,"&gt;="&amp;D27,$A$3:$A$500,"&lt;&gt;"&amp;A27)&gt;0)),0))</f>
        <v/>
      </c>
      <c r="R27">
        <f>IF(B27="","",IFERROR(SUMPRODUCT((LEN(Employees!$A$3:$A$500)&gt;0)*(Employees!$O$3:$O$500=1)*(COUNTIFS($B$3:$B$500,Employees!$A$3:$A$500,$H$3:$H$500,"Approved",$D$3:$D$500,"&lt;="&amp;E27,$E$3:$E$500,"&gt;="&amp;D27,$A$3:$A$500,"&lt;&gt;"&amp;A27)&gt;0)),0))</f>
        <v/>
      </c>
      <c r="S27">
        <f>IF(OR(B27="",IFERROR(XLOOKUP(B27,Employees!$A$3:$A$500,Employees!$G$3:$G$500,""),"")=""),"",IFERROR(SUMPRODUCT((LEN(Employees!$A$3:$A$500)&gt;0)*(Employees!$G$3:$G$500=IFERROR(XLOOKUP(B27,Employees!$A$3:$A$500,Employees!$G$3:$G$500,""),""))*(COUNTIFS($B$3:$B$500,Employees!$A$3:$A$500,$H$3:$H$500,"Approved",$D$3:$D$500,"&lt;="&amp;E27,$E$3:$E$500,"&gt;="&amp;D27,$A$3:$A$500,"&lt;&gt;"&amp;A27)&gt;0)),0))</f>
        <v/>
      </c>
    </row>
    <row r="28">
      <c r="C28">
        <f>IFERROR(XLOOKUP(B28,Employees!$A$3:$A$500,Employees!$B$3:$B$500,""),"")</f>
        <v/>
      </c>
      <c r="I28">
        <f>IF(AND(B28&lt;&gt;"",D28&lt;&gt;"",E28&lt;&gt;""),E28-D28+1,"")</f>
        <v/>
      </c>
      <c r="J28">
        <f>IF(OR(B28="",D28="",E28=""),"",IF(OR(L28&lt;'Coverage Rules'!E7,M28&lt;'Coverage Rules'!E8,N28&lt;'Coverage Rules'!C8,O28&lt;'Coverage Rules'!E9,P28&lt;'Coverage Rules'!E10,Q28&gt;='Coverage Rules'!B16,R28&gt;='Coverage Rules'!B17,IF(S28="",FALSE,S28&gt;='Coverage Rules'!D24)),"Denied","OK"))</f>
        <v/>
      </c>
      <c r="L28">
        <f>IF(B28="","",IFERROR(SUMPRODUCT((LEN(Employees!$A$3:$A$500)&gt;0)*(Employees!$T$3:$T$500=1)*(COUNTIFS($B$3:$B$500,Employees!$A$3:$A$500,$H$3:$H$500,"Approved",$D$3:$D$500,"&lt;="&amp;E28,$E$3:$E$500,"&gt;="&amp;D28,$A$3:$A$500,"&lt;&gt;"&amp;A28)=0)),0))</f>
        <v/>
      </c>
      <c r="M28">
        <f>IF(B28="","",IFERROR(SUMPRODUCT((LEN(Employees!$A$3:$A$500)&gt;0)*(Employees!$U$3:$U$500=1)*(COUNTIFS($B$3:$B$500,Employees!$A$3:$A$500,$H$3:$H$500,"Approved",$D$3:$D$500,"&lt;="&amp;E28,$E$3:$E$500,"&gt;="&amp;D28,$A$3:$A$500,"&lt;&gt;"&amp;A28)=0)),0))</f>
        <v/>
      </c>
      <c r="N28">
        <f>IF(B28="","",IFERROR(SUMPRODUCT((LEN(Employees!$A$3:$A$500)&gt;0)*(Employees!$B$3:$B$500="Manager")*(Employees!$U$3:$U$500=1)*(COUNTIFS($B$3:$B$500,Employees!$A$3:$A$500,$H$3:$H$500,"Approved",$D$3:$D$500,"&lt;="&amp;E28,$E$3:$E$500,"&gt;="&amp;D28,$A$3:$A$500,"&lt;&gt;"&amp;A28)=0)),0))</f>
        <v/>
      </c>
      <c r="O28">
        <f>IF(B28="","",IFERROR(SUMPRODUCT((LEN(Employees!$A$3:$A$500)&gt;0)*(Employees!$V$3:$V$500=1)*(COUNTIFS($B$3:$B$500,Employees!$A$3:$A$500,$H$3:$H$500,"Approved",$D$3:$D$500,"&lt;="&amp;E28,$E$3:$E$500,"&gt;="&amp;D28,$A$3:$A$500,"&lt;&gt;"&amp;A28)=0)),0))</f>
        <v/>
      </c>
      <c r="P28">
        <f>IF(B28="","",IFERROR(SUMPRODUCT((LEN(Employees!$A$3:$A$500)&gt;0)*(Employees!$W$3:$W$500=1)*(COUNTIFS($B$3:$B$500,Employees!$A$3:$A$500,$H$3:$H$500,"Approved",$D$3:$D$500,"&lt;="&amp;E28,$E$3:$E$500,"&gt;="&amp;D28,$A$3:$A$500,"&lt;&gt;"&amp;A28)=0)),0))</f>
        <v/>
      </c>
      <c r="Q28">
        <f>IF(B28="","",IFERROR(SUMPRODUCT((LEN(Employees!$A$3:$A$500)&gt;0)*(Employees!$N$3:$N$500=1)*(COUNTIFS($B$3:$B$500,Employees!$A$3:$A$500,$H$3:$H$500,"Approved",$D$3:$D$500,"&lt;="&amp;E28,$E$3:$E$500,"&gt;="&amp;D28,$A$3:$A$500,"&lt;&gt;"&amp;A28)&gt;0)),0))</f>
        <v/>
      </c>
      <c r="R28">
        <f>IF(B28="","",IFERROR(SUMPRODUCT((LEN(Employees!$A$3:$A$500)&gt;0)*(Employees!$O$3:$O$500=1)*(COUNTIFS($B$3:$B$500,Employees!$A$3:$A$500,$H$3:$H$500,"Approved",$D$3:$D$500,"&lt;="&amp;E28,$E$3:$E$500,"&gt;="&amp;D28,$A$3:$A$500,"&lt;&gt;"&amp;A28)&gt;0)),0))</f>
        <v/>
      </c>
      <c r="S28">
        <f>IF(OR(B28="",IFERROR(XLOOKUP(B28,Employees!$A$3:$A$500,Employees!$G$3:$G$500,""),"")=""),"",IFERROR(SUMPRODUCT((LEN(Employees!$A$3:$A$500)&gt;0)*(Employees!$G$3:$G$500=IFERROR(XLOOKUP(B28,Employees!$A$3:$A$500,Employees!$G$3:$G$500,""),""))*(COUNTIFS($B$3:$B$500,Employees!$A$3:$A$500,$H$3:$H$500,"Approved",$D$3:$D$500,"&lt;="&amp;E28,$E$3:$E$500,"&gt;="&amp;D28,$A$3:$A$500,"&lt;&gt;"&amp;A28)&gt;0)),0))</f>
        <v/>
      </c>
    </row>
    <row r="29">
      <c r="C29">
        <f>IFERROR(XLOOKUP(B29,Employees!$A$3:$A$500,Employees!$B$3:$B$500,""),"")</f>
        <v/>
      </c>
      <c r="I29">
        <f>IF(AND(B29&lt;&gt;"",D29&lt;&gt;"",E29&lt;&gt;""),E29-D29+1,"")</f>
        <v/>
      </c>
      <c r="J29">
        <f>IF(OR(B29="",D29="",E29=""),"",IF(OR(L29&lt;'Coverage Rules'!E7,M29&lt;'Coverage Rules'!E8,N29&lt;'Coverage Rules'!C8,O29&lt;'Coverage Rules'!E9,P29&lt;'Coverage Rules'!E10,Q29&gt;='Coverage Rules'!B16,R29&gt;='Coverage Rules'!B17,IF(S29="",FALSE,S29&gt;='Coverage Rules'!D24)),"Denied","OK"))</f>
        <v/>
      </c>
      <c r="L29">
        <f>IF(B29="","",IFERROR(SUMPRODUCT((LEN(Employees!$A$3:$A$500)&gt;0)*(Employees!$T$3:$T$500=1)*(COUNTIFS($B$3:$B$500,Employees!$A$3:$A$500,$H$3:$H$500,"Approved",$D$3:$D$500,"&lt;="&amp;E29,$E$3:$E$500,"&gt;="&amp;D29,$A$3:$A$500,"&lt;&gt;"&amp;A29)=0)),0))</f>
        <v/>
      </c>
      <c r="M29">
        <f>IF(B29="","",IFERROR(SUMPRODUCT((LEN(Employees!$A$3:$A$500)&gt;0)*(Employees!$U$3:$U$500=1)*(COUNTIFS($B$3:$B$500,Employees!$A$3:$A$500,$H$3:$H$500,"Approved",$D$3:$D$500,"&lt;="&amp;E29,$E$3:$E$500,"&gt;="&amp;D29,$A$3:$A$500,"&lt;&gt;"&amp;A29)=0)),0))</f>
        <v/>
      </c>
      <c r="N29">
        <f>IF(B29="","",IFERROR(SUMPRODUCT((LEN(Employees!$A$3:$A$500)&gt;0)*(Employees!$B$3:$B$500="Manager")*(Employees!$U$3:$U$500=1)*(COUNTIFS($B$3:$B$500,Employees!$A$3:$A$500,$H$3:$H$500,"Approved",$D$3:$D$500,"&lt;="&amp;E29,$E$3:$E$500,"&gt;="&amp;D29,$A$3:$A$500,"&lt;&gt;"&amp;A29)=0)),0))</f>
        <v/>
      </c>
      <c r="O29">
        <f>IF(B29="","",IFERROR(SUMPRODUCT((LEN(Employees!$A$3:$A$500)&gt;0)*(Employees!$V$3:$V$500=1)*(COUNTIFS($B$3:$B$500,Employees!$A$3:$A$500,$H$3:$H$500,"Approved",$D$3:$D$500,"&lt;="&amp;E29,$E$3:$E$500,"&gt;="&amp;D29,$A$3:$A$500,"&lt;&gt;"&amp;A29)=0)),0))</f>
        <v/>
      </c>
      <c r="P29">
        <f>IF(B29="","",IFERROR(SUMPRODUCT((LEN(Employees!$A$3:$A$500)&gt;0)*(Employees!$W$3:$W$500=1)*(COUNTIFS($B$3:$B$500,Employees!$A$3:$A$500,$H$3:$H$500,"Approved",$D$3:$D$500,"&lt;="&amp;E29,$E$3:$E$500,"&gt;="&amp;D29,$A$3:$A$500,"&lt;&gt;"&amp;A29)=0)),0))</f>
        <v/>
      </c>
      <c r="Q29">
        <f>IF(B29="","",IFERROR(SUMPRODUCT((LEN(Employees!$A$3:$A$500)&gt;0)*(Employees!$N$3:$N$500=1)*(COUNTIFS($B$3:$B$500,Employees!$A$3:$A$500,$H$3:$H$500,"Approved",$D$3:$D$500,"&lt;="&amp;E29,$E$3:$E$500,"&gt;="&amp;D29,$A$3:$A$500,"&lt;&gt;"&amp;A29)&gt;0)),0))</f>
        <v/>
      </c>
      <c r="R29">
        <f>IF(B29="","",IFERROR(SUMPRODUCT((LEN(Employees!$A$3:$A$500)&gt;0)*(Employees!$O$3:$O$500=1)*(COUNTIFS($B$3:$B$500,Employees!$A$3:$A$500,$H$3:$H$500,"Approved",$D$3:$D$500,"&lt;="&amp;E29,$E$3:$E$500,"&gt;="&amp;D29,$A$3:$A$500,"&lt;&gt;"&amp;A29)&gt;0)),0))</f>
        <v/>
      </c>
      <c r="S29">
        <f>IF(OR(B29="",IFERROR(XLOOKUP(B29,Employees!$A$3:$A$500,Employees!$G$3:$G$500,""),"")=""),"",IFERROR(SUMPRODUCT((LEN(Employees!$A$3:$A$500)&gt;0)*(Employees!$G$3:$G$500=IFERROR(XLOOKUP(B29,Employees!$A$3:$A$500,Employees!$G$3:$G$500,""),""))*(COUNTIFS($B$3:$B$500,Employees!$A$3:$A$500,$H$3:$H$500,"Approved",$D$3:$D$500,"&lt;="&amp;E29,$E$3:$E$500,"&gt;="&amp;D29,$A$3:$A$500,"&lt;&gt;"&amp;A29)&gt;0)),0))</f>
        <v/>
      </c>
    </row>
    <row r="30">
      <c r="C30">
        <f>IFERROR(XLOOKUP(B30,Employees!$A$3:$A$500,Employees!$B$3:$B$500,""),"")</f>
        <v/>
      </c>
      <c r="I30">
        <f>IF(AND(B30&lt;&gt;"",D30&lt;&gt;"",E30&lt;&gt;""),E30-D30+1,"")</f>
        <v/>
      </c>
      <c r="J30">
        <f>IF(OR(B30="",D30="",E30=""),"",IF(OR(L30&lt;'Coverage Rules'!E7,M30&lt;'Coverage Rules'!E8,N30&lt;'Coverage Rules'!C8,O30&lt;'Coverage Rules'!E9,P30&lt;'Coverage Rules'!E10,Q30&gt;='Coverage Rules'!B16,R30&gt;='Coverage Rules'!B17,IF(S30="",FALSE,S30&gt;='Coverage Rules'!D24)),"Denied","OK"))</f>
        <v/>
      </c>
      <c r="L30">
        <f>IF(B30="","",IFERROR(SUMPRODUCT((LEN(Employees!$A$3:$A$500)&gt;0)*(Employees!$T$3:$T$500=1)*(COUNTIFS($B$3:$B$500,Employees!$A$3:$A$500,$H$3:$H$500,"Approved",$D$3:$D$500,"&lt;="&amp;E30,$E$3:$E$500,"&gt;="&amp;D30,$A$3:$A$500,"&lt;&gt;"&amp;A30)=0)),0))</f>
        <v/>
      </c>
      <c r="M30">
        <f>IF(B30="","",IFERROR(SUMPRODUCT((LEN(Employees!$A$3:$A$500)&gt;0)*(Employees!$U$3:$U$500=1)*(COUNTIFS($B$3:$B$500,Employees!$A$3:$A$500,$H$3:$H$500,"Approved",$D$3:$D$500,"&lt;="&amp;E30,$E$3:$E$500,"&gt;="&amp;D30,$A$3:$A$500,"&lt;&gt;"&amp;A30)=0)),0))</f>
        <v/>
      </c>
      <c r="N30">
        <f>IF(B30="","",IFERROR(SUMPRODUCT((LEN(Employees!$A$3:$A$500)&gt;0)*(Employees!$B$3:$B$500="Manager")*(Employees!$U$3:$U$500=1)*(COUNTIFS($B$3:$B$500,Employees!$A$3:$A$500,$H$3:$H$500,"Approved",$D$3:$D$500,"&lt;="&amp;E30,$E$3:$E$500,"&gt;="&amp;D30,$A$3:$A$500,"&lt;&gt;"&amp;A30)=0)),0))</f>
        <v/>
      </c>
      <c r="O30">
        <f>IF(B30="","",IFERROR(SUMPRODUCT((LEN(Employees!$A$3:$A$500)&gt;0)*(Employees!$V$3:$V$500=1)*(COUNTIFS($B$3:$B$500,Employees!$A$3:$A$500,$H$3:$H$500,"Approved",$D$3:$D$500,"&lt;="&amp;E30,$E$3:$E$500,"&gt;="&amp;D30,$A$3:$A$500,"&lt;&gt;"&amp;A30)=0)),0))</f>
        <v/>
      </c>
      <c r="P30">
        <f>IF(B30="","",IFERROR(SUMPRODUCT((LEN(Employees!$A$3:$A$500)&gt;0)*(Employees!$W$3:$W$500=1)*(COUNTIFS($B$3:$B$500,Employees!$A$3:$A$500,$H$3:$H$500,"Approved",$D$3:$D$500,"&lt;="&amp;E30,$E$3:$E$500,"&gt;="&amp;D30,$A$3:$A$500,"&lt;&gt;"&amp;A30)=0)),0))</f>
        <v/>
      </c>
      <c r="Q30">
        <f>IF(B30="","",IFERROR(SUMPRODUCT((LEN(Employees!$A$3:$A$500)&gt;0)*(Employees!$N$3:$N$500=1)*(COUNTIFS($B$3:$B$500,Employees!$A$3:$A$500,$H$3:$H$500,"Approved",$D$3:$D$500,"&lt;="&amp;E30,$E$3:$E$500,"&gt;="&amp;D30,$A$3:$A$500,"&lt;&gt;"&amp;A30)&gt;0)),0))</f>
        <v/>
      </c>
      <c r="R30">
        <f>IF(B30="","",IFERROR(SUMPRODUCT((LEN(Employees!$A$3:$A$500)&gt;0)*(Employees!$O$3:$O$500=1)*(COUNTIFS($B$3:$B$500,Employees!$A$3:$A$500,$H$3:$H$500,"Approved",$D$3:$D$500,"&lt;="&amp;E30,$E$3:$E$500,"&gt;="&amp;D30,$A$3:$A$500,"&lt;&gt;"&amp;A30)&gt;0)),0))</f>
        <v/>
      </c>
      <c r="S30">
        <f>IF(OR(B30="",IFERROR(XLOOKUP(B30,Employees!$A$3:$A$500,Employees!$G$3:$G$500,""),"")=""),"",IFERROR(SUMPRODUCT((LEN(Employees!$A$3:$A$500)&gt;0)*(Employees!$G$3:$G$500=IFERROR(XLOOKUP(B30,Employees!$A$3:$A$500,Employees!$G$3:$G$500,""),""))*(COUNTIFS($B$3:$B$500,Employees!$A$3:$A$500,$H$3:$H$500,"Approved",$D$3:$D$500,"&lt;="&amp;E30,$E$3:$E$500,"&gt;="&amp;D30,$A$3:$A$500,"&lt;&gt;"&amp;A30)&gt;0)),0))</f>
        <v/>
      </c>
    </row>
    <row r="31">
      <c r="C31">
        <f>IFERROR(XLOOKUP(B31,Employees!$A$3:$A$500,Employees!$B$3:$B$500,""),"")</f>
        <v/>
      </c>
      <c r="I31">
        <f>IF(AND(B31&lt;&gt;"",D31&lt;&gt;"",E31&lt;&gt;""),E31-D31+1,"")</f>
        <v/>
      </c>
      <c r="J31">
        <f>IF(OR(B31="",D31="",E31=""),"",IF(OR(L31&lt;'Coverage Rules'!E7,M31&lt;'Coverage Rules'!E8,N31&lt;'Coverage Rules'!C8,O31&lt;'Coverage Rules'!E9,P31&lt;'Coverage Rules'!E10,Q31&gt;='Coverage Rules'!B16,R31&gt;='Coverage Rules'!B17,IF(S31="",FALSE,S31&gt;='Coverage Rules'!D24)),"Denied","OK"))</f>
        <v/>
      </c>
      <c r="L31">
        <f>IF(B31="","",IFERROR(SUMPRODUCT((LEN(Employees!$A$3:$A$500)&gt;0)*(Employees!$T$3:$T$500=1)*(COUNTIFS($B$3:$B$500,Employees!$A$3:$A$500,$H$3:$H$500,"Approved",$D$3:$D$500,"&lt;="&amp;E31,$E$3:$E$500,"&gt;="&amp;D31,$A$3:$A$500,"&lt;&gt;"&amp;A31)=0)),0))</f>
        <v/>
      </c>
      <c r="M31">
        <f>IF(B31="","",IFERROR(SUMPRODUCT((LEN(Employees!$A$3:$A$500)&gt;0)*(Employees!$U$3:$U$500=1)*(COUNTIFS($B$3:$B$500,Employees!$A$3:$A$500,$H$3:$H$500,"Approved",$D$3:$D$500,"&lt;="&amp;E31,$E$3:$E$500,"&gt;="&amp;D31,$A$3:$A$500,"&lt;&gt;"&amp;A31)=0)),0))</f>
        <v/>
      </c>
      <c r="N31">
        <f>IF(B31="","",IFERROR(SUMPRODUCT((LEN(Employees!$A$3:$A$500)&gt;0)*(Employees!$B$3:$B$500="Manager")*(Employees!$U$3:$U$500=1)*(COUNTIFS($B$3:$B$500,Employees!$A$3:$A$500,$H$3:$H$500,"Approved",$D$3:$D$500,"&lt;="&amp;E31,$E$3:$E$500,"&gt;="&amp;D31,$A$3:$A$500,"&lt;&gt;"&amp;A31)=0)),0))</f>
        <v/>
      </c>
      <c r="O31">
        <f>IF(B31="","",IFERROR(SUMPRODUCT((LEN(Employees!$A$3:$A$500)&gt;0)*(Employees!$V$3:$V$500=1)*(COUNTIFS($B$3:$B$500,Employees!$A$3:$A$500,$H$3:$H$500,"Approved",$D$3:$D$500,"&lt;="&amp;E31,$E$3:$E$500,"&gt;="&amp;D31,$A$3:$A$500,"&lt;&gt;"&amp;A31)=0)),0))</f>
        <v/>
      </c>
      <c r="P31">
        <f>IF(B31="","",IFERROR(SUMPRODUCT((LEN(Employees!$A$3:$A$500)&gt;0)*(Employees!$W$3:$W$500=1)*(COUNTIFS($B$3:$B$500,Employees!$A$3:$A$500,$H$3:$H$500,"Approved",$D$3:$D$500,"&lt;="&amp;E31,$E$3:$E$500,"&gt;="&amp;D31,$A$3:$A$500,"&lt;&gt;"&amp;A31)=0)),0))</f>
        <v/>
      </c>
      <c r="Q31">
        <f>IF(B31="","",IFERROR(SUMPRODUCT((LEN(Employees!$A$3:$A$500)&gt;0)*(Employees!$N$3:$N$500=1)*(COUNTIFS($B$3:$B$500,Employees!$A$3:$A$500,$H$3:$H$500,"Approved",$D$3:$D$500,"&lt;="&amp;E31,$E$3:$E$500,"&gt;="&amp;D31,$A$3:$A$500,"&lt;&gt;"&amp;A31)&gt;0)),0))</f>
        <v/>
      </c>
      <c r="R31">
        <f>IF(B31="","",IFERROR(SUMPRODUCT((LEN(Employees!$A$3:$A$500)&gt;0)*(Employees!$O$3:$O$500=1)*(COUNTIFS($B$3:$B$500,Employees!$A$3:$A$500,$H$3:$H$500,"Approved",$D$3:$D$500,"&lt;="&amp;E31,$E$3:$E$500,"&gt;="&amp;D31,$A$3:$A$500,"&lt;&gt;"&amp;A31)&gt;0)),0))</f>
        <v/>
      </c>
      <c r="S31">
        <f>IF(OR(B31="",IFERROR(XLOOKUP(B31,Employees!$A$3:$A$500,Employees!$G$3:$G$500,""),"")=""),"",IFERROR(SUMPRODUCT((LEN(Employees!$A$3:$A$500)&gt;0)*(Employees!$G$3:$G$500=IFERROR(XLOOKUP(B31,Employees!$A$3:$A$500,Employees!$G$3:$G$500,""),""))*(COUNTIFS($B$3:$B$500,Employees!$A$3:$A$500,$H$3:$H$500,"Approved",$D$3:$D$500,"&lt;="&amp;E31,$E$3:$E$500,"&gt;="&amp;D31,$A$3:$A$500,"&lt;&gt;"&amp;A31)&gt;0)),0))</f>
        <v/>
      </c>
    </row>
    <row r="32">
      <c r="C32">
        <f>IFERROR(XLOOKUP(B32,Employees!$A$3:$A$500,Employees!$B$3:$B$500,""),"")</f>
        <v/>
      </c>
      <c r="I32">
        <f>IF(AND(B32&lt;&gt;"",D32&lt;&gt;"",E32&lt;&gt;""),E32-D32+1,"")</f>
        <v/>
      </c>
      <c r="J32">
        <f>IF(OR(B32="",D32="",E32=""),"",IF(OR(L32&lt;'Coverage Rules'!E7,M32&lt;'Coverage Rules'!E8,N32&lt;'Coverage Rules'!C8,O32&lt;'Coverage Rules'!E9,P32&lt;'Coverage Rules'!E10,Q32&gt;='Coverage Rules'!B16,R32&gt;='Coverage Rules'!B17,IF(S32="",FALSE,S32&gt;='Coverage Rules'!D24)),"Denied","OK"))</f>
        <v/>
      </c>
      <c r="L32">
        <f>IF(B32="","",IFERROR(SUMPRODUCT((LEN(Employees!$A$3:$A$500)&gt;0)*(Employees!$T$3:$T$500=1)*(COUNTIFS($B$3:$B$500,Employees!$A$3:$A$500,$H$3:$H$500,"Approved",$D$3:$D$500,"&lt;="&amp;E32,$E$3:$E$500,"&gt;="&amp;D32,$A$3:$A$500,"&lt;&gt;"&amp;A32)=0)),0))</f>
        <v/>
      </c>
      <c r="M32">
        <f>IF(B32="","",IFERROR(SUMPRODUCT((LEN(Employees!$A$3:$A$500)&gt;0)*(Employees!$U$3:$U$500=1)*(COUNTIFS($B$3:$B$500,Employees!$A$3:$A$500,$H$3:$H$500,"Approved",$D$3:$D$500,"&lt;="&amp;E32,$E$3:$E$500,"&gt;="&amp;D32,$A$3:$A$500,"&lt;&gt;"&amp;A32)=0)),0))</f>
        <v/>
      </c>
      <c r="N32">
        <f>IF(B32="","",IFERROR(SUMPRODUCT((LEN(Employees!$A$3:$A$500)&gt;0)*(Employees!$B$3:$B$500="Manager")*(Employees!$U$3:$U$500=1)*(COUNTIFS($B$3:$B$500,Employees!$A$3:$A$500,$H$3:$H$500,"Approved",$D$3:$D$500,"&lt;="&amp;E32,$E$3:$E$500,"&gt;="&amp;D32,$A$3:$A$500,"&lt;&gt;"&amp;A32)=0)),0))</f>
        <v/>
      </c>
      <c r="O32">
        <f>IF(B32="","",IFERROR(SUMPRODUCT((LEN(Employees!$A$3:$A$500)&gt;0)*(Employees!$V$3:$V$500=1)*(COUNTIFS($B$3:$B$500,Employees!$A$3:$A$500,$H$3:$H$500,"Approved",$D$3:$D$500,"&lt;="&amp;E32,$E$3:$E$500,"&gt;="&amp;D32,$A$3:$A$500,"&lt;&gt;"&amp;A32)=0)),0))</f>
        <v/>
      </c>
      <c r="P32">
        <f>IF(B32="","",IFERROR(SUMPRODUCT((LEN(Employees!$A$3:$A$500)&gt;0)*(Employees!$W$3:$W$500=1)*(COUNTIFS($B$3:$B$500,Employees!$A$3:$A$500,$H$3:$H$500,"Approved",$D$3:$D$500,"&lt;="&amp;E32,$E$3:$E$500,"&gt;="&amp;D32,$A$3:$A$500,"&lt;&gt;"&amp;A32)=0)),0))</f>
        <v/>
      </c>
      <c r="Q32">
        <f>IF(B32="","",IFERROR(SUMPRODUCT((LEN(Employees!$A$3:$A$500)&gt;0)*(Employees!$N$3:$N$500=1)*(COUNTIFS($B$3:$B$500,Employees!$A$3:$A$500,$H$3:$H$500,"Approved",$D$3:$D$500,"&lt;="&amp;E32,$E$3:$E$500,"&gt;="&amp;D32,$A$3:$A$500,"&lt;&gt;"&amp;A32)&gt;0)),0))</f>
        <v/>
      </c>
      <c r="R32">
        <f>IF(B32="","",IFERROR(SUMPRODUCT((LEN(Employees!$A$3:$A$500)&gt;0)*(Employees!$O$3:$O$500=1)*(COUNTIFS($B$3:$B$500,Employees!$A$3:$A$500,$H$3:$H$500,"Approved",$D$3:$D$500,"&lt;="&amp;E32,$E$3:$E$500,"&gt;="&amp;D32,$A$3:$A$500,"&lt;&gt;"&amp;A32)&gt;0)),0))</f>
        <v/>
      </c>
      <c r="S32">
        <f>IF(OR(B32="",IFERROR(XLOOKUP(B32,Employees!$A$3:$A$500,Employees!$G$3:$G$500,""),"")=""),"",IFERROR(SUMPRODUCT((LEN(Employees!$A$3:$A$500)&gt;0)*(Employees!$G$3:$G$500=IFERROR(XLOOKUP(B32,Employees!$A$3:$A$500,Employees!$G$3:$G$500,""),""))*(COUNTIFS($B$3:$B$500,Employees!$A$3:$A$500,$H$3:$H$500,"Approved",$D$3:$D$500,"&lt;="&amp;E32,$E$3:$E$500,"&gt;="&amp;D32,$A$3:$A$500,"&lt;&gt;"&amp;A32)&gt;0)),0))</f>
        <v/>
      </c>
    </row>
    <row r="33">
      <c r="C33">
        <f>IFERROR(XLOOKUP(B33,Employees!$A$3:$A$500,Employees!$B$3:$B$500,""),"")</f>
        <v/>
      </c>
      <c r="I33">
        <f>IF(AND(B33&lt;&gt;"",D33&lt;&gt;"",E33&lt;&gt;""),E33-D33+1,"")</f>
        <v/>
      </c>
      <c r="J33">
        <f>IF(OR(B33="",D33="",E33=""),"",IF(OR(L33&lt;'Coverage Rules'!E7,M33&lt;'Coverage Rules'!E8,N33&lt;'Coverage Rules'!C8,O33&lt;'Coverage Rules'!E9,P33&lt;'Coverage Rules'!E10,Q33&gt;='Coverage Rules'!B16,R33&gt;='Coverage Rules'!B17,IF(S33="",FALSE,S33&gt;='Coverage Rules'!D24)),"Denied","OK"))</f>
        <v/>
      </c>
      <c r="L33">
        <f>IF(B33="","",IFERROR(SUMPRODUCT((LEN(Employees!$A$3:$A$500)&gt;0)*(Employees!$T$3:$T$500=1)*(COUNTIFS($B$3:$B$500,Employees!$A$3:$A$500,$H$3:$H$500,"Approved",$D$3:$D$500,"&lt;="&amp;E33,$E$3:$E$500,"&gt;="&amp;D33,$A$3:$A$500,"&lt;&gt;"&amp;A33)=0)),0))</f>
        <v/>
      </c>
      <c r="M33">
        <f>IF(B33="","",IFERROR(SUMPRODUCT((LEN(Employees!$A$3:$A$500)&gt;0)*(Employees!$U$3:$U$500=1)*(COUNTIFS($B$3:$B$500,Employees!$A$3:$A$500,$H$3:$H$500,"Approved",$D$3:$D$500,"&lt;="&amp;E33,$E$3:$E$500,"&gt;="&amp;D33,$A$3:$A$500,"&lt;&gt;"&amp;A33)=0)),0))</f>
        <v/>
      </c>
      <c r="N33">
        <f>IF(B33="","",IFERROR(SUMPRODUCT((LEN(Employees!$A$3:$A$500)&gt;0)*(Employees!$B$3:$B$500="Manager")*(Employees!$U$3:$U$500=1)*(COUNTIFS($B$3:$B$500,Employees!$A$3:$A$500,$H$3:$H$500,"Approved",$D$3:$D$500,"&lt;="&amp;E33,$E$3:$E$500,"&gt;="&amp;D33,$A$3:$A$500,"&lt;&gt;"&amp;A33)=0)),0))</f>
        <v/>
      </c>
      <c r="O33">
        <f>IF(B33="","",IFERROR(SUMPRODUCT((LEN(Employees!$A$3:$A$500)&gt;0)*(Employees!$V$3:$V$500=1)*(COUNTIFS($B$3:$B$500,Employees!$A$3:$A$500,$H$3:$H$500,"Approved",$D$3:$D$500,"&lt;="&amp;E33,$E$3:$E$500,"&gt;="&amp;D33,$A$3:$A$500,"&lt;&gt;"&amp;A33)=0)),0))</f>
        <v/>
      </c>
      <c r="P33">
        <f>IF(B33="","",IFERROR(SUMPRODUCT((LEN(Employees!$A$3:$A$500)&gt;0)*(Employees!$W$3:$W$500=1)*(COUNTIFS($B$3:$B$500,Employees!$A$3:$A$500,$H$3:$H$500,"Approved",$D$3:$D$500,"&lt;="&amp;E33,$E$3:$E$500,"&gt;="&amp;D33,$A$3:$A$500,"&lt;&gt;"&amp;A33)=0)),0))</f>
        <v/>
      </c>
      <c r="Q33">
        <f>IF(B33="","",IFERROR(SUMPRODUCT((LEN(Employees!$A$3:$A$500)&gt;0)*(Employees!$N$3:$N$500=1)*(COUNTIFS($B$3:$B$500,Employees!$A$3:$A$500,$H$3:$H$500,"Approved",$D$3:$D$500,"&lt;="&amp;E33,$E$3:$E$500,"&gt;="&amp;D33,$A$3:$A$500,"&lt;&gt;"&amp;A33)&gt;0)),0))</f>
        <v/>
      </c>
      <c r="R33">
        <f>IF(B33="","",IFERROR(SUMPRODUCT((LEN(Employees!$A$3:$A$500)&gt;0)*(Employees!$O$3:$O$500=1)*(COUNTIFS($B$3:$B$500,Employees!$A$3:$A$500,$H$3:$H$500,"Approved",$D$3:$D$500,"&lt;="&amp;E33,$E$3:$E$500,"&gt;="&amp;D33,$A$3:$A$500,"&lt;&gt;"&amp;A33)&gt;0)),0))</f>
        <v/>
      </c>
      <c r="S33">
        <f>IF(OR(B33="",IFERROR(XLOOKUP(B33,Employees!$A$3:$A$500,Employees!$G$3:$G$500,""),"")=""),"",IFERROR(SUMPRODUCT((LEN(Employees!$A$3:$A$500)&gt;0)*(Employees!$G$3:$G$500=IFERROR(XLOOKUP(B33,Employees!$A$3:$A$500,Employees!$G$3:$G$500,""),""))*(COUNTIFS($B$3:$B$500,Employees!$A$3:$A$500,$H$3:$H$500,"Approved",$D$3:$D$500,"&lt;="&amp;E33,$E$3:$E$500,"&gt;="&amp;D33,$A$3:$A$500,"&lt;&gt;"&amp;A33)&gt;0)),0))</f>
        <v/>
      </c>
    </row>
    <row r="34">
      <c r="C34">
        <f>IFERROR(XLOOKUP(B34,Employees!$A$3:$A$500,Employees!$B$3:$B$500,""),"")</f>
        <v/>
      </c>
      <c r="I34">
        <f>IF(AND(B34&lt;&gt;"",D34&lt;&gt;"",E34&lt;&gt;""),E34-D34+1,"")</f>
        <v/>
      </c>
      <c r="J34">
        <f>IF(OR(B34="",D34="",E34=""),"",IF(OR(L34&lt;'Coverage Rules'!E7,M34&lt;'Coverage Rules'!E8,N34&lt;'Coverage Rules'!C8,O34&lt;'Coverage Rules'!E9,P34&lt;'Coverage Rules'!E10,Q34&gt;='Coverage Rules'!B16,R34&gt;='Coverage Rules'!B17,IF(S34="",FALSE,S34&gt;='Coverage Rules'!D24)),"Denied","OK"))</f>
        <v/>
      </c>
      <c r="L34">
        <f>IF(B34="","",IFERROR(SUMPRODUCT((LEN(Employees!$A$3:$A$500)&gt;0)*(Employees!$T$3:$T$500=1)*(COUNTIFS($B$3:$B$500,Employees!$A$3:$A$500,$H$3:$H$500,"Approved",$D$3:$D$500,"&lt;="&amp;E34,$E$3:$E$500,"&gt;="&amp;D34,$A$3:$A$500,"&lt;&gt;"&amp;A34)=0)),0))</f>
        <v/>
      </c>
      <c r="M34">
        <f>IF(B34="","",IFERROR(SUMPRODUCT((LEN(Employees!$A$3:$A$500)&gt;0)*(Employees!$U$3:$U$500=1)*(COUNTIFS($B$3:$B$500,Employees!$A$3:$A$500,$H$3:$H$500,"Approved",$D$3:$D$500,"&lt;="&amp;E34,$E$3:$E$500,"&gt;="&amp;D34,$A$3:$A$500,"&lt;&gt;"&amp;A34)=0)),0))</f>
        <v/>
      </c>
      <c r="N34">
        <f>IF(B34="","",IFERROR(SUMPRODUCT((LEN(Employees!$A$3:$A$500)&gt;0)*(Employees!$B$3:$B$500="Manager")*(Employees!$U$3:$U$500=1)*(COUNTIFS($B$3:$B$500,Employees!$A$3:$A$500,$H$3:$H$500,"Approved",$D$3:$D$500,"&lt;="&amp;E34,$E$3:$E$500,"&gt;="&amp;D34,$A$3:$A$500,"&lt;&gt;"&amp;A34)=0)),0))</f>
        <v/>
      </c>
      <c r="O34">
        <f>IF(B34="","",IFERROR(SUMPRODUCT((LEN(Employees!$A$3:$A$500)&gt;0)*(Employees!$V$3:$V$500=1)*(COUNTIFS($B$3:$B$500,Employees!$A$3:$A$500,$H$3:$H$500,"Approved",$D$3:$D$500,"&lt;="&amp;E34,$E$3:$E$500,"&gt;="&amp;D34,$A$3:$A$500,"&lt;&gt;"&amp;A34)=0)),0))</f>
        <v/>
      </c>
      <c r="P34">
        <f>IF(B34="","",IFERROR(SUMPRODUCT((LEN(Employees!$A$3:$A$500)&gt;0)*(Employees!$W$3:$W$500=1)*(COUNTIFS($B$3:$B$500,Employees!$A$3:$A$500,$H$3:$H$500,"Approved",$D$3:$D$500,"&lt;="&amp;E34,$E$3:$E$500,"&gt;="&amp;D34,$A$3:$A$500,"&lt;&gt;"&amp;A34)=0)),0))</f>
        <v/>
      </c>
      <c r="Q34">
        <f>IF(B34="","",IFERROR(SUMPRODUCT((LEN(Employees!$A$3:$A$500)&gt;0)*(Employees!$N$3:$N$500=1)*(COUNTIFS($B$3:$B$500,Employees!$A$3:$A$500,$H$3:$H$500,"Approved",$D$3:$D$500,"&lt;="&amp;E34,$E$3:$E$500,"&gt;="&amp;D34,$A$3:$A$500,"&lt;&gt;"&amp;A34)&gt;0)),0))</f>
        <v/>
      </c>
      <c r="R34">
        <f>IF(B34="","",IFERROR(SUMPRODUCT((LEN(Employees!$A$3:$A$500)&gt;0)*(Employees!$O$3:$O$500=1)*(COUNTIFS($B$3:$B$500,Employees!$A$3:$A$500,$H$3:$H$500,"Approved",$D$3:$D$500,"&lt;="&amp;E34,$E$3:$E$500,"&gt;="&amp;D34,$A$3:$A$500,"&lt;&gt;"&amp;A34)&gt;0)),0))</f>
        <v/>
      </c>
      <c r="S34">
        <f>IF(OR(B34="",IFERROR(XLOOKUP(B34,Employees!$A$3:$A$500,Employees!$G$3:$G$500,""),"")=""),"",IFERROR(SUMPRODUCT((LEN(Employees!$A$3:$A$500)&gt;0)*(Employees!$G$3:$G$500=IFERROR(XLOOKUP(B34,Employees!$A$3:$A$500,Employees!$G$3:$G$500,""),""))*(COUNTIFS($B$3:$B$500,Employees!$A$3:$A$500,$H$3:$H$500,"Approved",$D$3:$D$500,"&lt;="&amp;E34,$E$3:$E$500,"&gt;="&amp;D34,$A$3:$A$500,"&lt;&gt;"&amp;A34)&gt;0)),0))</f>
        <v/>
      </c>
    </row>
    <row r="35">
      <c r="C35">
        <f>IFERROR(XLOOKUP(B35,Employees!$A$3:$A$500,Employees!$B$3:$B$500,""),"")</f>
        <v/>
      </c>
      <c r="I35">
        <f>IF(AND(B35&lt;&gt;"",D35&lt;&gt;"",E35&lt;&gt;""),E35-D35+1,"")</f>
        <v/>
      </c>
      <c r="J35">
        <f>IF(OR(B35="",D35="",E35=""),"",IF(OR(L35&lt;'Coverage Rules'!E7,M35&lt;'Coverage Rules'!E8,N35&lt;'Coverage Rules'!C8,O35&lt;'Coverage Rules'!E9,P35&lt;'Coverage Rules'!E10,Q35&gt;='Coverage Rules'!B16,R35&gt;='Coverage Rules'!B17,IF(S35="",FALSE,S35&gt;='Coverage Rules'!D24)),"Denied","OK"))</f>
        <v/>
      </c>
      <c r="L35">
        <f>IF(B35="","",IFERROR(SUMPRODUCT((LEN(Employees!$A$3:$A$500)&gt;0)*(Employees!$T$3:$T$500=1)*(COUNTIFS($B$3:$B$500,Employees!$A$3:$A$500,$H$3:$H$500,"Approved",$D$3:$D$500,"&lt;="&amp;E35,$E$3:$E$500,"&gt;="&amp;D35,$A$3:$A$500,"&lt;&gt;"&amp;A35)=0)),0))</f>
        <v/>
      </c>
      <c r="M35">
        <f>IF(B35="","",IFERROR(SUMPRODUCT((LEN(Employees!$A$3:$A$500)&gt;0)*(Employees!$U$3:$U$500=1)*(COUNTIFS($B$3:$B$500,Employees!$A$3:$A$500,$H$3:$H$500,"Approved",$D$3:$D$500,"&lt;="&amp;E35,$E$3:$E$500,"&gt;="&amp;D35,$A$3:$A$500,"&lt;&gt;"&amp;A35)=0)),0))</f>
        <v/>
      </c>
      <c r="N35">
        <f>IF(B35="","",IFERROR(SUMPRODUCT((LEN(Employees!$A$3:$A$500)&gt;0)*(Employees!$B$3:$B$500="Manager")*(Employees!$U$3:$U$500=1)*(COUNTIFS($B$3:$B$500,Employees!$A$3:$A$500,$H$3:$H$500,"Approved",$D$3:$D$500,"&lt;="&amp;E35,$E$3:$E$500,"&gt;="&amp;D35,$A$3:$A$500,"&lt;&gt;"&amp;A35)=0)),0))</f>
        <v/>
      </c>
      <c r="O35">
        <f>IF(B35="","",IFERROR(SUMPRODUCT((LEN(Employees!$A$3:$A$500)&gt;0)*(Employees!$V$3:$V$500=1)*(COUNTIFS($B$3:$B$500,Employees!$A$3:$A$500,$H$3:$H$500,"Approved",$D$3:$D$500,"&lt;="&amp;E35,$E$3:$E$500,"&gt;="&amp;D35,$A$3:$A$500,"&lt;&gt;"&amp;A35)=0)),0))</f>
        <v/>
      </c>
      <c r="P35">
        <f>IF(B35="","",IFERROR(SUMPRODUCT((LEN(Employees!$A$3:$A$500)&gt;0)*(Employees!$W$3:$W$500=1)*(COUNTIFS($B$3:$B$500,Employees!$A$3:$A$500,$H$3:$H$500,"Approved",$D$3:$D$500,"&lt;="&amp;E35,$E$3:$E$500,"&gt;="&amp;D35,$A$3:$A$500,"&lt;&gt;"&amp;A35)=0)),0))</f>
        <v/>
      </c>
      <c r="Q35">
        <f>IF(B35="","",IFERROR(SUMPRODUCT((LEN(Employees!$A$3:$A$500)&gt;0)*(Employees!$N$3:$N$500=1)*(COUNTIFS($B$3:$B$500,Employees!$A$3:$A$500,$H$3:$H$500,"Approved",$D$3:$D$500,"&lt;="&amp;E35,$E$3:$E$500,"&gt;="&amp;D35,$A$3:$A$500,"&lt;&gt;"&amp;A35)&gt;0)),0))</f>
        <v/>
      </c>
      <c r="R35">
        <f>IF(B35="","",IFERROR(SUMPRODUCT((LEN(Employees!$A$3:$A$500)&gt;0)*(Employees!$O$3:$O$500=1)*(COUNTIFS($B$3:$B$500,Employees!$A$3:$A$500,$H$3:$H$500,"Approved",$D$3:$D$500,"&lt;="&amp;E35,$E$3:$E$500,"&gt;="&amp;D35,$A$3:$A$500,"&lt;&gt;"&amp;A35)&gt;0)),0))</f>
        <v/>
      </c>
      <c r="S35">
        <f>IF(OR(B35="",IFERROR(XLOOKUP(B35,Employees!$A$3:$A$500,Employees!$G$3:$G$500,""),"")=""),"",IFERROR(SUMPRODUCT((LEN(Employees!$A$3:$A$500)&gt;0)*(Employees!$G$3:$G$500=IFERROR(XLOOKUP(B35,Employees!$A$3:$A$500,Employees!$G$3:$G$500,""),""))*(COUNTIFS($B$3:$B$500,Employees!$A$3:$A$500,$H$3:$H$500,"Approved",$D$3:$D$500,"&lt;="&amp;E35,$E$3:$E$500,"&gt;="&amp;D35,$A$3:$A$500,"&lt;&gt;"&amp;A35)&gt;0)),0))</f>
        <v/>
      </c>
    </row>
    <row r="36">
      <c r="C36">
        <f>IFERROR(XLOOKUP(B36,Employees!$A$3:$A$500,Employees!$B$3:$B$500,""),"")</f>
        <v/>
      </c>
      <c r="I36">
        <f>IF(AND(B36&lt;&gt;"",D36&lt;&gt;"",E36&lt;&gt;""),E36-D36+1,"")</f>
        <v/>
      </c>
      <c r="J36">
        <f>IF(OR(B36="",D36="",E36=""),"",IF(OR(L36&lt;'Coverage Rules'!E7,M36&lt;'Coverage Rules'!E8,N36&lt;'Coverage Rules'!C8,O36&lt;'Coverage Rules'!E9,P36&lt;'Coverage Rules'!E10,Q36&gt;='Coverage Rules'!B16,R36&gt;='Coverage Rules'!B17,IF(S36="",FALSE,S36&gt;='Coverage Rules'!D24)),"Denied","OK"))</f>
        <v/>
      </c>
      <c r="L36">
        <f>IF(B36="","",IFERROR(SUMPRODUCT((LEN(Employees!$A$3:$A$500)&gt;0)*(Employees!$T$3:$T$500=1)*(COUNTIFS($B$3:$B$500,Employees!$A$3:$A$500,$H$3:$H$500,"Approved",$D$3:$D$500,"&lt;="&amp;E36,$E$3:$E$500,"&gt;="&amp;D36,$A$3:$A$500,"&lt;&gt;"&amp;A36)=0)),0))</f>
        <v/>
      </c>
      <c r="M36">
        <f>IF(B36="","",IFERROR(SUMPRODUCT((LEN(Employees!$A$3:$A$500)&gt;0)*(Employees!$U$3:$U$500=1)*(COUNTIFS($B$3:$B$500,Employees!$A$3:$A$500,$H$3:$H$500,"Approved",$D$3:$D$500,"&lt;="&amp;E36,$E$3:$E$500,"&gt;="&amp;D36,$A$3:$A$500,"&lt;&gt;"&amp;A36)=0)),0))</f>
        <v/>
      </c>
      <c r="N36">
        <f>IF(B36="","",IFERROR(SUMPRODUCT((LEN(Employees!$A$3:$A$500)&gt;0)*(Employees!$B$3:$B$500="Manager")*(Employees!$U$3:$U$500=1)*(COUNTIFS($B$3:$B$500,Employees!$A$3:$A$500,$H$3:$H$500,"Approved",$D$3:$D$500,"&lt;="&amp;E36,$E$3:$E$500,"&gt;="&amp;D36,$A$3:$A$500,"&lt;&gt;"&amp;A36)=0)),0))</f>
        <v/>
      </c>
      <c r="O36">
        <f>IF(B36="","",IFERROR(SUMPRODUCT((LEN(Employees!$A$3:$A$500)&gt;0)*(Employees!$V$3:$V$500=1)*(COUNTIFS($B$3:$B$500,Employees!$A$3:$A$500,$H$3:$H$500,"Approved",$D$3:$D$500,"&lt;="&amp;E36,$E$3:$E$500,"&gt;="&amp;D36,$A$3:$A$500,"&lt;&gt;"&amp;A36)=0)),0))</f>
        <v/>
      </c>
      <c r="P36">
        <f>IF(B36="","",IFERROR(SUMPRODUCT((LEN(Employees!$A$3:$A$500)&gt;0)*(Employees!$W$3:$W$500=1)*(COUNTIFS($B$3:$B$500,Employees!$A$3:$A$500,$H$3:$H$500,"Approved",$D$3:$D$500,"&lt;="&amp;E36,$E$3:$E$500,"&gt;="&amp;D36,$A$3:$A$500,"&lt;&gt;"&amp;A36)=0)),0))</f>
        <v/>
      </c>
      <c r="Q36">
        <f>IF(B36="","",IFERROR(SUMPRODUCT((LEN(Employees!$A$3:$A$500)&gt;0)*(Employees!$N$3:$N$500=1)*(COUNTIFS($B$3:$B$500,Employees!$A$3:$A$500,$H$3:$H$500,"Approved",$D$3:$D$500,"&lt;="&amp;E36,$E$3:$E$500,"&gt;="&amp;D36,$A$3:$A$500,"&lt;&gt;"&amp;A36)&gt;0)),0))</f>
        <v/>
      </c>
      <c r="R36">
        <f>IF(B36="","",IFERROR(SUMPRODUCT((LEN(Employees!$A$3:$A$500)&gt;0)*(Employees!$O$3:$O$500=1)*(COUNTIFS($B$3:$B$500,Employees!$A$3:$A$500,$H$3:$H$500,"Approved",$D$3:$D$500,"&lt;="&amp;E36,$E$3:$E$500,"&gt;="&amp;D36,$A$3:$A$500,"&lt;&gt;"&amp;A36)&gt;0)),0))</f>
        <v/>
      </c>
      <c r="S36">
        <f>IF(OR(B36="",IFERROR(XLOOKUP(B36,Employees!$A$3:$A$500,Employees!$G$3:$G$500,""),"")=""),"",IFERROR(SUMPRODUCT((LEN(Employees!$A$3:$A$500)&gt;0)*(Employees!$G$3:$G$500=IFERROR(XLOOKUP(B36,Employees!$A$3:$A$500,Employees!$G$3:$G$500,""),""))*(COUNTIFS($B$3:$B$500,Employees!$A$3:$A$500,$H$3:$H$500,"Approved",$D$3:$D$500,"&lt;="&amp;E36,$E$3:$E$500,"&gt;="&amp;D36,$A$3:$A$500,"&lt;&gt;"&amp;A36)&gt;0)),0))</f>
        <v/>
      </c>
    </row>
    <row r="37">
      <c r="C37">
        <f>IFERROR(XLOOKUP(B37,Employees!$A$3:$A$500,Employees!$B$3:$B$500,""),"")</f>
        <v/>
      </c>
      <c r="I37">
        <f>IF(AND(B37&lt;&gt;"",D37&lt;&gt;"",E37&lt;&gt;""),E37-D37+1,"")</f>
        <v/>
      </c>
      <c r="J37">
        <f>IF(OR(B37="",D37="",E37=""),"",IF(OR(L37&lt;'Coverage Rules'!E7,M37&lt;'Coverage Rules'!E8,N37&lt;'Coverage Rules'!C8,O37&lt;'Coverage Rules'!E9,P37&lt;'Coverage Rules'!E10,Q37&gt;='Coverage Rules'!B16,R37&gt;='Coverage Rules'!B17,IF(S37="",FALSE,S37&gt;='Coverage Rules'!D24)),"Denied","OK"))</f>
        <v/>
      </c>
      <c r="L37">
        <f>IF(B37="","",IFERROR(SUMPRODUCT((LEN(Employees!$A$3:$A$500)&gt;0)*(Employees!$T$3:$T$500=1)*(COUNTIFS($B$3:$B$500,Employees!$A$3:$A$500,$H$3:$H$500,"Approved",$D$3:$D$500,"&lt;="&amp;E37,$E$3:$E$500,"&gt;="&amp;D37,$A$3:$A$500,"&lt;&gt;"&amp;A37)=0)),0))</f>
        <v/>
      </c>
      <c r="M37">
        <f>IF(B37="","",IFERROR(SUMPRODUCT((LEN(Employees!$A$3:$A$500)&gt;0)*(Employees!$U$3:$U$500=1)*(COUNTIFS($B$3:$B$500,Employees!$A$3:$A$500,$H$3:$H$500,"Approved",$D$3:$D$500,"&lt;="&amp;E37,$E$3:$E$500,"&gt;="&amp;D37,$A$3:$A$500,"&lt;&gt;"&amp;A37)=0)),0))</f>
        <v/>
      </c>
      <c r="N37">
        <f>IF(B37="","",IFERROR(SUMPRODUCT((LEN(Employees!$A$3:$A$500)&gt;0)*(Employees!$B$3:$B$500="Manager")*(Employees!$U$3:$U$500=1)*(COUNTIFS($B$3:$B$500,Employees!$A$3:$A$500,$H$3:$H$500,"Approved",$D$3:$D$500,"&lt;="&amp;E37,$E$3:$E$500,"&gt;="&amp;D37,$A$3:$A$500,"&lt;&gt;"&amp;A37)=0)),0))</f>
        <v/>
      </c>
      <c r="O37">
        <f>IF(B37="","",IFERROR(SUMPRODUCT((LEN(Employees!$A$3:$A$500)&gt;0)*(Employees!$V$3:$V$500=1)*(COUNTIFS($B$3:$B$500,Employees!$A$3:$A$500,$H$3:$H$500,"Approved",$D$3:$D$500,"&lt;="&amp;E37,$E$3:$E$500,"&gt;="&amp;D37,$A$3:$A$500,"&lt;&gt;"&amp;A37)=0)),0))</f>
        <v/>
      </c>
      <c r="P37">
        <f>IF(B37="","",IFERROR(SUMPRODUCT((LEN(Employees!$A$3:$A$500)&gt;0)*(Employees!$W$3:$W$500=1)*(COUNTIFS($B$3:$B$500,Employees!$A$3:$A$500,$H$3:$H$500,"Approved",$D$3:$D$500,"&lt;="&amp;E37,$E$3:$E$500,"&gt;="&amp;D37,$A$3:$A$500,"&lt;&gt;"&amp;A37)=0)),0))</f>
        <v/>
      </c>
      <c r="Q37">
        <f>IF(B37="","",IFERROR(SUMPRODUCT((LEN(Employees!$A$3:$A$500)&gt;0)*(Employees!$N$3:$N$500=1)*(COUNTIFS($B$3:$B$500,Employees!$A$3:$A$500,$H$3:$H$500,"Approved",$D$3:$D$500,"&lt;="&amp;E37,$E$3:$E$500,"&gt;="&amp;D37,$A$3:$A$500,"&lt;&gt;"&amp;A37)&gt;0)),0))</f>
        <v/>
      </c>
      <c r="R37">
        <f>IF(B37="","",IFERROR(SUMPRODUCT((LEN(Employees!$A$3:$A$500)&gt;0)*(Employees!$O$3:$O$500=1)*(COUNTIFS($B$3:$B$500,Employees!$A$3:$A$500,$H$3:$H$500,"Approved",$D$3:$D$500,"&lt;="&amp;E37,$E$3:$E$500,"&gt;="&amp;D37,$A$3:$A$500,"&lt;&gt;"&amp;A37)&gt;0)),0))</f>
        <v/>
      </c>
      <c r="S37">
        <f>IF(OR(B37="",IFERROR(XLOOKUP(B37,Employees!$A$3:$A$500,Employees!$G$3:$G$500,""),"")=""),"",IFERROR(SUMPRODUCT((LEN(Employees!$A$3:$A$500)&gt;0)*(Employees!$G$3:$G$500=IFERROR(XLOOKUP(B37,Employees!$A$3:$A$500,Employees!$G$3:$G$500,""),""))*(COUNTIFS($B$3:$B$500,Employees!$A$3:$A$500,$H$3:$H$500,"Approved",$D$3:$D$500,"&lt;="&amp;E37,$E$3:$E$500,"&gt;="&amp;D37,$A$3:$A$500,"&lt;&gt;"&amp;A37)&gt;0)),0))</f>
        <v/>
      </c>
    </row>
    <row r="38">
      <c r="C38">
        <f>IFERROR(XLOOKUP(B38,Employees!$A$3:$A$500,Employees!$B$3:$B$500,""),"")</f>
        <v/>
      </c>
      <c r="I38">
        <f>IF(AND(B38&lt;&gt;"",D38&lt;&gt;"",E38&lt;&gt;""),E38-D38+1,"")</f>
        <v/>
      </c>
      <c r="J38">
        <f>IF(OR(B38="",D38="",E38=""),"",IF(OR(L38&lt;'Coverage Rules'!E7,M38&lt;'Coverage Rules'!E8,N38&lt;'Coverage Rules'!C8,O38&lt;'Coverage Rules'!E9,P38&lt;'Coverage Rules'!E10,Q38&gt;='Coverage Rules'!B16,R38&gt;='Coverage Rules'!B17,IF(S38="",FALSE,S38&gt;='Coverage Rules'!D24)),"Denied","OK"))</f>
        <v/>
      </c>
      <c r="L38">
        <f>IF(B38="","",IFERROR(SUMPRODUCT((LEN(Employees!$A$3:$A$500)&gt;0)*(Employees!$T$3:$T$500=1)*(COUNTIFS($B$3:$B$500,Employees!$A$3:$A$500,$H$3:$H$500,"Approved",$D$3:$D$500,"&lt;="&amp;E38,$E$3:$E$500,"&gt;="&amp;D38,$A$3:$A$500,"&lt;&gt;"&amp;A38)=0)),0))</f>
        <v/>
      </c>
      <c r="M38">
        <f>IF(B38="","",IFERROR(SUMPRODUCT((LEN(Employees!$A$3:$A$500)&gt;0)*(Employees!$U$3:$U$500=1)*(COUNTIFS($B$3:$B$500,Employees!$A$3:$A$500,$H$3:$H$500,"Approved",$D$3:$D$500,"&lt;="&amp;E38,$E$3:$E$500,"&gt;="&amp;D38,$A$3:$A$500,"&lt;&gt;"&amp;A38)=0)),0))</f>
        <v/>
      </c>
      <c r="N38">
        <f>IF(B38="","",IFERROR(SUMPRODUCT((LEN(Employees!$A$3:$A$500)&gt;0)*(Employees!$B$3:$B$500="Manager")*(Employees!$U$3:$U$500=1)*(COUNTIFS($B$3:$B$500,Employees!$A$3:$A$500,$H$3:$H$500,"Approved",$D$3:$D$500,"&lt;="&amp;E38,$E$3:$E$500,"&gt;="&amp;D38,$A$3:$A$500,"&lt;&gt;"&amp;A38)=0)),0))</f>
        <v/>
      </c>
      <c r="O38">
        <f>IF(B38="","",IFERROR(SUMPRODUCT((LEN(Employees!$A$3:$A$500)&gt;0)*(Employees!$V$3:$V$500=1)*(COUNTIFS($B$3:$B$500,Employees!$A$3:$A$500,$H$3:$H$500,"Approved",$D$3:$D$500,"&lt;="&amp;E38,$E$3:$E$500,"&gt;="&amp;D38,$A$3:$A$500,"&lt;&gt;"&amp;A38)=0)),0))</f>
        <v/>
      </c>
      <c r="P38">
        <f>IF(B38="","",IFERROR(SUMPRODUCT((LEN(Employees!$A$3:$A$500)&gt;0)*(Employees!$W$3:$W$500=1)*(COUNTIFS($B$3:$B$500,Employees!$A$3:$A$500,$H$3:$H$500,"Approved",$D$3:$D$500,"&lt;="&amp;E38,$E$3:$E$500,"&gt;="&amp;D38,$A$3:$A$500,"&lt;&gt;"&amp;A38)=0)),0))</f>
        <v/>
      </c>
      <c r="Q38">
        <f>IF(B38="","",IFERROR(SUMPRODUCT((LEN(Employees!$A$3:$A$500)&gt;0)*(Employees!$N$3:$N$500=1)*(COUNTIFS($B$3:$B$500,Employees!$A$3:$A$500,$H$3:$H$500,"Approved",$D$3:$D$500,"&lt;="&amp;E38,$E$3:$E$500,"&gt;="&amp;D38,$A$3:$A$500,"&lt;&gt;"&amp;A38)&gt;0)),0))</f>
        <v/>
      </c>
      <c r="R38">
        <f>IF(B38="","",IFERROR(SUMPRODUCT((LEN(Employees!$A$3:$A$500)&gt;0)*(Employees!$O$3:$O$500=1)*(COUNTIFS($B$3:$B$500,Employees!$A$3:$A$500,$H$3:$H$500,"Approved",$D$3:$D$500,"&lt;="&amp;E38,$E$3:$E$500,"&gt;="&amp;D38,$A$3:$A$500,"&lt;&gt;"&amp;A38)&gt;0)),0))</f>
        <v/>
      </c>
      <c r="S38">
        <f>IF(OR(B38="",IFERROR(XLOOKUP(B38,Employees!$A$3:$A$500,Employees!$G$3:$G$500,""),"")=""),"",IFERROR(SUMPRODUCT((LEN(Employees!$A$3:$A$500)&gt;0)*(Employees!$G$3:$G$500=IFERROR(XLOOKUP(B38,Employees!$A$3:$A$500,Employees!$G$3:$G$500,""),""))*(COUNTIFS($B$3:$B$500,Employees!$A$3:$A$500,$H$3:$H$500,"Approved",$D$3:$D$500,"&lt;="&amp;E38,$E$3:$E$500,"&gt;="&amp;D38,$A$3:$A$500,"&lt;&gt;"&amp;A38)&gt;0)),0))</f>
        <v/>
      </c>
    </row>
    <row r="39">
      <c r="C39">
        <f>IFERROR(XLOOKUP(B39,Employees!$A$3:$A$500,Employees!$B$3:$B$500,""),"")</f>
        <v/>
      </c>
      <c r="I39">
        <f>IF(AND(B39&lt;&gt;"",D39&lt;&gt;"",E39&lt;&gt;""),E39-D39+1,"")</f>
        <v/>
      </c>
      <c r="J39">
        <f>IF(OR(B39="",D39="",E39=""),"",IF(OR(L39&lt;'Coverage Rules'!E7,M39&lt;'Coverage Rules'!E8,N39&lt;'Coverage Rules'!C8,O39&lt;'Coverage Rules'!E9,P39&lt;'Coverage Rules'!E10,Q39&gt;='Coverage Rules'!B16,R39&gt;='Coverage Rules'!B17,IF(S39="",FALSE,S39&gt;='Coverage Rules'!D24)),"Denied","OK"))</f>
        <v/>
      </c>
      <c r="L39">
        <f>IF(B39="","",IFERROR(SUMPRODUCT((LEN(Employees!$A$3:$A$500)&gt;0)*(Employees!$T$3:$T$500=1)*(COUNTIFS($B$3:$B$500,Employees!$A$3:$A$500,$H$3:$H$500,"Approved",$D$3:$D$500,"&lt;="&amp;E39,$E$3:$E$500,"&gt;="&amp;D39,$A$3:$A$500,"&lt;&gt;"&amp;A39)=0)),0))</f>
        <v/>
      </c>
      <c r="M39">
        <f>IF(B39="","",IFERROR(SUMPRODUCT((LEN(Employees!$A$3:$A$500)&gt;0)*(Employees!$U$3:$U$500=1)*(COUNTIFS($B$3:$B$500,Employees!$A$3:$A$500,$H$3:$H$500,"Approved",$D$3:$D$500,"&lt;="&amp;E39,$E$3:$E$500,"&gt;="&amp;D39,$A$3:$A$500,"&lt;&gt;"&amp;A39)=0)),0))</f>
        <v/>
      </c>
      <c r="N39">
        <f>IF(B39="","",IFERROR(SUMPRODUCT((LEN(Employees!$A$3:$A$500)&gt;0)*(Employees!$B$3:$B$500="Manager")*(Employees!$U$3:$U$500=1)*(COUNTIFS($B$3:$B$500,Employees!$A$3:$A$500,$H$3:$H$500,"Approved",$D$3:$D$500,"&lt;="&amp;E39,$E$3:$E$500,"&gt;="&amp;D39,$A$3:$A$500,"&lt;&gt;"&amp;A39)=0)),0))</f>
        <v/>
      </c>
      <c r="O39">
        <f>IF(B39="","",IFERROR(SUMPRODUCT((LEN(Employees!$A$3:$A$500)&gt;0)*(Employees!$V$3:$V$500=1)*(COUNTIFS($B$3:$B$500,Employees!$A$3:$A$500,$H$3:$H$500,"Approved",$D$3:$D$500,"&lt;="&amp;E39,$E$3:$E$500,"&gt;="&amp;D39,$A$3:$A$500,"&lt;&gt;"&amp;A39)=0)),0))</f>
        <v/>
      </c>
      <c r="P39">
        <f>IF(B39="","",IFERROR(SUMPRODUCT((LEN(Employees!$A$3:$A$500)&gt;0)*(Employees!$W$3:$W$500=1)*(COUNTIFS($B$3:$B$500,Employees!$A$3:$A$500,$H$3:$H$500,"Approved",$D$3:$D$500,"&lt;="&amp;E39,$E$3:$E$500,"&gt;="&amp;D39,$A$3:$A$500,"&lt;&gt;"&amp;A39)=0)),0))</f>
        <v/>
      </c>
      <c r="Q39">
        <f>IF(B39="","",IFERROR(SUMPRODUCT((LEN(Employees!$A$3:$A$500)&gt;0)*(Employees!$N$3:$N$500=1)*(COUNTIFS($B$3:$B$500,Employees!$A$3:$A$500,$H$3:$H$500,"Approved",$D$3:$D$500,"&lt;="&amp;E39,$E$3:$E$500,"&gt;="&amp;D39,$A$3:$A$500,"&lt;&gt;"&amp;A39)&gt;0)),0))</f>
        <v/>
      </c>
      <c r="R39">
        <f>IF(B39="","",IFERROR(SUMPRODUCT((LEN(Employees!$A$3:$A$500)&gt;0)*(Employees!$O$3:$O$500=1)*(COUNTIFS($B$3:$B$500,Employees!$A$3:$A$500,$H$3:$H$500,"Approved",$D$3:$D$500,"&lt;="&amp;E39,$E$3:$E$500,"&gt;="&amp;D39,$A$3:$A$500,"&lt;&gt;"&amp;A39)&gt;0)),0))</f>
        <v/>
      </c>
      <c r="S39">
        <f>IF(OR(B39="",IFERROR(XLOOKUP(B39,Employees!$A$3:$A$500,Employees!$G$3:$G$500,""),"")=""),"",IFERROR(SUMPRODUCT((LEN(Employees!$A$3:$A$500)&gt;0)*(Employees!$G$3:$G$500=IFERROR(XLOOKUP(B39,Employees!$A$3:$A$500,Employees!$G$3:$G$500,""),""))*(COUNTIFS($B$3:$B$500,Employees!$A$3:$A$500,$H$3:$H$500,"Approved",$D$3:$D$500,"&lt;="&amp;E39,$E$3:$E$500,"&gt;="&amp;D39,$A$3:$A$500,"&lt;&gt;"&amp;A39)&gt;0)),0))</f>
        <v/>
      </c>
    </row>
    <row r="40">
      <c r="C40">
        <f>IFERROR(XLOOKUP(B40,Employees!$A$3:$A$500,Employees!$B$3:$B$500,""),"")</f>
        <v/>
      </c>
      <c r="I40">
        <f>IF(AND(B40&lt;&gt;"",D40&lt;&gt;"",E40&lt;&gt;""),E40-D40+1,"")</f>
        <v/>
      </c>
      <c r="J40">
        <f>IF(OR(B40="",D40="",E40=""),"",IF(OR(L40&lt;'Coverage Rules'!E7,M40&lt;'Coverage Rules'!E8,N40&lt;'Coverage Rules'!C8,O40&lt;'Coverage Rules'!E9,P40&lt;'Coverage Rules'!E10,Q40&gt;='Coverage Rules'!B16,R40&gt;='Coverage Rules'!B17,IF(S40="",FALSE,S40&gt;='Coverage Rules'!D24)),"Denied","OK"))</f>
        <v/>
      </c>
      <c r="L40">
        <f>IF(B40="","",IFERROR(SUMPRODUCT((LEN(Employees!$A$3:$A$500)&gt;0)*(Employees!$T$3:$T$500=1)*(COUNTIFS($B$3:$B$500,Employees!$A$3:$A$500,$H$3:$H$500,"Approved",$D$3:$D$500,"&lt;="&amp;E40,$E$3:$E$500,"&gt;="&amp;D40,$A$3:$A$500,"&lt;&gt;"&amp;A40)=0)),0))</f>
        <v/>
      </c>
      <c r="M40">
        <f>IF(B40="","",IFERROR(SUMPRODUCT((LEN(Employees!$A$3:$A$500)&gt;0)*(Employees!$U$3:$U$500=1)*(COUNTIFS($B$3:$B$500,Employees!$A$3:$A$500,$H$3:$H$500,"Approved",$D$3:$D$500,"&lt;="&amp;E40,$E$3:$E$500,"&gt;="&amp;D40,$A$3:$A$500,"&lt;&gt;"&amp;A40)=0)),0))</f>
        <v/>
      </c>
      <c r="N40">
        <f>IF(B40="","",IFERROR(SUMPRODUCT((LEN(Employees!$A$3:$A$500)&gt;0)*(Employees!$B$3:$B$500="Manager")*(Employees!$U$3:$U$500=1)*(COUNTIFS($B$3:$B$500,Employees!$A$3:$A$500,$H$3:$H$500,"Approved",$D$3:$D$500,"&lt;="&amp;E40,$E$3:$E$500,"&gt;="&amp;D40,$A$3:$A$500,"&lt;&gt;"&amp;A40)=0)),0))</f>
        <v/>
      </c>
      <c r="O40">
        <f>IF(B40="","",IFERROR(SUMPRODUCT((LEN(Employees!$A$3:$A$500)&gt;0)*(Employees!$V$3:$V$500=1)*(COUNTIFS($B$3:$B$500,Employees!$A$3:$A$500,$H$3:$H$500,"Approved",$D$3:$D$500,"&lt;="&amp;E40,$E$3:$E$500,"&gt;="&amp;D40,$A$3:$A$500,"&lt;&gt;"&amp;A40)=0)),0))</f>
        <v/>
      </c>
      <c r="P40">
        <f>IF(B40="","",IFERROR(SUMPRODUCT((LEN(Employees!$A$3:$A$500)&gt;0)*(Employees!$W$3:$W$500=1)*(COUNTIFS($B$3:$B$500,Employees!$A$3:$A$500,$H$3:$H$500,"Approved",$D$3:$D$500,"&lt;="&amp;E40,$E$3:$E$500,"&gt;="&amp;D40,$A$3:$A$500,"&lt;&gt;"&amp;A40)=0)),0))</f>
        <v/>
      </c>
      <c r="Q40">
        <f>IF(B40="","",IFERROR(SUMPRODUCT((LEN(Employees!$A$3:$A$500)&gt;0)*(Employees!$N$3:$N$500=1)*(COUNTIFS($B$3:$B$500,Employees!$A$3:$A$500,$H$3:$H$500,"Approved",$D$3:$D$500,"&lt;="&amp;E40,$E$3:$E$500,"&gt;="&amp;D40,$A$3:$A$500,"&lt;&gt;"&amp;A40)&gt;0)),0))</f>
        <v/>
      </c>
      <c r="R40">
        <f>IF(B40="","",IFERROR(SUMPRODUCT((LEN(Employees!$A$3:$A$500)&gt;0)*(Employees!$O$3:$O$500=1)*(COUNTIFS($B$3:$B$500,Employees!$A$3:$A$500,$H$3:$H$500,"Approved",$D$3:$D$500,"&lt;="&amp;E40,$E$3:$E$500,"&gt;="&amp;D40,$A$3:$A$500,"&lt;&gt;"&amp;A40)&gt;0)),0))</f>
        <v/>
      </c>
      <c r="S40">
        <f>IF(OR(B40="",IFERROR(XLOOKUP(B40,Employees!$A$3:$A$500,Employees!$G$3:$G$500,""),"")=""),"",IFERROR(SUMPRODUCT((LEN(Employees!$A$3:$A$500)&gt;0)*(Employees!$G$3:$G$500=IFERROR(XLOOKUP(B40,Employees!$A$3:$A$500,Employees!$G$3:$G$500,""),""))*(COUNTIFS($B$3:$B$500,Employees!$A$3:$A$500,$H$3:$H$500,"Approved",$D$3:$D$500,"&lt;="&amp;E40,$E$3:$E$500,"&gt;="&amp;D40,$A$3:$A$500,"&lt;&gt;"&amp;A40)&gt;0)),0))</f>
        <v/>
      </c>
    </row>
    <row r="41">
      <c r="C41">
        <f>IFERROR(XLOOKUP(B41,Employees!$A$3:$A$500,Employees!$B$3:$B$500,""),"")</f>
        <v/>
      </c>
      <c r="I41">
        <f>IF(AND(B41&lt;&gt;"",D41&lt;&gt;"",E41&lt;&gt;""),E41-D41+1,"")</f>
        <v/>
      </c>
      <c r="J41">
        <f>IF(OR(B41="",D41="",E41=""),"",IF(OR(L41&lt;'Coverage Rules'!E7,M41&lt;'Coverage Rules'!E8,N41&lt;'Coverage Rules'!C8,O41&lt;'Coverage Rules'!E9,P41&lt;'Coverage Rules'!E10,Q41&gt;='Coverage Rules'!B16,R41&gt;='Coverage Rules'!B17,IF(S41="",FALSE,S41&gt;='Coverage Rules'!D24)),"Denied","OK"))</f>
        <v/>
      </c>
      <c r="L41">
        <f>IF(B41="","",IFERROR(SUMPRODUCT((LEN(Employees!$A$3:$A$500)&gt;0)*(Employees!$T$3:$T$500=1)*(COUNTIFS($B$3:$B$500,Employees!$A$3:$A$500,$H$3:$H$500,"Approved",$D$3:$D$500,"&lt;="&amp;E41,$E$3:$E$500,"&gt;="&amp;D41,$A$3:$A$500,"&lt;&gt;"&amp;A41)=0)),0))</f>
        <v/>
      </c>
      <c r="M41">
        <f>IF(B41="","",IFERROR(SUMPRODUCT((LEN(Employees!$A$3:$A$500)&gt;0)*(Employees!$U$3:$U$500=1)*(COUNTIFS($B$3:$B$500,Employees!$A$3:$A$500,$H$3:$H$500,"Approved",$D$3:$D$500,"&lt;="&amp;E41,$E$3:$E$500,"&gt;="&amp;D41,$A$3:$A$500,"&lt;&gt;"&amp;A41)=0)),0))</f>
        <v/>
      </c>
      <c r="N41">
        <f>IF(B41="","",IFERROR(SUMPRODUCT((LEN(Employees!$A$3:$A$500)&gt;0)*(Employees!$B$3:$B$500="Manager")*(Employees!$U$3:$U$500=1)*(COUNTIFS($B$3:$B$500,Employees!$A$3:$A$500,$H$3:$H$500,"Approved",$D$3:$D$500,"&lt;="&amp;E41,$E$3:$E$500,"&gt;="&amp;D41,$A$3:$A$500,"&lt;&gt;"&amp;A41)=0)),0))</f>
        <v/>
      </c>
      <c r="O41">
        <f>IF(B41="","",IFERROR(SUMPRODUCT((LEN(Employees!$A$3:$A$500)&gt;0)*(Employees!$V$3:$V$500=1)*(COUNTIFS($B$3:$B$500,Employees!$A$3:$A$500,$H$3:$H$500,"Approved",$D$3:$D$500,"&lt;="&amp;E41,$E$3:$E$500,"&gt;="&amp;D41,$A$3:$A$500,"&lt;&gt;"&amp;A41)=0)),0))</f>
        <v/>
      </c>
      <c r="P41">
        <f>IF(B41="","",IFERROR(SUMPRODUCT((LEN(Employees!$A$3:$A$500)&gt;0)*(Employees!$W$3:$W$500=1)*(COUNTIFS($B$3:$B$500,Employees!$A$3:$A$500,$H$3:$H$500,"Approved",$D$3:$D$500,"&lt;="&amp;E41,$E$3:$E$500,"&gt;="&amp;D41,$A$3:$A$500,"&lt;&gt;"&amp;A41)=0)),0))</f>
        <v/>
      </c>
      <c r="Q41">
        <f>IF(B41="","",IFERROR(SUMPRODUCT((LEN(Employees!$A$3:$A$500)&gt;0)*(Employees!$N$3:$N$500=1)*(COUNTIFS($B$3:$B$500,Employees!$A$3:$A$500,$H$3:$H$500,"Approved",$D$3:$D$500,"&lt;="&amp;E41,$E$3:$E$500,"&gt;="&amp;D41,$A$3:$A$500,"&lt;&gt;"&amp;A41)&gt;0)),0))</f>
        <v/>
      </c>
      <c r="R41">
        <f>IF(B41="","",IFERROR(SUMPRODUCT((LEN(Employees!$A$3:$A$500)&gt;0)*(Employees!$O$3:$O$500=1)*(COUNTIFS($B$3:$B$500,Employees!$A$3:$A$500,$H$3:$H$500,"Approved",$D$3:$D$500,"&lt;="&amp;E41,$E$3:$E$500,"&gt;="&amp;D41,$A$3:$A$500,"&lt;&gt;"&amp;A41)&gt;0)),0))</f>
        <v/>
      </c>
      <c r="S41">
        <f>IF(OR(B41="",IFERROR(XLOOKUP(B41,Employees!$A$3:$A$500,Employees!$G$3:$G$500,""),"")=""),"",IFERROR(SUMPRODUCT((LEN(Employees!$A$3:$A$500)&gt;0)*(Employees!$G$3:$G$500=IFERROR(XLOOKUP(B41,Employees!$A$3:$A$500,Employees!$G$3:$G$500,""),""))*(COUNTIFS($B$3:$B$500,Employees!$A$3:$A$500,$H$3:$H$500,"Approved",$D$3:$D$500,"&lt;="&amp;E41,$E$3:$E$500,"&gt;="&amp;D41,$A$3:$A$500,"&lt;&gt;"&amp;A41)&gt;0)),0))</f>
        <v/>
      </c>
    </row>
    <row r="42">
      <c r="C42">
        <f>IFERROR(XLOOKUP(B42,Employees!$A$3:$A$500,Employees!$B$3:$B$500,""),"")</f>
        <v/>
      </c>
      <c r="I42">
        <f>IF(AND(B42&lt;&gt;"",D42&lt;&gt;"",E42&lt;&gt;""),E42-D42+1,"")</f>
        <v/>
      </c>
      <c r="J42">
        <f>IF(OR(B42="",D42="",E42=""),"",IF(OR(L42&lt;'Coverage Rules'!E7,M42&lt;'Coverage Rules'!E8,N42&lt;'Coverage Rules'!C8,O42&lt;'Coverage Rules'!E9,P42&lt;'Coverage Rules'!E10,Q42&gt;='Coverage Rules'!B16,R42&gt;='Coverage Rules'!B17,IF(S42="",FALSE,S42&gt;='Coverage Rules'!D24)),"Denied","OK"))</f>
        <v/>
      </c>
      <c r="L42">
        <f>IF(B42="","",IFERROR(SUMPRODUCT((LEN(Employees!$A$3:$A$500)&gt;0)*(Employees!$T$3:$T$500=1)*(COUNTIFS($B$3:$B$500,Employees!$A$3:$A$500,$H$3:$H$500,"Approved",$D$3:$D$500,"&lt;="&amp;E42,$E$3:$E$500,"&gt;="&amp;D42,$A$3:$A$500,"&lt;&gt;"&amp;A42)=0)),0))</f>
        <v/>
      </c>
      <c r="M42">
        <f>IF(B42="","",IFERROR(SUMPRODUCT((LEN(Employees!$A$3:$A$500)&gt;0)*(Employees!$U$3:$U$500=1)*(COUNTIFS($B$3:$B$500,Employees!$A$3:$A$500,$H$3:$H$500,"Approved",$D$3:$D$500,"&lt;="&amp;E42,$E$3:$E$500,"&gt;="&amp;D42,$A$3:$A$500,"&lt;&gt;"&amp;A42)=0)),0))</f>
        <v/>
      </c>
      <c r="N42">
        <f>IF(B42="","",IFERROR(SUMPRODUCT((LEN(Employees!$A$3:$A$500)&gt;0)*(Employees!$B$3:$B$500="Manager")*(Employees!$U$3:$U$500=1)*(COUNTIFS($B$3:$B$500,Employees!$A$3:$A$500,$H$3:$H$500,"Approved",$D$3:$D$500,"&lt;="&amp;E42,$E$3:$E$500,"&gt;="&amp;D42,$A$3:$A$500,"&lt;&gt;"&amp;A42)=0)),0))</f>
        <v/>
      </c>
      <c r="O42">
        <f>IF(B42="","",IFERROR(SUMPRODUCT((LEN(Employees!$A$3:$A$500)&gt;0)*(Employees!$V$3:$V$500=1)*(COUNTIFS($B$3:$B$500,Employees!$A$3:$A$500,$H$3:$H$500,"Approved",$D$3:$D$500,"&lt;="&amp;E42,$E$3:$E$500,"&gt;="&amp;D42,$A$3:$A$500,"&lt;&gt;"&amp;A42)=0)),0))</f>
        <v/>
      </c>
      <c r="P42">
        <f>IF(B42="","",IFERROR(SUMPRODUCT((LEN(Employees!$A$3:$A$500)&gt;0)*(Employees!$W$3:$W$500=1)*(COUNTIFS($B$3:$B$500,Employees!$A$3:$A$500,$H$3:$H$500,"Approved",$D$3:$D$500,"&lt;="&amp;E42,$E$3:$E$500,"&gt;="&amp;D42,$A$3:$A$500,"&lt;&gt;"&amp;A42)=0)),0))</f>
        <v/>
      </c>
      <c r="Q42">
        <f>IF(B42="","",IFERROR(SUMPRODUCT((LEN(Employees!$A$3:$A$500)&gt;0)*(Employees!$N$3:$N$500=1)*(COUNTIFS($B$3:$B$500,Employees!$A$3:$A$500,$H$3:$H$500,"Approved",$D$3:$D$500,"&lt;="&amp;E42,$E$3:$E$500,"&gt;="&amp;D42,$A$3:$A$500,"&lt;&gt;"&amp;A42)&gt;0)),0))</f>
        <v/>
      </c>
      <c r="R42">
        <f>IF(B42="","",IFERROR(SUMPRODUCT((LEN(Employees!$A$3:$A$500)&gt;0)*(Employees!$O$3:$O$500=1)*(COUNTIFS($B$3:$B$500,Employees!$A$3:$A$500,$H$3:$H$500,"Approved",$D$3:$D$500,"&lt;="&amp;E42,$E$3:$E$500,"&gt;="&amp;D42,$A$3:$A$500,"&lt;&gt;"&amp;A42)&gt;0)),0))</f>
        <v/>
      </c>
      <c r="S42">
        <f>IF(OR(B42="",IFERROR(XLOOKUP(B42,Employees!$A$3:$A$500,Employees!$G$3:$G$500,""),"")=""),"",IFERROR(SUMPRODUCT((LEN(Employees!$A$3:$A$500)&gt;0)*(Employees!$G$3:$G$500=IFERROR(XLOOKUP(B42,Employees!$A$3:$A$500,Employees!$G$3:$G$500,""),""))*(COUNTIFS($B$3:$B$500,Employees!$A$3:$A$500,$H$3:$H$500,"Approved",$D$3:$D$500,"&lt;="&amp;E42,$E$3:$E$500,"&gt;="&amp;D42,$A$3:$A$500,"&lt;&gt;"&amp;A42)&gt;0)),0))</f>
        <v/>
      </c>
    </row>
    <row r="43">
      <c r="C43">
        <f>IFERROR(XLOOKUP(B43,Employees!$A$3:$A$500,Employees!$B$3:$B$500,""),"")</f>
        <v/>
      </c>
      <c r="I43">
        <f>IF(AND(B43&lt;&gt;"",D43&lt;&gt;"",E43&lt;&gt;""),E43-D43+1,"")</f>
        <v/>
      </c>
      <c r="J43">
        <f>IF(OR(B43="",D43="",E43=""),"",IF(OR(L43&lt;'Coverage Rules'!E7,M43&lt;'Coverage Rules'!E8,N43&lt;'Coverage Rules'!C8,O43&lt;'Coverage Rules'!E9,P43&lt;'Coverage Rules'!E10,Q43&gt;='Coverage Rules'!B16,R43&gt;='Coverage Rules'!B17,IF(S43="",FALSE,S43&gt;='Coverage Rules'!D24)),"Denied","OK"))</f>
        <v/>
      </c>
      <c r="L43">
        <f>IF(B43="","",IFERROR(SUMPRODUCT((LEN(Employees!$A$3:$A$500)&gt;0)*(Employees!$T$3:$T$500=1)*(COUNTIFS($B$3:$B$500,Employees!$A$3:$A$500,$H$3:$H$500,"Approved",$D$3:$D$500,"&lt;="&amp;E43,$E$3:$E$500,"&gt;="&amp;D43,$A$3:$A$500,"&lt;&gt;"&amp;A43)=0)),0))</f>
        <v/>
      </c>
      <c r="M43">
        <f>IF(B43="","",IFERROR(SUMPRODUCT((LEN(Employees!$A$3:$A$500)&gt;0)*(Employees!$U$3:$U$500=1)*(COUNTIFS($B$3:$B$500,Employees!$A$3:$A$500,$H$3:$H$500,"Approved",$D$3:$D$500,"&lt;="&amp;E43,$E$3:$E$500,"&gt;="&amp;D43,$A$3:$A$500,"&lt;&gt;"&amp;A43)=0)),0))</f>
        <v/>
      </c>
      <c r="N43">
        <f>IF(B43="","",IFERROR(SUMPRODUCT((LEN(Employees!$A$3:$A$500)&gt;0)*(Employees!$B$3:$B$500="Manager")*(Employees!$U$3:$U$500=1)*(COUNTIFS($B$3:$B$500,Employees!$A$3:$A$500,$H$3:$H$500,"Approved",$D$3:$D$500,"&lt;="&amp;E43,$E$3:$E$500,"&gt;="&amp;D43,$A$3:$A$500,"&lt;&gt;"&amp;A43)=0)),0))</f>
        <v/>
      </c>
      <c r="O43">
        <f>IF(B43="","",IFERROR(SUMPRODUCT((LEN(Employees!$A$3:$A$500)&gt;0)*(Employees!$V$3:$V$500=1)*(COUNTIFS($B$3:$B$500,Employees!$A$3:$A$500,$H$3:$H$500,"Approved",$D$3:$D$500,"&lt;="&amp;E43,$E$3:$E$500,"&gt;="&amp;D43,$A$3:$A$500,"&lt;&gt;"&amp;A43)=0)),0))</f>
        <v/>
      </c>
      <c r="P43">
        <f>IF(B43="","",IFERROR(SUMPRODUCT((LEN(Employees!$A$3:$A$500)&gt;0)*(Employees!$W$3:$W$500=1)*(COUNTIFS($B$3:$B$500,Employees!$A$3:$A$500,$H$3:$H$500,"Approved",$D$3:$D$500,"&lt;="&amp;E43,$E$3:$E$500,"&gt;="&amp;D43,$A$3:$A$500,"&lt;&gt;"&amp;A43)=0)),0))</f>
        <v/>
      </c>
      <c r="Q43">
        <f>IF(B43="","",IFERROR(SUMPRODUCT((LEN(Employees!$A$3:$A$500)&gt;0)*(Employees!$N$3:$N$500=1)*(COUNTIFS($B$3:$B$500,Employees!$A$3:$A$500,$H$3:$H$500,"Approved",$D$3:$D$500,"&lt;="&amp;E43,$E$3:$E$500,"&gt;="&amp;D43,$A$3:$A$500,"&lt;&gt;"&amp;A43)&gt;0)),0))</f>
        <v/>
      </c>
      <c r="R43">
        <f>IF(B43="","",IFERROR(SUMPRODUCT((LEN(Employees!$A$3:$A$500)&gt;0)*(Employees!$O$3:$O$500=1)*(COUNTIFS($B$3:$B$500,Employees!$A$3:$A$500,$H$3:$H$500,"Approved",$D$3:$D$500,"&lt;="&amp;E43,$E$3:$E$500,"&gt;="&amp;D43,$A$3:$A$500,"&lt;&gt;"&amp;A43)&gt;0)),0))</f>
        <v/>
      </c>
      <c r="S43">
        <f>IF(OR(B43="",IFERROR(XLOOKUP(B43,Employees!$A$3:$A$500,Employees!$G$3:$G$500,""),"")=""),"",IFERROR(SUMPRODUCT((LEN(Employees!$A$3:$A$500)&gt;0)*(Employees!$G$3:$G$500=IFERROR(XLOOKUP(B43,Employees!$A$3:$A$500,Employees!$G$3:$G$500,""),""))*(COUNTIFS($B$3:$B$500,Employees!$A$3:$A$500,$H$3:$H$500,"Approved",$D$3:$D$500,"&lt;="&amp;E43,$E$3:$E$500,"&gt;="&amp;D43,$A$3:$A$500,"&lt;&gt;"&amp;A43)&gt;0)),0))</f>
        <v/>
      </c>
    </row>
    <row r="44">
      <c r="C44">
        <f>IFERROR(XLOOKUP(B44,Employees!$A$3:$A$500,Employees!$B$3:$B$500,""),"")</f>
        <v/>
      </c>
      <c r="I44">
        <f>IF(AND(B44&lt;&gt;"",D44&lt;&gt;"",E44&lt;&gt;""),E44-D44+1,"")</f>
        <v/>
      </c>
      <c r="J44">
        <f>IF(OR(B44="",D44="",E44=""),"",IF(OR(L44&lt;'Coverage Rules'!E7,M44&lt;'Coverage Rules'!E8,N44&lt;'Coverage Rules'!C8,O44&lt;'Coverage Rules'!E9,P44&lt;'Coverage Rules'!E10,Q44&gt;='Coverage Rules'!B16,R44&gt;='Coverage Rules'!B17,IF(S44="",FALSE,S44&gt;='Coverage Rules'!D24)),"Denied","OK"))</f>
        <v/>
      </c>
      <c r="L44">
        <f>IF(B44="","",IFERROR(SUMPRODUCT((LEN(Employees!$A$3:$A$500)&gt;0)*(Employees!$T$3:$T$500=1)*(COUNTIFS($B$3:$B$500,Employees!$A$3:$A$500,$H$3:$H$500,"Approved",$D$3:$D$500,"&lt;="&amp;E44,$E$3:$E$500,"&gt;="&amp;D44,$A$3:$A$500,"&lt;&gt;"&amp;A44)=0)),0))</f>
        <v/>
      </c>
      <c r="M44">
        <f>IF(B44="","",IFERROR(SUMPRODUCT((LEN(Employees!$A$3:$A$500)&gt;0)*(Employees!$U$3:$U$500=1)*(COUNTIFS($B$3:$B$500,Employees!$A$3:$A$500,$H$3:$H$500,"Approved",$D$3:$D$500,"&lt;="&amp;E44,$E$3:$E$500,"&gt;="&amp;D44,$A$3:$A$500,"&lt;&gt;"&amp;A44)=0)),0))</f>
        <v/>
      </c>
      <c r="N44">
        <f>IF(B44="","",IFERROR(SUMPRODUCT((LEN(Employees!$A$3:$A$500)&gt;0)*(Employees!$B$3:$B$500="Manager")*(Employees!$U$3:$U$500=1)*(COUNTIFS($B$3:$B$500,Employees!$A$3:$A$500,$H$3:$H$500,"Approved",$D$3:$D$500,"&lt;="&amp;E44,$E$3:$E$500,"&gt;="&amp;D44,$A$3:$A$500,"&lt;&gt;"&amp;A44)=0)),0))</f>
        <v/>
      </c>
      <c r="O44">
        <f>IF(B44="","",IFERROR(SUMPRODUCT((LEN(Employees!$A$3:$A$500)&gt;0)*(Employees!$V$3:$V$500=1)*(COUNTIFS($B$3:$B$500,Employees!$A$3:$A$500,$H$3:$H$500,"Approved",$D$3:$D$500,"&lt;="&amp;E44,$E$3:$E$500,"&gt;="&amp;D44,$A$3:$A$500,"&lt;&gt;"&amp;A44)=0)),0))</f>
        <v/>
      </c>
      <c r="P44">
        <f>IF(B44="","",IFERROR(SUMPRODUCT((LEN(Employees!$A$3:$A$500)&gt;0)*(Employees!$W$3:$W$500=1)*(COUNTIFS($B$3:$B$500,Employees!$A$3:$A$500,$H$3:$H$500,"Approved",$D$3:$D$500,"&lt;="&amp;E44,$E$3:$E$500,"&gt;="&amp;D44,$A$3:$A$500,"&lt;&gt;"&amp;A44)=0)),0))</f>
        <v/>
      </c>
      <c r="Q44">
        <f>IF(B44="","",IFERROR(SUMPRODUCT((LEN(Employees!$A$3:$A$500)&gt;0)*(Employees!$N$3:$N$500=1)*(COUNTIFS($B$3:$B$500,Employees!$A$3:$A$500,$H$3:$H$500,"Approved",$D$3:$D$500,"&lt;="&amp;E44,$E$3:$E$500,"&gt;="&amp;D44,$A$3:$A$500,"&lt;&gt;"&amp;A44)&gt;0)),0))</f>
        <v/>
      </c>
      <c r="R44">
        <f>IF(B44="","",IFERROR(SUMPRODUCT((LEN(Employees!$A$3:$A$500)&gt;0)*(Employees!$O$3:$O$500=1)*(COUNTIFS($B$3:$B$500,Employees!$A$3:$A$500,$H$3:$H$500,"Approved",$D$3:$D$500,"&lt;="&amp;E44,$E$3:$E$500,"&gt;="&amp;D44,$A$3:$A$500,"&lt;&gt;"&amp;A44)&gt;0)),0))</f>
        <v/>
      </c>
      <c r="S44">
        <f>IF(OR(B44="",IFERROR(XLOOKUP(B44,Employees!$A$3:$A$500,Employees!$G$3:$G$500,""),"")=""),"",IFERROR(SUMPRODUCT((LEN(Employees!$A$3:$A$500)&gt;0)*(Employees!$G$3:$G$500=IFERROR(XLOOKUP(B44,Employees!$A$3:$A$500,Employees!$G$3:$G$500,""),""))*(COUNTIFS($B$3:$B$500,Employees!$A$3:$A$500,$H$3:$H$500,"Approved",$D$3:$D$500,"&lt;="&amp;E44,$E$3:$E$500,"&gt;="&amp;D44,$A$3:$A$500,"&lt;&gt;"&amp;A44)&gt;0)),0))</f>
        <v/>
      </c>
    </row>
    <row r="45">
      <c r="C45">
        <f>IFERROR(XLOOKUP(B45,Employees!$A$3:$A$500,Employees!$B$3:$B$500,""),"")</f>
        <v/>
      </c>
      <c r="I45">
        <f>IF(AND(B45&lt;&gt;"",D45&lt;&gt;"",E45&lt;&gt;""),E45-D45+1,"")</f>
        <v/>
      </c>
      <c r="J45">
        <f>IF(OR(B45="",D45="",E45=""),"",IF(OR(L45&lt;'Coverage Rules'!E7,M45&lt;'Coverage Rules'!E8,N45&lt;'Coverage Rules'!C8,O45&lt;'Coverage Rules'!E9,P45&lt;'Coverage Rules'!E10,Q45&gt;='Coverage Rules'!B16,R45&gt;='Coverage Rules'!B17,IF(S45="",FALSE,S45&gt;='Coverage Rules'!D24)),"Denied","OK"))</f>
        <v/>
      </c>
      <c r="L45">
        <f>IF(B45="","",IFERROR(SUMPRODUCT((LEN(Employees!$A$3:$A$500)&gt;0)*(Employees!$T$3:$T$500=1)*(COUNTIFS($B$3:$B$500,Employees!$A$3:$A$500,$H$3:$H$500,"Approved",$D$3:$D$500,"&lt;="&amp;E45,$E$3:$E$500,"&gt;="&amp;D45,$A$3:$A$500,"&lt;&gt;"&amp;A45)=0)),0))</f>
        <v/>
      </c>
      <c r="M45">
        <f>IF(B45="","",IFERROR(SUMPRODUCT((LEN(Employees!$A$3:$A$500)&gt;0)*(Employees!$U$3:$U$500=1)*(COUNTIFS($B$3:$B$500,Employees!$A$3:$A$500,$H$3:$H$500,"Approved",$D$3:$D$500,"&lt;="&amp;E45,$E$3:$E$500,"&gt;="&amp;D45,$A$3:$A$500,"&lt;&gt;"&amp;A45)=0)),0))</f>
        <v/>
      </c>
      <c r="N45">
        <f>IF(B45="","",IFERROR(SUMPRODUCT((LEN(Employees!$A$3:$A$500)&gt;0)*(Employees!$B$3:$B$500="Manager")*(Employees!$U$3:$U$500=1)*(COUNTIFS($B$3:$B$500,Employees!$A$3:$A$500,$H$3:$H$500,"Approved",$D$3:$D$500,"&lt;="&amp;E45,$E$3:$E$500,"&gt;="&amp;D45,$A$3:$A$500,"&lt;&gt;"&amp;A45)=0)),0))</f>
        <v/>
      </c>
      <c r="O45">
        <f>IF(B45="","",IFERROR(SUMPRODUCT((LEN(Employees!$A$3:$A$500)&gt;0)*(Employees!$V$3:$V$500=1)*(COUNTIFS($B$3:$B$500,Employees!$A$3:$A$500,$H$3:$H$500,"Approved",$D$3:$D$500,"&lt;="&amp;E45,$E$3:$E$500,"&gt;="&amp;D45,$A$3:$A$500,"&lt;&gt;"&amp;A45)=0)),0))</f>
        <v/>
      </c>
      <c r="P45">
        <f>IF(B45="","",IFERROR(SUMPRODUCT((LEN(Employees!$A$3:$A$500)&gt;0)*(Employees!$W$3:$W$500=1)*(COUNTIFS($B$3:$B$500,Employees!$A$3:$A$500,$H$3:$H$500,"Approved",$D$3:$D$500,"&lt;="&amp;E45,$E$3:$E$500,"&gt;="&amp;D45,$A$3:$A$500,"&lt;&gt;"&amp;A45)=0)),0))</f>
        <v/>
      </c>
      <c r="Q45">
        <f>IF(B45="","",IFERROR(SUMPRODUCT((LEN(Employees!$A$3:$A$500)&gt;0)*(Employees!$N$3:$N$500=1)*(COUNTIFS($B$3:$B$500,Employees!$A$3:$A$500,$H$3:$H$500,"Approved",$D$3:$D$500,"&lt;="&amp;E45,$E$3:$E$500,"&gt;="&amp;D45,$A$3:$A$500,"&lt;&gt;"&amp;A45)&gt;0)),0))</f>
        <v/>
      </c>
      <c r="R45">
        <f>IF(B45="","",IFERROR(SUMPRODUCT((LEN(Employees!$A$3:$A$500)&gt;0)*(Employees!$O$3:$O$500=1)*(COUNTIFS($B$3:$B$500,Employees!$A$3:$A$500,$H$3:$H$500,"Approved",$D$3:$D$500,"&lt;="&amp;E45,$E$3:$E$500,"&gt;="&amp;D45,$A$3:$A$500,"&lt;&gt;"&amp;A45)&gt;0)),0))</f>
        <v/>
      </c>
      <c r="S45">
        <f>IF(OR(B45="",IFERROR(XLOOKUP(B45,Employees!$A$3:$A$500,Employees!$G$3:$G$500,""),"")=""),"",IFERROR(SUMPRODUCT((LEN(Employees!$A$3:$A$500)&gt;0)*(Employees!$G$3:$G$500=IFERROR(XLOOKUP(B45,Employees!$A$3:$A$500,Employees!$G$3:$G$500,""),""))*(COUNTIFS($B$3:$B$500,Employees!$A$3:$A$500,$H$3:$H$500,"Approved",$D$3:$D$500,"&lt;="&amp;E45,$E$3:$E$500,"&gt;="&amp;D45,$A$3:$A$500,"&lt;&gt;"&amp;A45)&gt;0)),0))</f>
        <v/>
      </c>
    </row>
    <row r="46">
      <c r="C46">
        <f>IFERROR(XLOOKUP(B46,Employees!$A$3:$A$500,Employees!$B$3:$B$500,""),"")</f>
        <v/>
      </c>
      <c r="I46">
        <f>IF(AND(B46&lt;&gt;"",D46&lt;&gt;"",E46&lt;&gt;""),E46-D46+1,"")</f>
        <v/>
      </c>
      <c r="J46">
        <f>IF(OR(B46="",D46="",E46=""),"",IF(OR(L46&lt;'Coverage Rules'!E7,M46&lt;'Coverage Rules'!E8,N46&lt;'Coverage Rules'!C8,O46&lt;'Coverage Rules'!E9,P46&lt;'Coverage Rules'!E10,Q46&gt;='Coverage Rules'!B16,R46&gt;='Coverage Rules'!B17,IF(S46="",FALSE,S46&gt;='Coverage Rules'!D24)),"Denied","OK"))</f>
        <v/>
      </c>
      <c r="L46">
        <f>IF(B46="","",IFERROR(SUMPRODUCT((LEN(Employees!$A$3:$A$500)&gt;0)*(Employees!$T$3:$T$500=1)*(COUNTIFS($B$3:$B$500,Employees!$A$3:$A$500,$H$3:$H$500,"Approved",$D$3:$D$500,"&lt;="&amp;E46,$E$3:$E$500,"&gt;="&amp;D46,$A$3:$A$500,"&lt;&gt;"&amp;A46)=0)),0))</f>
        <v/>
      </c>
      <c r="M46">
        <f>IF(B46="","",IFERROR(SUMPRODUCT((LEN(Employees!$A$3:$A$500)&gt;0)*(Employees!$U$3:$U$500=1)*(COUNTIFS($B$3:$B$500,Employees!$A$3:$A$500,$H$3:$H$500,"Approved",$D$3:$D$500,"&lt;="&amp;E46,$E$3:$E$500,"&gt;="&amp;D46,$A$3:$A$500,"&lt;&gt;"&amp;A46)=0)),0))</f>
        <v/>
      </c>
      <c r="N46">
        <f>IF(B46="","",IFERROR(SUMPRODUCT((LEN(Employees!$A$3:$A$500)&gt;0)*(Employees!$B$3:$B$500="Manager")*(Employees!$U$3:$U$500=1)*(COUNTIFS($B$3:$B$500,Employees!$A$3:$A$500,$H$3:$H$500,"Approved",$D$3:$D$500,"&lt;="&amp;E46,$E$3:$E$500,"&gt;="&amp;D46,$A$3:$A$500,"&lt;&gt;"&amp;A46)=0)),0))</f>
        <v/>
      </c>
      <c r="O46">
        <f>IF(B46="","",IFERROR(SUMPRODUCT((LEN(Employees!$A$3:$A$500)&gt;0)*(Employees!$V$3:$V$500=1)*(COUNTIFS($B$3:$B$500,Employees!$A$3:$A$500,$H$3:$H$500,"Approved",$D$3:$D$500,"&lt;="&amp;E46,$E$3:$E$500,"&gt;="&amp;D46,$A$3:$A$500,"&lt;&gt;"&amp;A46)=0)),0))</f>
        <v/>
      </c>
      <c r="P46">
        <f>IF(B46="","",IFERROR(SUMPRODUCT((LEN(Employees!$A$3:$A$500)&gt;0)*(Employees!$W$3:$W$500=1)*(COUNTIFS($B$3:$B$500,Employees!$A$3:$A$500,$H$3:$H$500,"Approved",$D$3:$D$500,"&lt;="&amp;E46,$E$3:$E$500,"&gt;="&amp;D46,$A$3:$A$500,"&lt;&gt;"&amp;A46)=0)),0))</f>
        <v/>
      </c>
      <c r="Q46">
        <f>IF(B46="","",IFERROR(SUMPRODUCT((LEN(Employees!$A$3:$A$500)&gt;0)*(Employees!$N$3:$N$500=1)*(COUNTIFS($B$3:$B$500,Employees!$A$3:$A$500,$H$3:$H$500,"Approved",$D$3:$D$500,"&lt;="&amp;E46,$E$3:$E$500,"&gt;="&amp;D46,$A$3:$A$500,"&lt;&gt;"&amp;A46)&gt;0)),0))</f>
        <v/>
      </c>
      <c r="R46">
        <f>IF(B46="","",IFERROR(SUMPRODUCT((LEN(Employees!$A$3:$A$500)&gt;0)*(Employees!$O$3:$O$500=1)*(COUNTIFS($B$3:$B$500,Employees!$A$3:$A$500,$H$3:$H$500,"Approved",$D$3:$D$500,"&lt;="&amp;E46,$E$3:$E$500,"&gt;="&amp;D46,$A$3:$A$500,"&lt;&gt;"&amp;A46)&gt;0)),0))</f>
        <v/>
      </c>
      <c r="S46">
        <f>IF(OR(B46="",IFERROR(XLOOKUP(B46,Employees!$A$3:$A$500,Employees!$G$3:$G$500,""),"")=""),"",IFERROR(SUMPRODUCT((LEN(Employees!$A$3:$A$500)&gt;0)*(Employees!$G$3:$G$500=IFERROR(XLOOKUP(B46,Employees!$A$3:$A$500,Employees!$G$3:$G$500,""),""))*(COUNTIFS($B$3:$B$500,Employees!$A$3:$A$500,$H$3:$H$500,"Approved",$D$3:$D$500,"&lt;="&amp;E46,$E$3:$E$500,"&gt;="&amp;D46,$A$3:$A$500,"&lt;&gt;"&amp;A46)&gt;0)),0))</f>
        <v/>
      </c>
    </row>
    <row r="47">
      <c r="C47">
        <f>IFERROR(XLOOKUP(B47,Employees!$A$3:$A$500,Employees!$B$3:$B$500,""),"")</f>
        <v/>
      </c>
      <c r="I47">
        <f>IF(AND(B47&lt;&gt;"",D47&lt;&gt;"",E47&lt;&gt;""),E47-D47+1,"")</f>
        <v/>
      </c>
      <c r="J47">
        <f>IF(OR(B47="",D47="",E47=""),"",IF(OR(L47&lt;'Coverage Rules'!E7,M47&lt;'Coverage Rules'!E8,N47&lt;'Coverage Rules'!C8,O47&lt;'Coverage Rules'!E9,P47&lt;'Coverage Rules'!E10,Q47&gt;='Coverage Rules'!B16,R47&gt;='Coverage Rules'!B17,IF(S47="",FALSE,S47&gt;='Coverage Rules'!D24)),"Denied","OK"))</f>
        <v/>
      </c>
      <c r="L47">
        <f>IF(B47="","",IFERROR(SUMPRODUCT((LEN(Employees!$A$3:$A$500)&gt;0)*(Employees!$T$3:$T$500=1)*(COUNTIFS($B$3:$B$500,Employees!$A$3:$A$500,$H$3:$H$500,"Approved",$D$3:$D$500,"&lt;="&amp;E47,$E$3:$E$500,"&gt;="&amp;D47,$A$3:$A$500,"&lt;&gt;"&amp;A47)=0)),0))</f>
        <v/>
      </c>
      <c r="M47">
        <f>IF(B47="","",IFERROR(SUMPRODUCT((LEN(Employees!$A$3:$A$500)&gt;0)*(Employees!$U$3:$U$500=1)*(COUNTIFS($B$3:$B$500,Employees!$A$3:$A$500,$H$3:$H$500,"Approved",$D$3:$D$500,"&lt;="&amp;E47,$E$3:$E$500,"&gt;="&amp;D47,$A$3:$A$500,"&lt;&gt;"&amp;A47)=0)),0))</f>
        <v/>
      </c>
      <c r="N47">
        <f>IF(B47="","",IFERROR(SUMPRODUCT((LEN(Employees!$A$3:$A$500)&gt;0)*(Employees!$B$3:$B$500="Manager")*(Employees!$U$3:$U$500=1)*(COUNTIFS($B$3:$B$500,Employees!$A$3:$A$500,$H$3:$H$500,"Approved",$D$3:$D$500,"&lt;="&amp;E47,$E$3:$E$500,"&gt;="&amp;D47,$A$3:$A$500,"&lt;&gt;"&amp;A47)=0)),0))</f>
        <v/>
      </c>
      <c r="O47">
        <f>IF(B47="","",IFERROR(SUMPRODUCT((LEN(Employees!$A$3:$A$500)&gt;0)*(Employees!$V$3:$V$500=1)*(COUNTIFS($B$3:$B$500,Employees!$A$3:$A$500,$H$3:$H$500,"Approved",$D$3:$D$500,"&lt;="&amp;E47,$E$3:$E$500,"&gt;="&amp;D47,$A$3:$A$500,"&lt;&gt;"&amp;A47)=0)),0))</f>
        <v/>
      </c>
      <c r="P47">
        <f>IF(B47="","",IFERROR(SUMPRODUCT((LEN(Employees!$A$3:$A$500)&gt;0)*(Employees!$W$3:$W$500=1)*(COUNTIFS($B$3:$B$500,Employees!$A$3:$A$500,$H$3:$H$500,"Approved",$D$3:$D$500,"&lt;="&amp;E47,$E$3:$E$500,"&gt;="&amp;D47,$A$3:$A$500,"&lt;&gt;"&amp;A47)=0)),0))</f>
        <v/>
      </c>
      <c r="Q47">
        <f>IF(B47="","",IFERROR(SUMPRODUCT((LEN(Employees!$A$3:$A$500)&gt;0)*(Employees!$N$3:$N$500=1)*(COUNTIFS($B$3:$B$500,Employees!$A$3:$A$500,$H$3:$H$500,"Approved",$D$3:$D$500,"&lt;="&amp;E47,$E$3:$E$500,"&gt;="&amp;D47,$A$3:$A$500,"&lt;&gt;"&amp;A47)&gt;0)),0))</f>
        <v/>
      </c>
      <c r="R47">
        <f>IF(B47="","",IFERROR(SUMPRODUCT((LEN(Employees!$A$3:$A$500)&gt;0)*(Employees!$O$3:$O$500=1)*(COUNTIFS($B$3:$B$500,Employees!$A$3:$A$500,$H$3:$H$500,"Approved",$D$3:$D$500,"&lt;="&amp;E47,$E$3:$E$500,"&gt;="&amp;D47,$A$3:$A$500,"&lt;&gt;"&amp;A47)&gt;0)),0))</f>
        <v/>
      </c>
      <c r="S47">
        <f>IF(OR(B47="",IFERROR(XLOOKUP(B47,Employees!$A$3:$A$500,Employees!$G$3:$G$500,""),"")=""),"",IFERROR(SUMPRODUCT((LEN(Employees!$A$3:$A$500)&gt;0)*(Employees!$G$3:$G$500=IFERROR(XLOOKUP(B47,Employees!$A$3:$A$500,Employees!$G$3:$G$500,""),""))*(COUNTIFS($B$3:$B$500,Employees!$A$3:$A$500,$H$3:$H$500,"Approved",$D$3:$D$500,"&lt;="&amp;E47,$E$3:$E$500,"&gt;="&amp;D47,$A$3:$A$500,"&lt;&gt;"&amp;A47)&gt;0)),0))</f>
        <v/>
      </c>
    </row>
    <row r="48">
      <c r="C48">
        <f>IFERROR(XLOOKUP(B48,Employees!$A$3:$A$500,Employees!$B$3:$B$500,""),"")</f>
        <v/>
      </c>
      <c r="I48">
        <f>IF(AND(B48&lt;&gt;"",D48&lt;&gt;"",E48&lt;&gt;""),E48-D48+1,"")</f>
        <v/>
      </c>
      <c r="J48">
        <f>IF(OR(B48="",D48="",E48=""),"",IF(OR(L48&lt;'Coverage Rules'!E7,M48&lt;'Coverage Rules'!E8,N48&lt;'Coverage Rules'!C8,O48&lt;'Coverage Rules'!E9,P48&lt;'Coverage Rules'!E10,Q48&gt;='Coverage Rules'!B16,R48&gt;='Coverage Rules'!B17,IF(S48="",FALSE,S48&gt;='Coverage Rules'!D24)),"Denied","OK"))</f>
        <v/>
      </c>
      <c r="L48">
        <f>IF(B48="","",IFERROR(SUMPRODUCT((LEN(Employees!$A$3:$A$500)&gt;0)*(Employees!$T$3:$T$500=1)*(COUNTIFS($B$3:$B$500,Employees!$A$3:$A$500,$H$3:$H$500,"Approved",$D$3:$D$500,"&lt;="&amp;E48,$E$3:$E$500,"&gt;="&amp;D48,$A$3:$A$500,"&lt;&gt;"&amp;A48)=0)),0))</f>
        <v/>
      </c>
      <c r="M48">
        <f>IF(B48="","",IFERROR(SUMPRODUCT((LEN(Employees!$A$3:$A$500)&gt;0)*(Employees!$U$3:$U$500=1)*(COUNTIFS($B$3:$B$500,Employees!$A$3:$A$500,$H$3:$H$500,"Approved",$D$3:$D$500,"&lt;="&amp;E48,$E$3:$E$500,"&gt;="&amp;D48,$A$3:$A$500,"&lt;&gt;"&amp;A48)=0)),0))</f>
        <v/>
      </c>
      <c r="N48">
        <f>IF(B48="","",IFERROR(SUMPRODUCT((LEN(Employees!$A$3:$A$500)&gt;0)*(Employees!$B$3:$B$500="Manager")*(Employees!$U$3:$U$500=1)*(COUNTIFS($B$3:$B$500,Employees!$A$3:$A$500,$H$3:$H$500,"Approved",$D$3:$D$500,"&lt;="&amp;E48,$E$3:$E$500,"&gt;="&amp;D48,$A$3:$A$500,"&lt;&gt;"&amp;A48)=0)),0))</f>
        <v/>
      </c>
      <c r="O48">
        <f>IF(B48="","",IFERROR(SUMPRODUCT((LEN(Employees!$A$3:$A$500)&gt;0)*(Employees!$V$3:$V$500=1)*(COUNTIFS($B$3:$B$500,Employees!$A$3:$A$500,$H$3:$H$500,"Approved",$D$3:$D$500,"&lt;="&amp;E48,$E$3:$E$500,"&gt;="&amp;D48,$A$3:$A$500,"&lt;&gt;"&amp;A48)=0)),0))</f>
        <v/>
      </c>
      <c r="P48">
        <f>IF(B48="","",IFERROR(SUMPRODUCT((LEN(Employees!$A$3:$A$500)&gt;0)*(Employees!$W$3:$W$500=1)*(COUNTIFS($B$3:$B$500,Employees!$A$3:$A$500,$H$3:$H$500,"Approved",$D$3:$D$500,"&lt;="&amp;E48,$E$3:$E$500,"&gt;="&amp;D48,$A$3:$A$500,"&lt;&gt;"&amp;A48)=0)),0))</f>
        <v/>
      </c>
      <c r="Q48">
        <f>IF(B48="","",IFERROR(SUMPRODUCT((LEN(Employees!$A$3:$A$500)&gt;0)*(Employees!$N$3:$N$500=1)*(COUNTIFS($B$3:$B$500,Employees!$A$3:$A$500,$H$3:$H$500,"Approved",$D$3:$D$500,"&lt;="&amp;E48,$E$3:$E$500,"&gt;="&amp;D48,$A$3:$A$500,"&lt;&gt;"&amp;A48)&gt;0)),0))</f>
        <v/>
      </c>
      <c r="R48">
        <f>IF(B48="","",IFERROR(SUMPRODUCT((LEN(Employees!$A$3:$A$500)&gt;0)*(Employees!$O$3:$O$500=1)*(COUNTIFS($B$3:$B$500,Employees!$A$3:$A$500,$H$3:$H$500,"Approved",$D$3:$D$500,"&lt;="&amp;E48,$E$3:$E$500,"&gt;="&amp;D48,$A$3:$A$500,"&lt;&gt;"&amp;A48)&gt;0)),0))</f>
        <v/>
      </c>
      <c r="S48">
        <f>IF(OR(B48="",IFERROR(XLOOKUP(B48,Employees!$A$3:$A$500,Employees!$G$3:$G$500,""),"")=""),"",IFERROR(SUMPRODUCT((LEN(Employees!$A$3:$A$500)&gt;0)*(Employees!$G$3:$G$500=IFERROR(XLOOKUP(B48,Employees!$A$3:$A$500,Employees!$G$3:$G$500,""),""))*(COUNTIFS($B$3:$B$500,Employees!$A$3:$A$500,$H$3:$H$500,"Approved",$D$3:$D$500,"&lt;="&amp;E48,$E$3:$E$500,"&gt;="&amp;D48,$A$3:$A$500,"&lt;&gt;"&amp;A48)&gt;0)),0))</f>
        <v/>
      </c>
    </row>
    <row r="49">
      <c r="C49">
        <f>IFERROR(XLOOKUP(B49,Employees!$A$3:$A$500,Employees!$B$3:$B$500,""),"")</f>
        <v/>
      </c>
      <c r="I49">
        <f>IF(AND(B49&lt;&gt;"",D49&lt;&gt;"",E49&lt;&gt;""),E49-D49+1,"")</f>
        <v/>
      </c>
      <c r="J49">
        <f>IF(OR(B49="",D49="",E49=""),"",IF(OR(L49&lt;'Coverage Rules'!E7,M49&lt;'Coverage Rules'!E8,N49&lt;'Coverage Rules'!C8,O49&lt;'Coverage Rules'!E9,P49&lt;'Coverage Rules'!E10,Q49&gt;='Coverage Rules'!B16,R49&gt;='Coverage Rules'!B17,IF(S49="",FALSE,S49&gt;='Coverage Rules'!D24)),"Denied","OK"))</f>
        <v/>
      </c>
      <c r="L49">
        <f>IF(B49="","",IFERROR(SUMPRODUCT((LEN(Employees!$A$3:$A$500)&gt;0)*(Employees!$T$3:$T$500=1)*(COUNTIFS($B$3:$B$500,Employees!$A$3:$A$500,$H$3:$H$500,"Approved",$D$3:$D$500,"&lt;="&amp;E49,$E$3:$E$500,"&gt;="&amp;D49,$A$3:$A$500,"&lt;&gt;"&amp;A49)=0)),0))</f>
        <v/>
      </c>
      <c r="M49">
        <f>IF(B49="","",IFERROR(SUMPRODUCT((LEN(Employees!$A$3:$A$500)&gt;0)*(Employees!$U$3:$U$500=1)*(COUNTIFS($B$3:$B$500,Employees!$A$3:$A$500,$H$3:$H$500,"Approved",$D$3:$D$500,"&lt;="&amp;E49,$E$3:$E$500,"&gt;="&amp;D49,$A$3:$A$500,"&lt;&gt;"&amp;A49)=0)),0))</f>
        <v/>
      </c>
      <c r="N49">
        <f>IF(B49="","",IFERROR(SUMPRODUCT((LEN(Employees!$A$3:$A$500)&gt;0)*(Employees!$B$3:$B$500="Manager")*(Employees!$U$3:$U$500=1)*(COUNTIFS($B$3:$B$500,Employees!$A$3:$A$500,$H$3:$H$500,"Approved",$D$3:$D$500,"&lt;="&amp;E49,$E$3:$E$500,"&gt;="&amp;D49,$A$3:$A$500,"&lt;&gt;"&amp;A49)=0)),0))</f>
        <v/>
      </c>
      <c r="O49">
        <f>IF(B49="","",IFERROR(SUMPRODUCT((LEN(Employees!$A$3:$A$500)&gt;0)*(Employees!$V$3:$V$500=1)*(COUNTIFS($B$3:$B$500,Employees!$A$3:$A$500,$H$3:$H$500,"Approved",$D$3:$D$500,"&lt;="&amp;E49,$E$3:$E$500,"&gt;="&amp;D49,$A$3:$A$500,"&lt;&gt;"&amp;A49)=0)),0))</f>
        <v/>
      </c>
      <c r="P49">
        <f>IF(B49="","",IFERROR(SUMPRODUCT((LEN(Employees!$A$3:$A$500)&gt;0)*(Employees!$W$3:$W$500=1)*(COUNTIFS($B$3:$B$500,Employees!$A$3:$A$500,$H$3:$H$500,"Approved",$D$3:$D$500,"&lt;="&amp;E49,$E$3:$E$500,"&gt;="&amp;D49,$A$3:$A$500,"&lt;&gt;"&amp;A49)=0)),0))</f>
        <v/>
      </c>
      <c r="Q49">
        <f>IF(B49="","",IFERROR(SUMPRODUCT((LEN(Employees!$A$3:$A$500)&gt;0)*(Employees!$N$3:$N$500=1)*(COUNTIFS($B$3:$B$500,Employees!$A$3:$A$500,$H$3:$H$500,"Approved",$D$3:$D$500,"&lt;="&amp;E49,$E$3:$E$500,"&gt;="&amp;D49,$A$3:$A$500,"&lt;&gt;"&amp;A49)&gt;0)),0))</f>
        <v/>
      </c>
      <c r="R49">
        <f>IF(B49="","",IFERROR(SUMPRODUCT((LEN(Employees!$A$3:$A$500)&gt;0)*(Employees!$O$3:$O$500=1)*(COUNTIFS($B$3:$B$500,Employees!$A$3:$A$500,$H$3:$H$500,"Approved",$D$3:$D$500,"&lt;="&amp;E49,$E$3:$E$500,"&gt;="&amp;D49,$A$3:$A$500,"&lt;&gt;"&amp;A49)&gt;0)),0))</f>
        <v/>
      </c>
      <c r="S49">
        <f>IF(OR(B49="",IFERROR(XLOOKUP(B49,Employees!$A$3:$A$500,Employees!$G$3:$G$500,""),"")=""),"",IFERROR(SUMPRODUCT((LEN(Employees!$A$3:$A$500)&gt;0)*(Employees!$G$3:$G$500=IFERROR(XLOOKUP(B49,Employees!$A$3:$A$500,Employees!$G$3:$G$500,""),""))*(COUNTIFS($B$3:$B$500,Employees!$A$3:$A$500,$H$3:$H$500,"Approved",$D$3:$D$500,"&lt;="&amp;E49,$E$3:$E$500,"&gt;="&amp;D49,$A$3:$A$500,"&lt;&gt;"&amp;A49)&gt;0)),0))</f>
        <v/>
      </c>
    </row>
    <row r="50">
      <c r="C50">
        <f>IFERROR(XLOOKUP(B50,Employees!$A$3:$A$500,Employees!$B$3:$B$500,""),"")</f>
        <v/>
      </c>
      <c r="I50">
        <f>IF(AND(B50&lt;&gt;"",D50&lt;&gt;"",E50&lt;&gt;""),E50-D50+1,"")</f>
        <v/>
      </c>
      <c r="J50">
        <f>IF(OR(B50="",D50="",E50=""),"",IF(OR(L50&lt;'Coverage Rules'!E7,M50&lt;'Coverage Rules'!E8,N50&lt;'Coverage Rules'!C8,O50&lt;'Coverage Rules'!E9,P50&lt;'Coverage Rules'!E10,Q50&gt;='Coverage Rules'!B16,R50&gt;='Coverage Rules'!B17,IF(S50="",FALSE,S50&gt;='Coverage Rules'!D24)),"Denied","OK"))</f>
        <v/>
      </c>
      <c r="L50">
        <f>IF(B50="","",IFERROR(SUMPRODUCT((LEN(Employees!$A$3:$A$500)&gt;0)*(Employees!$T$3:$T$500=1)*(COUNTIFS($B$3:$B$500,Employees!$A$3:$A$500,$H$3:$H$500,"Approved",$D$3:$D$500,"&lt;="&amp;E50,$E$3:$E$500,"&gt;="&amp;D50,$A$3:$A$500,"&lt;&gt;"&amp;A50)=0)),0))</f>
        <v/>
      </c>
      <c r="M50">
        <f>IF(B50="","",IFERROR(SUMPRODUCT((LEN(Employees!$A$3:$A$500)&gt;0)*(Employees!$U$3:$U$500=1)*(COUNTIFS($B$3:$B$500,Employees!$A$3:$A$500,$H$3:$H$500,"Approved",$D$3:$D$500,"&lt;="&amp;E50,$E$3:$E$500,"&gt;="&amp;D50,$A$3:$A$500,"&lt;&gt;"&amp;A50)=0)),0))</f>
        <v/>
      </c>
      <c r="N50">
        <f>IF(B50="","",IFERROR(SUMPRODUCT((LEN(Employees!$A$3:$A$500)&gt;0)*(Employees!$B$3:$B$500="Manager")*(Employees!$U$3:$U$500=1)*(COUNTIFS($B$3:$B$500,Employees!$A$3:$A$500,$H$3:$H$500,"Approved",$D$3:$D$500,"&lt;="&amp;E50,$E$3:$E$500,"&gt;="&amp;D50,$A$3:$A$500,"&lt;&gt;"&amp;A50)=0)),0))</f>
        <v/>
      </c>
      <c r="O50">
        <f>IF(B50="","",IFERROR(SUMPRODUCT((LEN(Employees!$A$3:$A$500)&gt;0)*(Employees!$V$3:$V$500=1)*(COUNTIFS($B$3:$B$500,Employees!$A$3:$A$500,$H$3:$H$500,"Approved",$D$3:$D$500,"&lt;="&amp;E50,$E$3:$E$500,"&gt;="&amp;D50,$A$3:$A$500,"&lt;&gt;"&amp;A50)=0)),0))</f>
        <v/>
      </c>
      <c r="P50">
        <f>IF(B50="","",IFERROR(SUMPRODUCT((LEN(Employees!$A$3:$A$500)&gt;0)*(Employees!$W$3:$W$500=1)*(COUNTIFS($B$3:$B$500,Employees!$A$3:$A$500,$H$3:$H$500,"Approved",$D$3:$D$500,"&lt;="&amp;E50,$E$3:$E$500,"&gt;="&amp;D50,$A$3:$A$500,"&lt;&gt;"&amp;A50)=0)),0))</f>
        <v/>
      </c>
      <c r="Q50">
        <f>IF(B50="","",IFERROR(SUMPRODUCT((LEN(Employees!$A$3:$A$500)&gt;0)*(Employees!$N$3:$N$500=1)*(COUNTIFS($B$3:$B$500,Employees!$A$3:$A$500,$H$3:$H$500,"Approved",$D$3:$D$500,"&lt;="&amp;E50,$E$3:$E$500,"&gt;="&amp;D50,$A$3:$A$500,"&lt;&gt;"&amp;A50)&gt;0)),0))</f>
        <v/>
      </c>
      <c r="R50">
        <f>IF(B50="","",IFERROR(SUMPRODUCT((LEN(Employees!$A$3:$A$500)&gt;0)*(Employees!$O$3:$O$500=1)*(COUNTIFS($B$3:$B$500,Employees!$A$3:$A$500,$H$3:$H$500,"Approved",$D$3:$D$500,"&lt;="&amp;E50,$E$3:$E$500,"&gt;="&amp;D50,$A$3:$A$500,"&lt;&gt;"&amp;A50)&gt;0)),0))</f>
        <v/>
      </c>
      <c r="S50">
        <f>IF(OR(B50="",IFERROR(XLOOKUP(B50,Employees!$A$3:$A$500,Employees!$G$3:$G$500,""),"")=""),"",IFERROR(SUMPRODUCT((LEN(Employees!$A$3:$A$500)&gt;0)*(Employees!$G$3:$G$500=IFERROR(XLOOKUP(B50,Employees!$A$3:$A$500,Employees!$G$3:$G$500,""),""))*(COUNTIFS($B$3:$B$500,Employees!$A$3:$A$500,$H$3:$H$500,"Approved",$D$3:$D$500,"&lt;="&amp;E50,$E$3:$E$500,"&gt;="&amp;D50,$A$3:$A$500,"&lt;&gt;"&amp;A50)&gt;0)),0))</f>
        <v/>
      </c>
    </row>
    <row r="51">
      <c r="C51">
        <f>IFERROR(XLOOKUP(B51,Employees!$A$3:$A$500,Employees!$B$3:$B$500,""),"")</f>
        <v/>
      </c>
      <c r="I51">
        <f>IF(AND(B51&lt;&gt;"",D51&lt;&gt;"",E51&lt;&gt;""),E51-D51+1,"")</f>
        <v/>
      </c>
      <c r="J51">
        <f>IF(OR(B51="",D51="",E51=""),"",IF(OR(L51&lt;'Coverage Rules'!E7,M51&lt;'Coverage Rules'!E8,N51&lt;'Coverage Rules'!C8,O51&lt;'Coverage Rules'!E9,P51&lt;'Coverage Rules'!E10,Q51&gt;='Coverage Rules'!B16,R51&gt;='Coverage Rules'!B17,IF(S51="",FALSE,S51&gt;='Coverage Rules'!D24)),"Denied","OK"))</f>
        <v/>
      </c>
      <c r="L51">
        <f>IF(B51="","",IFERROR(SUMPRODUCT((LEN(Employees!$A$3:$A$500)&gt;0)*(Employees!$T$3:$T$500=1)*(COUNTIFS($B$3:$B$500,Employees!$A$3:$A$500,$H$3:$H$500,"Approved",$D$3:$D$500,"&lt;="&amp;E51,$E$3:$E$500,"&gt;="&amp;D51,$A$3:$A$500,"&lt;&gt;"&amp;A51)=0)),0))</f>
        <v/>
      </c>
      <c r="M51">
        <f>IF(B51="","",IFERROR(SUMPRODUCT((LEN(Employees!$A$3:$A$500)&gt;0)*(Employees!$U$3:$U$500=1)*(COUNTIFS($B$3:$B$500,Employees!$A$3:$A$500,$H$3:$H$500,"Approved",$D$3:$D$500,"&lt;="&amp;E51,$E$3:$E$500,"&gt;="&amp;D51,$A$3:$A$500,"&lt;&gt;"&amp;A51)=0)),0))</f>
        <v/>
      </c>
      <c r="N51">
        <f>IF(B51="","",IFERROR(SUMPRODUCT((LEN(Employees!$A$3:$A$500)&gt;0)*(Employees!$B$3:$B$500="Manager")*(Employees!$U$3:$U$500=1)*(COUNTIFS($B$3:$B$500,Employees!$A$3:$A$500,$H$3:$H$500,"Approved",$D$3:$D$500,"&lt;="&amp;E51,$E$3:$E$500,"&gt;="&amp;D51,$A$3:$A$500,"&lt;&gt;"&amp;A51)=0)),0))</f>
        <v/>
      </c>
      <c r="O51">
        <f>IF(B51="","",IFERROR(SUMPRODUCT((LEN(Employees!$A$3:$A$500)&gt;0)*(Employees!$V$3:$V$500=1)*(COUNTIFS($B$3:$B$500,Employees!$A$3:$A$500,$H$3:$H$500,"Approved",$D$3:$D$500,"&lt;="&amp;E51,$E$3:$E$500,"&gt;="&amp;D51,$A$3:$A$500,"&lt;&gt;"&amp;A51)=0)),0))</f>
        <v/>
      </c>
      <c r="P51">
        <f>IF(B51="","",IFERROR(SUMPRODUCT((LEN(Employees!$A$3:$A$500)&gt;0)*(Employees!$W$3:$W$500=1)*(COUNTIFS($B$3:$B$500,Employees!$A$3:$A$500,$H$3:$H$500,"Approved",$D$3:$D$500,"&lt;="&amp;E51,$E$3:$E$500,"&gt;="&amp;D51,$A$3:$A$500,"&lt;&gt;"&amp;A51)=0)),0))</f>
        <v/>
      </c>
      <c r="Q51">
        <f>IF(B51="","",IFERROR(SUMPRODUCT((LEN(Employees!$A$3:$A$500)&gt;0)*(Employees!$N$3:$N$500=1)*(COUNTIFS($B$3:$B$500,Employees!$A$3:$A$500,$H$3:$H$500,"Approved",$D$3:$D$500,"&lt;="&amp;E51,$E$3:$E$500,"&gt;="&amp;D51,$A$3:$A$500,"&lt;&gt;"&amp;A51)&gt;0)),0))</f>
        <v/>
      </c>
      <c r="R51">
        <f>IF(B51="","",IFERROR(SUMPRODUCT((LEN(Employees!$A$3:$A$500)&gt;0)*(Employees!$O$3:$O$500=1)*(COUNTIFS($B$3:$B$500,Employees!$A$3:$A$500,$H$3:$H$500,"Approved",$D$3:$D$500,"&lt;="&amp;E51,$E$3:$E$500,"&gt;="&amp;D51,$A$3:$A$500,"&lt;&gt;"&amp;A51)&gt;0)),0))</f>
        <v/>
      </c>
      <c r="S51">
        <f>IF(OR(B51="",IFERROR(XLOOKUP(B51,Employees!$A$3:$A$500,Employees!$G$3:$G$500,""),"")=""),"",IFERROR(SUMPRODUCT((LEN(Employees!$A$3:$A$500)&gt;0)*(Employees!$G$3:$G$500=IFERROR(XLOOKUP(B51,Employees!$A$3:$A$500,Employees!$G$3:$G$500,""),""))*(COUNTIFS($B$3:$B$500,Employees!$A$3:$A$500,$H$3:$H$500,"Approved",$D$3:$D$500,"&lt;="&amp;E51,$E$3:$E$500,"&gt;="&amp;D51,$A$3:$A$500,"&lt;&gt;"&amp;A51)&gt;0)),0))</f>
        <v/>
      </c>
    </row>
    <row r="52">
      <c r="C52">
        <f>IFERROR(XLOOKUP(B52,Employees!$A$3:$A$500,Employees!$B$3:$B$500,""),"")</f>
        <v/>
      </c>
      <c r="I52">
        <f>IF(AND(B52&lt;&gt;"",D52&lt;&gt;"",E52&lt;&gt;""),E52-D52+1,"")</f>
        <v/>
      </c>
      <c r="J52">
        <f>IF(OR(B52="",D52="",E52=""),"",IF(OR(L52&lt;'Coverage Rules'!E7,M52&lt;'Coverage Rules'!E8,N52&lt;'Coverage Rules'!C8,O52&lt;'Coverage Rules'!E9,P52&lt;'Coverage Rules'!E10,Q52&gt;='Coverage Rules'!B16,R52&gt;='Coverage Rules'!B17,IF(S52="",FALSE,S52&gt;='Coverage Rules'!D24)),"Denied","OK"))</f>
        <v/>
      </c>
      <c r="L52">
        <f>IF(B52="","",IFERROR(SUMPRODUCT((LEN(Employees!$A$3:$A$500)&gt;0)*(Employees!$T$3:$T$500=1)*(COUNTIFS($B$3:$B$500,Employees!$A$3:$A$500,$H$3:$H$500,"Approved",$D$3:$D$500,"&lt;="&amp;E52,$E$3:$E$500,"&gt;="&amp;D52,$A$3:$A$500,"&lt;&gt;"&amp;A52)=0)),0))</f>
        <v/>
      </c>
      <c r="M52">
        <f>IF(B52="","",IFERROR(SUMPRODUCT((LEN(Employees!$A$3:$A$500)&gt;0)*(Employees!$U$3:$U$500=1)*(COUNTIFS($B$3:$B$500,Employees!$A$3:$A$500,$H$3:$H$500,"Approved",$D$3:$D$500,"&lt;="&amp;E52,$E$3:$E$500,"&gt;="&amp;D52,$A$3:$A$500,"&lt;&gt;"&amp;A52)=0)),0))</f>
        <v/>
      </c>
      <c r="N52">
        <f>IF(B52="","",IFERROR(SUMPRODUCT((LEN(Employees!$A$3:$A$500)&gt;0)*(Employees!$B$3:$B$500="Manager")*(Employees!$U$3:$U$500=1)*(COUNTIFS($B$3:$B$500,Employees!$A$3:$A$500,$H$3:$H$500,"Approved",$D$3:$D$500,"&lt;="&amp;E52,$E$3:$E$500,"&gt;="&amp;D52,$A$3:$A$500,"&lt;&gt;"&amp;A52)=0)),0))</f>
        <v/>
      </c>
      <c r="O52">
        <f>IF(B52="","",IFERROR(SUMPRODUCT((LEN(Employees!$A$3:$A$500)&gt;0)*(Employees!$V$3:$V$500=1)*(COUNTIFS($B$3:$B$500,Employees!$A$3:$A$500,$H$3:$H$500,"Approved",$D$3:$D$500,"&lt;="&amp;E52,$E$3:$E$500,"&gt;="&amp;D52,$A$3:$A$500,"&lt;&gt;"&amp;A52)=0)),0))</f>
        <v/>
      </c>
      <c r="P52">
        <f>IF(B52="","",IFERROR(SUMPRODUCT((LEN(Employees!$A$3:$A$500)&gt;0)*(Employees!$W$3:$W$500=1)*(COUNTIFS($B$3:$B$500,Employees!$A$3:$A$500,$H$3:$H$500,"Approved",$D$3:$D$500,"&lt;="&amp;E52,$E$3:$E$500,"&gt;="&amp;D52,$A$3:$A$500,"&lt;&gt;"&amp;A52)=0)),0))</f>
        <v/>
      </c>
      <c r="Q52">
        <f>IF(B52="","",IFERROR(SUMPRODUCT((LEN(Employees!$A$3:$A$500)&gt;0)*(Employees!$N$3:$N$500=1)*(COUNTIFS($B$3:$B$500,Employees!$A$3:$A$500,$H$3:$H$500,"Approved",$D$3:$D$500,"&lt;="&amp;E52,$E$3:$E$500,"&gt;="&amp;D52,$A$3:$A$500,"&lt;&gt;"&amp;A52)&gt;0)),0))</f>
        <v/>
      </c>
      <c r="R52">
        <f>IF(B52="","",IFERROR(SUMPRODUCT((LEN(Employees!$A$3:$A$500)&gt;0)*(Employees!$O$3:$O$500=1)*(COUNTIFS($B$3:$B$500,Employees!$A$3:$A$500,$H$3:$H$500,"Approved",$D$3:$D$500,"&lt;="&amp;E52,$E$3:$E$500,"&gt;="&amp;D52,$A$3:$A$500,"&lt;&gt;"&amp;A52)&gt;0)),0))</f>
        <v/>
      </c>
      <c r="S52">
        <f>IF(OR(B52="",IFERROR(XLOOKUP(B52,Employees!$A$3:$A$500,Employees!$G$3:$G$500,""),"")=""),"",IFERROR(SUMPRODUCT((LEN(Employees!$A$3:$A$500)&gt;0)*(Employees!$G$3:$G$500=IFERROR(XLOOKUP(B52,Employees!$A$3:$A$500,Employees!$G$3:$G$500,""),""))*(COUNTIFS($B$3:$B$500,Employees!$A$3:$A$500,$H$3:$H$500,"Approved",$D$3:$D$500,"&lt;="&amp;E52,$E$3:$E$500,"&gt;="&amp;D52,$A$3:$A$500,"&lt;&gt;"&amp;A52)&gt;0)),0))</f>
        <v/>
      </c>
    </row>
    <row r="53">
      <c r="C53">
        <f>IFERROR(XLOOKUP(B53,Employees!$A$3:$A$500,Employees!$B$3:$B$500,""),"")</f>
        <v/>
      </c>
      <c r="I53">
        <f>IF(AND(B53&lt;&gt;"",D53&lt;&gt;"",E53&lt;&gt;""),E53-D53+1,"")</f>
        <v/>
      </c>
      <c r="J53">
        <f>IF(OR(B53="",D53="",E53=""),"",IF(OR(L53&lt;'Coverage Rules'!E7,M53&lt;'Coverage Rules'!E8,N53&lt;'Coverage Rules'!C8,O53&lt;'Coverage Rules'!E9,P53&lt;'Coverage Rules'!E10,Q53&gt;='Coverage Rules'!B16,R53&gt;='Coverage Rules'!B17,IF(S53="",FALSE,S53&gt;='Coverage Rules'!D24)),"Denied","OK"))</f>
        <v/>
      </c>
      <c r="L53">
        <f>IF(B53="","",IFERROR(SUMPRODUCT((LEN(Employees!$A$3:$A$500)&gt;0)*(Employees!$T$3:$T$500=1)*(COUNTIFS($B$3:$B$500,Employees!$A$3:$A$500,$H$3:$H$500,"Approved",$D$3:$D$500,"&lt;="&amp;E53,$E$3:$E$500,"&gt;="&amp;D53,$A$3:$A$500,"&lt;&gt;"&amp;A53)=0)),0))</f>
        <v/>
      </c>
      <c r="M53">
        <f>IF(B53="","",IFERROR(SUMPRODUCT((LEN(Employees!$A$3:$A$500)&gt;0)*(Employees!$U$3:$U$500=1)*(COUNTIFS($B$3:$B$500,Employees!$A$3:$A$500,$H$3:$H$500,"Approved",$D$3:$D$500,"&lt;="&amp;E53,$E$3:$E$500,"&gt;="&amp;D53,$A$3:$A$500,"&lt;&gt;"&amp;A53)=0)),0))</f>
        <v/>
      </c>
      <c r="N53">
        <f>IF(B53="","",IFERROR(SUMPRODUCT((LEN(Employees!$A$3:$A$500)&gt;0)*(Employees!$B$3:$B$500="Manager")*(Employees!$U$3:$U$500=1)*(COUNTIFS($B$3:$B$500,Employees!$A$3:$A$500,$H$3:$H$500,"Approved",$D$3:$D$500,"&lt;="&amp;E53,$E$3:$E$500,"&gt;="&amp;D53,$A$3:$A$500,"&lt;&gt;"&amp;A53)=0)),0))</f>
        <v/>
      </c>
      <c r="O53">
        <f>IF(B53="","",IFERROR(SUMPRODUCT((LEN(Employees!$A$3:$A$500)&gt;0)*(Employees!$V$3:$V$500=1)*(COUNTIFS($B$3:$B$500,Employees!$A$3:$A$500,$H$3:$H$500,"Approved",$D$3:$D$500,"&lt;="&amp;E53,$E$3:$E$500,"&gt;="&amp;D53,$A$3:$A$500,"&lt;&gt;"&amp;A53)=0)),0))</f>
        <v/>
      </c>
      <c r="P53">
        <f>IF(B53="","",IFERROR(SUMPRODUCT((LEN(Employees!$A$3:$A$500)&gt;0)*(Employees!$W$3:$W$500=1)*(COUNTIFS($B$3:$B$500,Employees!$A$3:$A$500,$H$3:$H$500,"Approved",$D$3:$D$500,"&lt;="&amp;E53,$E$3:$E$500,"&gt;="&amp;D53,$A$3:$A$500,"&lt;&gt;"&amp;A53)=0)),0))</f>
        <v/>
      </c>
      <c r="Q53">
        <f>IF(B53="","",IFERROR(SUMPRODUCT((LEN(Employees!$A$3:$A$500)&gt;0)*(Employees!$N$3:$N$500=1)*(COUNTIFS($B$3:$B$500,Employees!$A$3:$A$500,$H$3:$H$500,"Approved",$D$3:$D$500,"&lt;="&amp;E53,$E$3:$E$500,"&gt;="&amp;D53,$A$3:$A$500,"&lt;&gt;"&amp;A53)&gt;0)),0))</f>
        <v/>
      </c>
      <c r="R53">
        <f>IF(B53="","",IFERROR(SUMPRODUCT((LEN(Employees!$A$3:$A$500)&gt;0)*(Employees!$O$3:$O$500=1)*(COUNTIFS($B$3:$B$500,Employees!$A$3:$A$500,$H$3:$H$500,"Approved",$D$3:$D$500,"&lt;="&amp;E53,$E$3:$E$500,"&gt;="&amp;D53,$A$3:$A$500,"&lt;&gt;"&amp;A53)&gt;0)),0))</f>
        <v/>
      </c>
      <c r="S53">
        <f>IF(OR(B53="",IFERROR(XLOOKUP(B53,Employees!$A$3:$A$500,Employees!$G$3:$G$500,""),"")=""),"",IFERROR(SUMPRODUCT((LEN(Employees!$A$3:$A$500)&gt;0)*(Employees!$G$3:$G$500=IFERROR(XLOOKUP(B53,Employees!$A$3:$A$500,Employees!$G$3:$G$500,""),""))*(COUNTIFS($B$3:$B$500,Employees!$A$3:$A$500,$H$3:$H$500,"Approved",$D$3:$D$500,"&lt;="&amp;E53,$E$3:$E$500,"&gt;="&amp;D53,$A$3:$A$500,"&lt;&gt;"&amp;A53)&gt;0)),0))</f>
        <v/>
      </c>
    </row>
    <row r="54">
      <c r="C54">
        <f>IFERROR(XLOOKUP(B54,Employees!$A$3:$A$500,Employees!$B$3:$B$500,""),"")</f>
        <v/>
      </c>
      <c r="I54">
        <f>IF(AND(B54&lt;&gt;"",D54&lt;&gt;"",E54&lt;&gt;""),E54-D54+1,"")</f>
        <v/>
      </c>
      <c r="J54">
        <f>IF(OR(B54="",D54="",E54=""),"",IF(OR(L54&lt;'Coverage Rules'!E7,M54&lt;'Coverage Rules'!E8,N54&lt;'Coverage Rules'!C8,O54&lt;'Coverage Rules'!E9,P54&lt;'Coverage Rules'!E10,Q54&gt;='Coverage Rules'!B16,R54&gt;='Coverage Rules'!B17,IF(S54="",FALSE,S54&gt;='Coverage Rules'!D24)),"Denied","OK"))</f>
        <v/>
      </c>
      <c r="L54">
        <f>IF(B54="","",IFERROR(SUMPRODUCT((LEN(Employees!$A$3:$A$500)&gt;0)*(Employees!$T$3:$T$500=1)*(COUNTIFS($B$3:$B$500,Employees!$A$3:$A$500,$H$3:$H$500,"Approved",$D$3:$D$500,"&lt;="&amp;E54,$E$3:$E$500,"&gt;="&amp;D54,$A$3:$A$500,"&lt;&gt;"&amp;A54)=0)),0))</f>
        <v/>
      </c>
      <c r="M54">
        <f>IF(B54="","",IFERROR(SUMPRODUCT((LEN(Employees!$A$3:$A$500)&gt;0)*(Employees!$U$3:$U$500=1)*(COUNTIFS($B$3:$B$500,Employees!$A$3:$A$500,$H$3:$H$500,"Approved",$D$3:$D$500,"&lt;="&amp;E54,$E$3:$E$500,"&gt;="&amp;D54,$A$3:$A$500,"&lt;&gt;"&amp;A54)=0)),0))</f>
        <v/>
      </c>
      <c r="N54">
        <f>IF(B54="","",IFERROR(SUMPRODUCT((LEN(Employees!$A$3:$A$500)&gt;0)*(Employees!$B$3:$B$500="Manager")*(Employees!$U$3:$U$500=1)*(COUNTIFS($B$3:$B$500,Employees!$A$3:$A$500,$H$3:$H$500,"Approved",$D$3:$D$500,"&lt;="&amp;E54,$E$3:$E$500,"&gt;="&amp;D54,$A$3:$A$500,"&lt;&gt;"&amp;A54)=0)),0))</f>
        <v/>
      </c>
      <c r="O54">
        <f>IF(B54="","",IFERROR(SUMPRODUCT((LEN(Employees!$A$3:$A$500)&gt;0)*(Employees!$V$3:$V$500=1)*(COUNTIFS($B$3:$B$500,Employees!$A$3:$A$500,$H$3:$H$500,"Approved",$D$3:$D$500,"&lt;="&amp;E54,$E$3:$E$500,"&gt;="&amp;D54,$A$3:$A$500,"&lt;&gt;"&amp;A54)=0)),0))</f>
        <v/>
      </c>
      <c r="P54">
        <f>IF(B54="","",IFERROR(SUMPRODUCT((LEN(Employees!$A$3:$A$500)&gt;0)*(Employees!$W$3:$W$500=1)*(COUNTIFS($B$3:$B$500,Employees!$A$3:$A$500,$H$3:$H$500,"Approved",$D$3:$D$500,"&lt;="&amp;E54,$E$3:$E$500,"&gt;="&amp;D54,$A$3:$A$500,"&lt;&gt;"&amp;A54)=0)),0))</f>
        <v/>
      </c>
      <c r="Q54">
        <f>IF(B54="","",IFERROR(SUMPRODUCT((LEN(Employees!$A$3:$A$500)&gt;0)*(Employees!$N$3:$N$500=1)*(COUNTIFS($B$3:$B$500,Employees!$A$3:$A$500,$H$3:$H$500,"Approved",$D$3:$D$500,"&lt;="&amp;E54,$E$3:$E$500,"&gt;="&amp;D54,$A$3:$A$500,"&lt;&gt;"&amp;A54)&gt;0)),0))</f>
        <v/>
      </c>
      <c r="R54">
        <f>IF(B54="","",IFERROR(SUMPRODUCT((LEN(Employees!$A$3:$A$500)&gt;0)*(Employees!$O$3:$O$500=1)*(COUNTIFS($B$3:$B$500,Employees!$A$3:$A$500,$H$3:$H$500,"Approved",$D$3:$D$500,"&lt;="&amp;E54,$E$3:$E$500,"&gt;="&amp;D54,$A$3:$A$500,"&lt;&gt;"&amp;A54)&gt;0)),0))</f>
        <v/>
      </c>
      <c r="S54">
        <f>IF(OR(B54="",IFERROR(XLOOKUP(B54,Employees!$A$3:$A$500,Employees!$G$3:$G$500,""),"")=""),"",IFERROR(SUMPRODUCT((LEN(Employees!$A$3:$A$500)&gt;0)*(Employees!$G$3:$G$500=IFERROR(XLOOKUP(B54,Employees!$A$3:$A$500,Employees!$G$3:$G$500,""),""))*(COUNTIFS($B$3:$B$500,Employees!$A$3:$A$500,$H$3:$H$500,"Approved",$D$3:$D$500,"&lt;="&amp;E54,$E$3:$E$500,"&gt;="&amp;D54,$A$3:$A$500,"&lt;&gt;"&amp;A54)&gt;0)),0))</f>
        <v/>
      </c>
    </row>
    <row r="55">
      <c r="C55">
        <f>IFERROR(XLOOKUP(B55,Employees!$A$3:$A$500,Employees!$B$3:$B$500,""),"")</f>
        <v/>
      </c>
      <c r="I55">
        <f>IF(AND(B55&lt;&gt;"",D55&lt;&gt;"",E55&lt;&gt;""),E55-D55+1,"")</f>
        <v/>
      </c>
      <c r="J55">
        <f>IF(OR(B55="",D55="",E55=""),"",IF(OR(L55&lt;'Coverage Rules'!E7,M55&lt;'Coverage Rules'!E8,N55&lt;'Coverage Rules'!C8,O55&lt;'Coverage Rules'!E9,P55&lt;'Coverage Rules'!E10,Q55&gt;='Coverage Rules'!B16,R55&gt;='Coverage Rules'!B17,IF(S55="",FALSE,S55&gt;='Coverage Rules'!D24)),"Denied","OK"))</f>
        <v/>
      </c>
      <c r="L55">
        <f>IF(B55="","",IFERROR(SUMPRODUCT((LEN(Employees!$A$3:$A$500)&gt;0)*(Employees!$T$3:$T$500=1)*(COUNTIFS($B$3:$B$500,Employees!$A$3:$A$500,$H$3:$H$500,"Approved",$D$3:$D$500,"&lt;="&amp;E55,$E$3:$E$500,"&gt;="&amp;D55,$A$3:$A$500,"&lt;&gt;"&amp;A55)=0)),0))</f>
        <v/>
      </c>
      <c r="M55">
        <f>IF(B55="","",IFERROR(SUMPRODUCT((LEN(Employees!$A$3:$A$500)&gt;0)*(Employees!$U$3:$U$500=1)*(COUNTIFS($B$3:$B$500,Employees!$A$3:$A$500,$H$3:$H$500,"Approved",$D$3:$D$500,"&lt;="&amp;E55,$E$3:$E$500,"&gt;="&amp;D55,$A$3:$A$500,"&lt;&gt;"&amp;A55)=0)),0))</f>
        <v/>
      </c>
      <c r="N55">
        <f>IF(B55="","",IFERROR(SUMPRODUCT((LEN(Employees!$A$3:$A$500)&gt;0)*(Employees!$B$3:$B$500="Manager")*(Employees!$U$3:$U$500=1)*(COUNTIFS($B$3:$B$500,Employees!$A$3:$A$500,$H$3:$H$500,"Approved",$D$3:$D$500,"&lt;="&amp;E55,$E$3:$E$500,"&gt;="&amp;D55,$A$3:$A$500,"&lt;&gt;"&amp;A55)=0)),0))</f>
        <v/>
      </c>
      <c r="O55">
        <f>IF(B55="","",IFERROR(SUMPRODUCT((LEN(Employees!$A$3:$A$500)&gt;0)*(Employees!$V$3:$V$500=1)*(COUNTIFS($B$3:$B$500,Employees!$A$3:$A$500,$H$3:$H$500,"Approved",$D$3:$D$500,"&lt;="&amp;E55,$E$3:$E$500,"&gt;="&amp;D55,$A$3:$A$500,"&lt;&gt;"&amp;A55)=0)),0))</f>
        <v/>
      </c>
      <c r="P55">
        <f>IF(B55="","",IFERROR(SUMPRODUCT((LEN(Employees!$A$3:$A$500)&gt;0)*(Employees!$W$3:$W$500=1)*(COUNTIFS($B$3:$B$500,Employees!$A$3:$A$500,$H$3:$H$500,"Approved",$D$3:$D$500,"&lt;="&amp;E55,$E$3:$E$500,"&gt;="&amp;D55,$A$3:$A$500,"&lt;&gt;"&amp;A55)=0)),0))</f>
        <v/>
      </c>
      <c r="Q55">
        <f>IF(B55="","",IFERROR(SUMPRODUCT((LEN(Employees!$A$3:$A$500)&gt;0)*(Employees!$N$3:$N$500=1)*(COUNTIFS($B$3:$B$500,Employees!$A$3:$A$500,$H$3:$H$500,"Approved",$D$3:$D$500,"&lt;="&amp;E55,$E$3:$E$500,"&gt;="&amp;D55,$A$3:$A$500,"&lt;&gt;"&amp;A55)&gt;0)),0))</f>
        <v/>
      </c>
      <c r="R55">
        <f>IF(B55="","",IFERROR(SUMPRODUCT((LEN(Employees!$A$3:$A$500)&gt;0)*(Employees!$O$3:$O$500=1)*(COUNTIFS($B$3:$B$500,Employees!$A$3:$A$500,$H$3:$H$500,"Approved",$D$3:$D$500,"&lt;="&amp;E55,$E$3:$E$500,"&gt;="&amp;D55,$A$3:$A$500,"&lt;&gt;"&amp;A55)&gt;0)),0))</f>
        <v/>
      </c>
      <c r="S55">
        <f>IF(OR(B55="",IFERROR(XLOOKUP(B55,Employees!$A$3:$A$500,Employees!$G$3:$G$500,""),"")=""),"",IFERROR(SUMPRODUCT((LEN(Employees!$A$3:$A$500)&gt;0)*(Employees!$G$3:$G$500=IFERROR(XLOOKUP(B55,Employees!$A$3:$A$500,Employees!$G$3:$G$500,""),""))*(COUNTIFS($B$3:$B$500,Employees!$A$3:$A$500,$H$3:$H$500,"Approved",$D$3:$D$500,"&lt;="&amp;E55,$E$3:$E$500,"&gt;="&amp;D55,$A$3:$A$500,"&lt;&gt;"&amp;A55)&gt;0)),0))</f>
        <v/>
      </c>
    </row>
    <row r="56">
      <c r="C56">
        <f>IFERROR(XLOOKUP(B56,Employees!$A$3:$A$500,Employees!$B$3:$B$500,""),"")</f>
        <v/>
      </c>
      <c r="I56">
        <f>IF(AND(B56&lt;&gt;"",D56&lt;&gt;"",E56&lt;&gt;""),E56-D56+1,"")</f>
        <v/>
      </c>
      <c r="J56">
        <f>IF(OR(B56="",D56="",E56=""),"",IF(OR(L56&lt;'Coverage Rules'!E7,M56&lt;'Coverage Rules'!E8,N56&lt;'Coverage Rules'!C8,O56&lt;'Coverage Rules'!E9,P56&lt;'Coverage Rules'!E10,Q56&gt;='Coverage Rules'!B16,R56&gt;='Coverage Rules'!B17,IF(S56="",FALSE,S56&gt;='Coverage Rules'!D24)),"Denied","OK"))</f>
        <v/>
      </c>
      <c r="L56">
        <f>IF(B56="","",IFERROR(SUMPRODUCT((LEN(Employees!$A$3:$A$500)&gt;0)*(Employees!$T$3:$T$500=1)*(COUNTIFS($B$3:$B$500,Employees!$A$3:$A$500,$H$3:$H$500,"Approved",$D$3:$D$500,"&lt;="&amp;E56,$E$3:$E$500,"&gt;="&amp;D56,$A$3:$A$500,"&lt;&gt;"&amp;A56)=0)),0))</f>
        <v/>
      </c>
      <c r="M56">
        <f>IF(B56="","",IFERROR(SUMPRODUCT((LEN(Employees!$A$3:$A$500)&gt;0)*(Employees!$U$3:$U$500=1)*(COUNTIFS($B$3:$B$500,Employees!$A$3:$A$500,$H$3:$H$500,"Approved",$D$3:$D$500,"&lt;="&amp;E56,$E$3:$E$500,"&gt;="&amp;D56,$A$3:$A$500,"&lt;&gt;"&amp;A56)=0)),0))</f>
        <v/>
      </c>
      <c r="N56">
        <f>IF(B56="","",IFERROR(SUMPRODUCT((LEN(Employees!$A$3:$A$500)&gt;0)*(Employees!$B$3:$B$500="Manager")*(Employees!$U$3:$U$500=1)*(COUNTIFS($B$3:$B$500,Employees!$A$3:$A$500,$H$3:$H$500,"Approved",$D$3:$D$500,"&lt;="&amp;E56,$E$3:$E$500,"&gt;="&amp;D56,$A$3:$A$500,"&lt;&gt;"&amp;A56)=0)),0))</f>
        <v/>
      </c>
      <c r="O56">
        <f>IF(B56="","",IFERROR(SUMPRODUCT((LEN(Employees!$A$3:$A$500)&gt;0)*(Employees!$V$3:$V$500=1)*(COUNTIFS($B$3:$B$500,Employees!$A$3:$A$500,$H$3:$H$500,"Approved",$D$3:$D$500,"&lt;="&amp;E56,$E$3:$E$500,"&gt;="&amp;D56,$A$3:$A$500,"&lt;&gt;"&amp;A56)=0)),0))</f>
        <v/>
      </c>
      <c r="P56">
        <f>IF(B56="","",IFERROR(SUMPRODUCT((LEN(Employees!$A$3:$A$500)&gt;0)*(Employees!$W$3:$W$500=1)*(COUNTIFS($B$3:$B$500,Employees!$A$3:$A$500,$H$3:$H$500,"Approved",$D$3:$D$500,"&lt;="&amp;E56,$E$3:$E$500,"&gt;="&amp;D56,$A$3:$A$500,"&lt;&gt;"&amp;A56)=0)),0))</f>
        <v/>
      </c>
      <c r="Q56">
        <f>IF(B56="","",IFERROR(SUMPRODUCT((LEN(Employees!$A$3:$A$500)&gt;0)*(Employees!$N$3:$N$500=1)*(COUNTIFS($B$3:$B$500,Employees!$A$3:$A$500,$H$3:$H$500,"Approved",$D$3:$D$500,"&lt;="&amp;E56,$E$3:$E$500,"&gt;="&amp;D56,$A$3:$A$500,"&lt;&gt;"&amp;A56)&gt;0)),0))</f>
        <v/>
      </c>
      <c r="R56">
        <f>IF(B56="","",IFERROR(SUMPRODUCT((LEN(Employees!$A$3:$A$500)&gt;0)*(Employees!$O$3:$O$500=1)*(COUNTIFS($B$3:$B$500,Employees!$A$3:$A$500,$H$3:$H$500,"Approved",$D$3:$D$500,"&lt;="&amp;E56,$E$3:$E$500,"&gt;="&amp;D56,$A$3:$A$500,"&lt;&gt;"&amp;A56)&gt;0)),0))</f>
        <v/>
      </c>
      <c r="S56">
        <f>IF(OR(B56="",IFERROR(XLOOKUP(B56,Employees!$A$3:$A$500,Employees!$G$3:$G$500,""),"")=""),"",IFERROR(SUMPRODUCT((LEN(Employees!$A$3:$A$500)&gt;0)*(Employees!$G$3:$G$500=IFERROR(XLOOKUP(B56,Employees!$A$3:$A$500,Employees!$G$3:$G$500,""),""))*(COUNTIFS($B$3:$B$500,Employees!$A$3:$A$500,$H$3:$H$500,"Approved",$D$3:$D$500,"&lt;="&amp;E56,$E$3:$E$500,"&gt;="&amp;D56,$A$3:$A$500,"&lt;&gt;"&amp;A56)&gt;0)),0))</f>
        <v/>
      </c>
    </row>
    <row r="57">
      <c r="C57">
        <f>IFERROR(XLOOKUP(B57,Employees!$A$3:$A$500,Employees!$B$3:$B$500,""),"")</f>
        <v/>
      </c>
      <c r="I57">
        <f>IF(AND(B57&lt;&gt;"",D57&lt;&gt;"",E57&lt;&gt;""),E57-D57+1,"")</f>
        <v/>
      </c>
      <c r="J57">
        <f>IF(OR(B57="",D57="",E57=""),"",IF(OR(L57&lt;'Coverage Rules'!E7,M57&lt;'Coverage Rules'!E8,N57&lt;'Coverage Rules'!C8,O57&lt;'Coverage Rules'!E9,P57&lt;'Coverage Rules'!E10,Q57&gt;='Coverage Rules'!B16,R57&gt;='Coverage Rules'!B17,IF(S57="",FALSE,S57&gt;='Coverage Rules'!D24)),"Denied","OK"))</f>
        <v/>
      </c>
      <c r="L57">
        <f>IF(B57="","",IFERROR(SUMPRODUCT((LEN(Employees!$A$3:$A$500)&gt;0)*(Employees!$T$3:$T$500=1)*(COUNTIFS($B$3:$B$500,Employees!$A$3:$A$500,$H$3:$H$500,"Approved",$D$3:$D$500,"&lt;="&amp;E57,$E$3:$E$500,"&gt;="&amp;D57,$A$3:$A$500,"&lt;&gt;"&amp;A57)=0)),0))</f>
        <v/>
      </c>
      <c r="M57">
        <f>IF(B57="","",IFERROR(SUMPRODUCT((LEN(Employees!$A$3:$A$500)&gt;0)*(Employees!$U$3:$U$500=1)*(COUNTIFS($B$3:$B$500,Employees!$A$3:$A$500,$H$3:$H$500,"Approved",$D$3:$D$500,"&lt;="&amp;E57,$E$3:$E$500,"&gt;="&amp;D57,$A$3:$A$500,"&lt;&gt;"&amp;A57)=0)),0))</f>
        <v/>
      </c>
      <c r="N57">
        <f>IF(B57="","",IFERROR(SUMPRODUCT((LEN(Employees!$A$3:$A$500)&gt;0)*(Employees!$B$3:$B$500="Manager")*(Employees!$U$3:$U$500=1)*(COUNTIFS($B$3:$B$500,Employees!$A$3:$A$500,$H$3:$H$500,"Approved",$D$3:$D$500,"&lt;="&amp;E57,$E$3:$E$500,"&gt;="&amp;D57,$A$3:$A$500,"&lt;&gt;"&amp;A57)=0)),0))</f>
        <v/>
      </c>
      <c r="O57">
        <f>IF(B57="","",IFERROR(SUMPRODUCT((LEN(Employees!$A$3:$A$500)&gt;0)*(Employees!$V$3:$V$500=1)*(COUNTIFS($B$3:$B$500,Employees!$A$3:$A$500,$H$3:$H$500,"Approved",$D$3:$D$500,"&lt;="&amp;E57,$E$3:$E$500,"&gt;="&amp;D57,$A$3:$A$500,"&lt;&gt;"&amp;A57)=0)),0))</f>
        <v/>
      </c>
      <c r="P57">
        <f>IF(B57="","",IFERROR(SUMPRODUCT((LEN(Employees!$A$3:$A$500)&gt;0)*(Employees!$W$3:$W$500=1)*(COUNTIFS($B$3:$B$500,Employees!$A$3:$A$500,$H$3:$H$500,"Approved",$D$3:$D$500,"&lt;="&amp;E57,$E$3:$E$500,"&gt;="&amp;D57,$A$3:$A$500,"&lt;&gt;"&amp;A57)=0)),0))</f>
        <v/>
      </c>
      <c r="Q57">
        <f>IF(B57="","",IFERROR(SUMPRODUCT((LEN(Employees!$A$3:$A$500)&gt;0)*(Employees!$N$3:$N$500=1)*(COUNTIFS($B$3:$B$500,Employees!$A$3:$A$500,$H$3:$H$500,"Approved",$D$3:$D$500,"&lt;="&amp;E57,$E$3:$E$500,"&gt;="&amp;D57,$A$3:$A$500,"&lt;&gt;"&amp;A57)&gt;0)),0))</f>
        <v/>
      </c>
      <c r="R57">
        <f>IF(B57="","",IFERROR(SUMPRODUCT((LEN(Employees!$A$3:$A$500)&gt;0)*(Employees!$O$3:$O$500=1)*(COUNTIFS($B$3:$B$500,Employees!$A$3:$A$500,$H$3:$H$500,"Approved",$D$3:$D$500,"&lt;="&amp;E57,$E$3:$E$500,"&gt;="&amp;D57,$A$3:$A$500,"&lt;&gt;"&amp;A57)&gt;0)),0))</f>
        <v/>
      </c>
      <c r="S57">
        <f>IF(OR(B57="",IFERROR(XLOOKUP(B57,Employees!$A$3:$A$500,Employees!$G$3:$G$500,""),"")=""),"",IFERROR(SUMPRODUCT((LEN(Employees!$A$3:$A$500)&gt;0)*(Employees!$G$3:$G$500=IFERROR(XLOOKUP(B57,Employees!$A$3:$A$500,Employees!$G$3:$G$500,""),""))*(COUNTIFS($B$3:$B$500,Employees!$A$3:$A$500,$H$3:$H$500,"Approved",$D$3:$D$500,"&lt;="&amp;E57,$E$3:$E$500,"&gt;="&amp;D57,$A$3:$A$500,"&lt;&gt;"&amp;A57)&gt;0)),0))</f>
        <v/>
      </c>
    </row>
    <row r="58">
      <c r="C58">
        <f>IFERROR(XLOOKUP(B58,Employees!$A$3:$A$500,Employees!$B$3:$B$500,""),"")</f>
        <v/>
      </c>
      <c r="I58">
        <f>IF(AND(B58&lt;&gt;"",D58&lt;&gt;"",E58&lt;&gt;""),E58-D58+1,"")</f>
        <v/>
      </c>
      <c r="J58">
        <f>IF(OR(B58="",D58="",E58=""),"",IF(OR(L58&lt;'Coverage Rules'!E7,M58&lt;'Coverage Rules'!E8,N58&lt;'Coverage Rules'!C8,O58&lt;'Coverage Rules'!E9,P58&lt;'Coverage Rules'!E10,Q58&gt;='Coverage Rules'!B16,R58&gt;='Coverage Rules'!B17,IF(S58="",FALSE,S58&gt;='Coverage Rules'!D24)),"Denied","OK"))</f>
        <v/>
      </c>
      <c r="L58">
        <f>IF(B58="","",IFERROR(SUMPRODUCT((LEN(Employees!$A$3:$A$500)&gt;0)*(Employees!$T$3:$T$500=1)*(COUNTIFS($B$3:$B$500,Employees!$A$3:$A$500,$H$3:$H$500,"Approved",$D$3:$D$500,"&lt;="&amp;E58,$E$3:$E$500,"&gt;="&amp;D58,$A$3:$A$500,"&lt;&gt;"&amp;A58)=0)),0))</f>
        <v/>
      </c>
      <c r="M58">
        <f>IF(B58="","",IFERROR(SUMPRODUCT((LEN(Employees!$A$3:$A$500)&gt;0)*(Employees!$U$3:$U$500=1)*(COUNTIFS($B$3:$B$500,Employees!$A$3:$A$500,$H$3:$H$500,"Approved",$D$3:$D$500,"&lt;="&amp;E58,$E$3:$E$500,"&gt;="&amp;D58,$A$3:$A$500,"&lt;&gt;"&amp;A58)=0)),0))</f>
        <v/>
      </c>
      <c r="N58">
        <f>IF(B58="","",IFERROR(SUMPRODUCT((LEN(Employees!$A$3:$A$500)&gt;0)*(Employees!$B$3:$B$500="Manager")*(Employees!$U$3:$U$500=1)*(COUNTIFS($B$3:$B$500,Employees!$A$3:$A$500,$H$3:$H$500,"Approved",$D$3:$D$500,"&lt;="&amp;E58,$E$3:$E$500,"&gt;="&amp;D58,$A$3:$A$500,"&lt;&gt;"&amp;A58)=0)),0))</f>
        <v/>
      </c>
      <c r="O58">
        <f>IF(B58="","",IFERROR(SUMPRODUCT((LEN(Employees!$A$3:$A$500)&gt;0)*(Employees!$V$3:$V$500=1)*(COUNTIFS($B$3:$B$500,Employees!$A$3:$A$500,$H$3:$H$500,"Approved",$D$3:$D$500,"&lt;="&amp;E58,$E$3:$E$500,"&gt;="&amp;D58,$A$3:$A$500,"&lt;&gt;"&amp;A58)=0)),0))</f>
        <v/>
      </c>
      <c r="P58">
        <f>IF(B58="","",IFERROR(SUMPRODUCT((LEN(Employees!$A$3:$A$500)&gt;0)*(Employees!$W$3:$W$500=1)*(COUNTIFS($B$3:$B$500,Employees!$A$3:$A$500,$H$3:$H$500,"Approved",$D$3:$D$500,"&lt;="&amp;E58,$E$3:$E$500,"&gt;="&amp;D58,$A$3:$A$500,"&lt;&gt;"&amp;A58)=0)),0))</f>
        <v/>
      </c>
      <c r="Q58">
        <f>IF(B58="","",IFERROR(SUMPRODUCT((LEN(Employees!$A$3:$A$500)&gt;0)*(Employees!$N$3:$N$500=1)*(COUNTIFS($B$3:$B$500,Employees!$A$3:$A$500,$H$3:$H$500,"Approved",$D$3:$D$500,"&lt;="&amp;E58,$E$3:$E$500,"&gt;="&amp;D58,$A$3:$A$500,"&lt;&gt;"&amp;A58)&gt;0)),0))</f>
        <v/>
      </c>
      <c r="R58">
        <f>IF(B58="","",IFERROR(SUMPRODUCT((LEN(Employees!$A$3:$A$500)&gt;0)*(Employees!$O$3:$O$500=1)*(COUNTIFS($B$3:$B$500,Employees!$A$3:$A$500,$H$3:$H$500,"Approved",$D$3:$D$500,"&lt;="&amp;E58,$E$3:$E$500,"&gt;="&amp;D58,$A$3:$A$500,"&lt;&gt;"&amp;A58)&gt;0)),0))</f>
        <v/>
      </c>
      <c r="S58">
        <f>IF(OR(B58="",IFERROR(XLOOKUP(B58,Employees!$A$3:$A$500,Employees!$G$3:$G$500,""),"")=""),"",IFERROR(SUMPRODUCT((LEN(Employees!$A$3:$A$500)&gt;0)*(Employees!$G$3:$G$500=IFERROR(XLOOKUP(B58,Employees!$A$3:$A$500,Employees!$G$3:$G$500,""),""))*(COUNTIFS($B$3:$B$500,Employees!$A$3:$A$500,$H$3:$H$500,"Approved",$D$3:$D$500,"&lt;="&amp;E58,$E$3:$E$500,"&gt;="&amp;D58,$A$3:$A$500,"&lt;&gt;"&amp;A58)&gt;0)),0))</f>
        <v/>
      </c>
    </row>
    <row r="59">
      <c r="C59">
        <f>IFERROR(XLOOKUP(B59,Employees!$A$3:$A$500,Employees!$B$3:$B$500,""),"")</f>
        <v/>
      </c>
      <c r="I59">
        <f>IF(AND(B59&lt;&gt;"",D59&lt;&gt;"",E59&lt;&gt;""),E59-D59+1,"")</f>
        <v/>
      </c>
      <c r="J59">
        <f>IF(OR(B59="",D59="",E59=""),"",IF(OR(L59&lt;'Coverage Rules'!E7,M59&lt;'Coverage Rules'!E8,N59&lt;'Coverage Rules'!C8,O59&lt;'Coverage Rules'!E9,P59&lt;'Coverage Rules'!E10,Q59&gt;='Coverage Rules'!B16,R59&gt;='Coverage Rules'!B17,IF(S59="",FALSE,S59&gt;='Coverage Rules'!D24)),"Denied","OK"))</f>
        <v/>
      </c>
      <c r="L59">
        <f>IF(B59="","",IFERROR(SUMPRODUCT((LEN(Employees!$A$3:$A$500)&gt;0)*(Employees!$T$3:$T$500=1)*(COUNTIFS($B$3:$B$500,Employees!$A$3:$A$500,$H$3:$H$500,"Approved",$D$3:$D$500,"&lt;="&amp;E59,$E$3:$E$500,"&gt;="&amp;D59,$A$3:$A$500,"&lt;&gt;"&amp;A59)=0)),0))</f>
        <v/>
      </c>
      <c r="M59">
        <f>IF(B59="","",IFERROR(SUMPRODUCT((LEN(Employees!$A$3:$A$500)&gt;0)*(Employees!$U$3:$U$500=1)*(COUNTIFS($B$3:$B$500,Employees!$A$3:$A$500,$H$3:$H$500,"Approved",$D$3:$D$500,"&lt;="&amp;E59,$E$3:$E$500,"&gt;="&amp;D59,$A$3:$A$500,"&lt;&gt;"&amp;A59)=0)),0))</f>
        <v/>
      </c>
      <c r="N59">
        <f>IF(B59="","",IFERROR(SUMPRODUCT((LEN(Employees!$A$3:$A$500)&gt;0)*(Employees!$B$3:$B$500="Manager")*(Employees!$U$3:$U$500=1)*(COUNTIFS($B$3:$B$500,Employees!$A$3:$A$500,$H$3:$H$500,"Approved",$D$3:$D$500,"&lt;="&amp;E59,$E$3:$E$500,"&gt;="&amp;D59,$A$3:$A$500,"&lt;&gt;"&amp;A59)=0)),0))</f>
        <v/>
      </c>
      <c r="O59">
        <f>IF(B59="","",IFERROR(SUMPRODUCT((LEN(Employees!$A$3:$A$500)&gt;0)*(Employees!$V$3:$V$500=1)*(COUNTIFS($B$3:$B$500,Employees!$A$3:$A$500,$H$3:$H$500,"Approved",$D$3:$D$500,"&lt;="&amp;E59,$E$3:$E$500,"&gt;="&amp;D59,$A$3:$A$500,"&lt;&gt;"&amp;A59)=0)),0))</f>
        <v/>
      </c>
      <c r="P59">
        <f>IF(B59="","",IFERROR(SUMPRODUCT((LEN(Employees!$A$3:$A$500)&gt;0)*(Employees!$W$3:$W$500=1)*(COUNTIFS($B$3:$B$500,Employees!$A$3:$A$500,$H$3:$H$500,"Approved",$D$3:$D$500,"&lt;="&amp;E59,$E$3:$E$500,"&gt;="&amp;D59,$A$3:$A$500,"&lt;&gt;"&amp;A59)=0)),0))</f>
        <v/>
      </c>
      <c r="Q59">
        <f>IF(B59="","",IFERROR(SUMPRODUCT((LEN(Employees!$A$3:$A$500)&gt;0)*(Employees!$N$3:$N$500=1)*(COUNTIFS($B$3:$B$500,Employees!$A$3:$A$500,$H$3:$H$500,"Approved",$D$3:$D$500,"&lt;="&amp;E59,$E$3:$E$500,"&gt;="&amp;D59,$A$3:$A$500,"&lt;&gt;"&amp;A59)&gt;0)),0))</f>
        <v/>
      </c>
      <c r="R59">
        <f>IF(B59="","",IFERROR(SUMPRODUCT((LEN(Employees!$A$3:$A$500)&gt;0)*(Employees!$O$3:$O$500=1)*(COUNTIFS($B$3:$B$500,Employees!$A$3:$A$500,$H$3:$H$500,"Approved",$D$3:$D$500,"&lt;="&amp;E59,$E$3:$E$500,"&gt;="&amp;D59,$A$3:$A$500,"&lt;&gt;"&amp;A59)&gt;0)),0))</f>
        <v/>
      </c>
      <c r="S59">
        <f>IF(OR(B59="",IFERROR(XLOOKUP(B59,Employees!$A$3:$A$500,Employees!$G$3:$G$500,""),"")=""),"",IFERROR(SUMPRODUCT((LEN(Employees!$A$3:$A$500)&gt;0)*(Employees!$G$3:$G$500=IFERROR(XLOOKUP(B59,Employees!$A$3:$A$500,Employees!$G$3:$G$500,""),""))*(COUNTIFS($B$3:$B$500,Employees!$A$3:$A$500,$H$3:$H$500,"Approved",$D$3:$D$500,"&lt;="&amp;E59,$E$3:$E$500,"&gt;="&amp;D59,$A$3:$A$500,"&lt;&gt;"&amp;A59)&gt;0)),0))</f>
        <v/>
      </c>
    </row>
    <row r="60">
      <c r="C60">
        <f>IFERROR(XLOOKUP(B60,Employees!$A$3:$A$500,Employees!$B$3:$B$500,""),"")</f>
        <v/>
      </c>
      <c r="I60">
        <f>IF(AND(B60&lt;&gt;"",D60&lt;&gt;"",E60&lt;&gt;""),E60-D60+1,"")</f>
        <v/>
      </c>
      <c r="J60">
        <f>IF(OR(B60="",D60="",E60=""),"",IF(OR(L60&lt;'Coverage Rules'!E7,M60&lt;'Coverage Rules'!E8,N60&lt;'Coverage Rules'!C8,O60&lt;'Coverage Rules'!E9,P60&lt;'Coverage Rules'!E10,Q60&gt;='Coverage Rules'!B16,R60&gt;='Coverage Rules'!B17,IF(S60="",FALSE,S60&gt;='Coverage Rules'!D24)),"Denied","OK"))</f>
        <v/>
      </c>
      <c r="L60">
        <f>IF(B60="","",IFERROR(SUMPRODUCT((LEN(Employees!$A$3:$A$500)&gt;0)*(Employees!$T$3:$T$500=1)*(COUNTIFS($B$3:$B$500,Employees!$A$3:$A$500,$H$3:$H$500,"Approved",$D$3:$D$500,"&lt;="&amp;E60,$E$3:$E$500,"&gt;="&amp;D60,$A$3:$A$500,"&lt;&gt;"&amp;A60)=0)),0))</f>
        <v/>
      </c>
      <c r="M60">
        <f>IF(B60="","",IFERROR(SUMPRODUCT((LEN(Employees!$A$3:$A$500)&gt;0)*(Employees!$U$3:$U$500=1)*(COUNTIFS($B$3:$B$500,Employees!$A$3:$A$500,$H$3:$H$500,"Approved",$D$3:$D$500,"&lt;="&amp;E60,$E$3:$E$500,"&gt;="&amp;D60,$A$3:$A$500,"&lt;&gt;"&amp;A60)=0)),0))</f>
        <v/>
      </c>
      <c r="N60">
        <f>IF(B60="","",IFERROR(SUMPRODUCT((LEN(Employees!$A$3:$A$500)&gt;0)*(Employees!$B$3:$B$500="Manager")*(Employees!$U$3:$U$500=1)*(COUNTIFS($B$3:$B$500,Employees!$A$3:$A$500,$H$3:$H$500,"Approved",$D$3:$D$500,"&lt;="&amp;E60,$E$3:$E$500,"&gt;="&amp;D60,$A$3:$A$500,"&lt;&gt;"&amp;A60)=0)),0))</f>
        <v/>
      </c>
      <c r="O60">
        <f>IF(B60="","",IFERROR(SUMPRODUCT((LEN(Employees!$A$3:$A$500)&gt;0)*(Employees!$V$3:$V$500=1)*(COUNTIFS($B$3:$B$500,Employees!$A$3:$A$500,$H$3:$H$500,"Approved",$D$3:$D$500,"&lt;="&amp;E60,$E$3:$E$500,"&gt;="&amp;D60,$A$3:$A$500,"&lt;&gt;"&amp;A60)=0)),0))</f>
        <v/>
      </c>
      <c r="P60">
        <f>IF(B60="","",IFERROR(SUMPRODUCT((LEN(Employees!$A$3:$A$500)&gt;0)*(Employees!$W$3:$W$500=1)*(COUNTIFS($B$3:$B$500,Employees!$A$3:$A$500,$H$3:$H$500,"Approved",$D$3:$D$500,"&lt;="&amp;E60,$E$3:$E$500,"&gt;="&amp;D60,$A$3:$A$500,"&lt;&gt;"&amp;A60)=0)),0))</f>
        <v/>
      </c>
      <c r="Q60">
        <f>IF(B60="","",IFERROR(SUMPRODUCT((LEN(Employees!$A$3:$A$500)&gt;0)*(Employees!$N$3:$N$500=1)*(COUNTIFS($B$3:$B$500,Employees!$A$3:$A$500,$H$3:$H$500,"Approved",$D$3:$D$500,"&lt;="&amp;E60,$E$3:$E$500,"&gt;="&amp;D60,$A$3:$A$500,"&lt;&gt;"&amp;A60)&gt;0)),0))</f>
        <v/>
      </c>
      <c r="R60">
        <f>IF(B60="","",IFERROR(SUMPRODUCT((LEN(Employees!$A$3:$A$500)&gt;0)*(Employees!$O$3:$O$500=1)*(COUNTIFS($B$3:$B$500,Employees!$A$3:$A$500,$H$3:$H$500,"Approved",$D$3:$D$500,"&lt;="&amp;E60,$E$3:$E$500,"&gt;="&amp;D60,$A$3:$A$500,"&lt;&gt;"&amp;A60)&gt;0)),0))</f>
        <v/>
      </c>
      <c r="S60">
        <f>IF(OR(B60="",IFERROR(XLOOKUP(B60,Employees!$A$3:$A$500,Employees!$G$3:$G$500,""),"")=""),"",IFERROR(SUMPRODUCT((LEN(Employees!$A$3:$A$500)&gt;0)*(Employees!$G$3:$G$500=IFERROR(XLOOKUP(B60,Employees!$A$3:$A$500,Employees!$G$3:$G$500,""),""))*(COUNTIFS($B$3:$B$500,Employees!$A$3:$A$500,$H$3:$H$500,"Approved",$D$3:$D$500,"&lt;="&amp;E60,$E$3:$E$500,"&gt;="&amp;D60,$A$3:$A$500,"&lt;&gt;"&amp;A60)&gt;0)),0))</f>
        <v/>
      </c>
    </row>
    <row r="61">
      <c r="C61">
        <f>IFERROR(XLOOKUP(B61,Employees!$A$3:$A$500,Employees!$B$3:$B$500,""),"")</f>
        <v/>
      </c>
      <c r="I61">
        <f>IF(AND(B61&lt;&gt;"",D61&lt;&gt;"",E61&lt;&gt;""),E61-D61+1,"")</f>
        <v/>
      </c>
      <c r="J61">
        <f>IF(OR(B61="",D61="",E61=""),"",IF(OR(L61&lt;'Coverage Rules'!E7,M61&lt;'Coverage Rules'!E8,N61&lt;'Coverage Rules'!C8,O61&lt;'Coverage Rules'!E9,P61&lt;'Coverage Rules'!E10,Q61&gt;='Coverage Rules'!B16,R61&gt;='Coverage Rules'!B17,IF(S61="",FALSE,S61&gt;='Coverage Rules'!D24)),"Denied","OK"))</f>
        <v/>
      </c>
      <c r="L61">
        <f>IF(B61="","",IFERROR(SUMPRODUCT((LEN(Employees!$A$3:$A$500)&gt;0)*(Employees!$T$3:$T$500=1)*(COUNTIFS($B$3:$B$500,Employees!$A$3:$A$500,$H$3:$H$500,"Approved",$D$3:$D$500,"&lt;="&amp;E61,$E$3:$E$500,"&gt;="&amp;D61,$A$3:$A$500,"&lt;&gt;"&amp;A61)=0)),0))</f>
        <v/>
      </c>
      <c r="M61">
        <f>IF(B61="","",IFERROR(SUMPRODUCT((LEN(Employees!$A$3:$A$500)&gt;0)*(Employees!$U$3:$U$500=1)*(COUNTIFS($B$3:$B$500,Employees!$A$3:$A$500,$H$3:$H$500,"Approved",$D$3:$D$500,"&lt;="&amp;E61,$E$3:$E$500,"&gt;="&amp;D61,$A$3:$A$500,"&lt;&gt;"&amp;A61)=0)),0))</f>
        <v/>
      </c>
      <c r="N61">
        <f>IF(B61="","",IFERROR(SUMPRODUCT((LEN(Employees!$A$3:$A$500)&gt;0)*(Employees!$B$3:$B$500="Manager")*(Employees!$U$3:$U$500=1)*(COUNTIFS($B$3:$B$500,Employees!$A$3:$A$500,$H$3:$H$500,"Approved",$D$3:$D$500,"&lt;="&amp;E61,$E$3:$E$500,"&gt;="&amp;D61,$A$3:$A$500,"&lt;&gt;"&amp;A61)=0)),0))</f>
        <v/>
      </c>
      <c r="O61">
        <f>IF(B61="","",IFERROR(SUMPRODUCT((LEN(Employees!$A$3:$A$500)&gt;0)*(Employees!$V$3:$V$500=1)*(COUNTIFS($B$3:$B$500,Employees!$A$3:$A$500,$H$3:$H$500,"Approved",$D$3:$D$500,"&lt;="&amp;E61,$E$3:$E$500,"&gt;="&amp;D61,$A$3:$A$500,"&lt;&gt;"&amp;A61)=0)),0))</f>
        <v/>
      </c>
      <c r="P61">
        <f>IF(B61="","",IFERROR(SUMPRODUCT((LEN(Employees!$A$3:$A$500)&gt;0)*(Employees!$W$3:$W$500=1)*(COUNTIFS($B$3:$B$500,Employees!$A$3:$A$500,$H$3:$H$500,"Approved",$D$3:$D$500,"&lt;="&amp;E61,$E$3:$E$500,"&gt;="&amp;D61,$A$3:$A$500,"&lt;&gt;"&amp;A61)=0)),0))</f>
        <v/>
      </c>
      <c r="Q61">
        <f>IF(B61="","",IFERROR(SUMPRODUCT((LEN(Employees!$A$3:$A$500)&gt;0)*(Employees!$N$3:$N$500=1)*(COUNTIFS($B$3:$B$500,Employees!$A$3:$A$500,$H$3:$H$500,"Approved",$D$3:$D$500,"&lt;="&amp;E61,$E$3:$E$500,"&gt;="&amp;D61,$A$3:$A$500,"&lt;&gt;"&amp;A61)&gt;0)),0))</f>
        <v/>
      </c>
      <c r="R61">
        <f>IF(B61="","",IFERROR(SUMPRODUCT((LEN(Employees!$A$3:$A$500)&gt;0)*(Employees!$O$3:$O$500=1)*(COUNTIFS($B$3:$B$500,Employees!$A$3:$A$500,$H$3:$H$500,"Approved",$D$3:$D$500,"&lt;="&amp;E61,$E$3:$E$500,"&gt;="&amp;D61,$A$3:$A$500,"&lt;&gt;"&amp;A61)&gt;0)),0))</f>
        <v/>
      </c>
      <c r="S61">
        <f>IF(OR(B61="",IFERROR(XLOOKUP(B61,Employees!$A$3:$A$500,Employees!$G$3:$G$500,""),"")=""),"",IFERROR(SUMPRODUCT((LEN(Employees!$A$3:$A$500)&gt;0)*(Employees!$G$3:$G$500=IFERROR(XLOOKUP(B61,Employees!$A$3:$A$500,Employees!$G$3:$G$500,""),""))*(COUNTIFS($B$3:$B$500,Employees!$A$3:$A$500,$H$3:$H$500,"Approved",$D$3:$D$500,"&lt;="&amp;E61,$E$3:$E$500,"&gt;="&amp;D61,$A$3:$A$500,"&lt;&gt;"&amp;A61)&gt;0)),0))</f>
        <v/>
      </c>
    </row>
    <row r="62">
      <c r="C62">
        <f>IFERROR(XLOOKUP(B62,Employees!$A$3:$A$500,Employees!$B$3:$B$500,""),"")</f>
        <v/>
      </c>
      <c r="I62">
        <f>IF(AND(B62&lt;&gt;"",D62&lt;&gt;"",E62&lt;&gt;""),E62-D62+1,"")</f>
        <v/>
      </c>
      <c r="J62">
        <f>IF(OR(B62="",D62="",E62=""),"",IF(OR(L62&lt;'Coverage Rules'!E7,M62&lt;'Coverage Rules'!E8,N62&lt;'Coverage Rules'!C8,O62&lt;'Coverage Rules'!E9,P62&lt;'Coverage Rules'!E10,Q62&gt;='Coverage Rules'!B16,R62&gt;='Coverage Rules'!B17,IF(S62="",FALSE,S62&gt;='Coverage Rules'!D24)),"Denied","OK"))</f>
        <v/>
      </c>
      <c r="L62">
        <f>IF(B62="","",IFERROR(SUMPRODUCT((LEN(Employees!$A$3:$A$500)&gt;0)*(Employees!$T$3:$T$500=1)*(COUNTIFS($B$3:$B$500,Employees!$A$3:$A$500,$H$3:$H$500,"Approved",$D$3:$D$500,"&lt;="&amp;E62,$E$3:$E$500,"&gt;="&amp;D62,$A$3:$A$500,"&lt;&gt;"&amp;A62)=0)),0))</f>
        <v/>
      </c>
      <c r="M62">
        <f>IF(B62="","",IFERROR(SUMPRODUCT((LEN(Employees!$A$3:$A$500)&gt;0)*(Employees!$U$3:$U$500=1)*(COUNTIFS($B$3:$B$500,Employees!$A$3:$A$500,$H$3:$H$500,"Approved",$D$3:$D$500,"&lt;="&amp;E62,$E$3:$E$500,"&gt;="&amp;D62,$A$3:$A$500,"&lt;&gt;"&amp;A62)=0)),0))</f>
        <v/>
      </c>
      <c r="N62">
        <f>IF(B62="","",IFERROR(SUMPRODUCT((LEN(Employees!$A$3:$A$500)&gt;0)*(Employees!$B$3:$B$500="Manager")*(Employees!$U$3:$U$500=1)*(COUNTIFS($B$3:$B$500,Employees!$A$3:$A$500,$H$3:$H$500,"Approved",$D$3:$D$500,"&lt;="&amp;E62,$E$3:$E$500,"&gt;="&amp;D62,$A$3:$A$500,"&lt;&gt;"&amp;A62)=0)),0))</f>
        <v/>
      </c>
      <c r="O62">
        <f>IF(B62="","",IFERROR(SUMPRODUCT((LEN(Employees!$A$3:$A$500)&gt;0)*(Employees!$V$3:$V$500=1)*(COUNTIFS($B$3:$B$500,Employees!$A$3:$A$500,$H$3:$H$500,"Approved",$D$3:$D$500,"&lt;="&amp;E62,$E$3:$E$500,"&gt;="&amp;D62,$A$3:$A$500,"&lt;&gt;"&amp;A62)=0)),0))</f>
        <v/>
      </c>
      <c r="P62">
        <f>IF(B62="","",IFERROR(SUMPRODUCT((LEN(Employees!$A$3:$A$500)&gt;0)*(Employees!$W$3:$W$500=1)*(COUNTIFS($B$3:$B$500,Employees!$A$3:$A$500,$H$3:$H$500,"Approved",$D$3:$D$500,"&lt;="&amp;E62,$E$3:$E$500,"&gt;="&amp;D62,$A$3:$A$500,"&lt;&gt;"&amp;A62)=0)),0))</f>
        <v/>
      </c>
      <c r="Q62">
        <f>IF(B62="","",IFERROR(SUMPRODUCT((LEN(Employees!$A$3:$A$500)&gt;0)*(Employees!$N$3:$N$500=1)*(COUNTIFS($B$3:$B$500,Employees!$A$3:$A$500,$H$3:$H$500,"Approved",$D$3:$D$500,"&lt;="&amp;E62,$E$3:$E$500,"&gt;="&amp;D62,$A$3:$A$500,"&lt;&gt;"&amp;A62)&gt;0)),0))</f>
        <v/>
      </c>
      <c r="R62">
        <f>IF(B62="","",IFERROR(SUMPRODUCT((LEN(Employees!$A$3:$A$500)&gt;0)*(Employees!$O$3:$O$500=1)*(COUNTIFS($B$3:$B$500,Employees!$A$3:$A$500,$H$3:$H$500,"Approved",$D$3:$D$500,"&lt;="&amp;E62,$E$3:$E$500,"&gt;="&amp;D62,$A$3:$A$500,"&lt;&gt;"&amp;A62)&gt;0)),0))</f>
        <v/>
      </c>
      <c r="S62">
        <f>IF(OR(B62="",IFERROR(XLOOKUP(B62,Employees!$A$3:$A$500,Employees!$G$3:$G$500,""),"")=""),"",IFERROR(SUMPRODUCT((LEN(Employees!$A$3:$A$500)&gt;0)*(Employees!$G$3:$G$500=IFERROR(XLOOKUP(B62,Employees!$A$3:$A$500,Employees!$G$3:$G$500,""),""))*(COUNTIFS($B$3:$B$500,Employees!$A$3:$A$500,$H$3:$H$500,"Approved",$D$3:$D$500,"&lt;="&amp;E62,$E$3:$E$500,"&gt;="&amp;D62,$A$3:$A$500,"&lt;&gt;"&amp;A62)&gt;0)),0))</f>
        <v/>
      </c>
    </row>
    <row r="63">
      <c r="C63">
        <f>IFERROR(XLOOKUP(B63,Employees!$A$3:$A$500,Employees!$B$3:$B$500,""),"")</f>
        <v/>
      </c>
      <c r="I63">
        <f>IF(AND(B63&lt;&gt;"",D63&lt;&gt;"",E63&lt;&gt;""),E63-D63+1,"")</f>
        <v/>
      </c>
      <c r="J63">
        <f>IF(OR(B63="",D63="",E63=""),"",IF(OR(L63&lt;'Coverage Rules'!E7,M63&lt;'Coverage Rules'!E8,N63&lt;'Coverage Rules'!C8,O63&lt;'Coverage Rules'!E9,P63&lt;'Coverage Rules'!E10,Q63&gt;='Coverage Rules'!B16,R63&gt;='Coverage Rules'!B17,IF(S63="",FALSE,S63&gt;='Coverage Rules'!D24)),"Denied","OK"))</f>
        <v/>
      </c>
      <c r="L63">
        <f>IF(B63="","",IFERROR(SUMPRODUCT((LEN(Employees!$A$3:$A$500)&gt;0)*(Employees!$T$3:$T$500=1)*(COUNTIFS($B$3:$B$500,Employees!$A$3:$A$500,$H$3:$H$500,"Approved",$D$3:$D$500,"&lt;="&amp;E63,$E$3:$E$500,"&gt;="&amp;D63,$A$3:$A$500,"&lt;&gt;"&amp;A63)=0)),0))</f>
        <v/>
      </c>
      <c r="M63">
        <f>IF(B63="","",IFERROR(SUMPRODUCT((LEN(Employees!$A$3:$A$500)&gt;0)*(Employees!$U$3:$U$500=1)*(COUNTIFS($B$3:$B$500,Employees!$A$3:$A$500,$H$3:$H$500,"Approved",$D$3:$D$500,"&lt;="&amp;E63,$E$3:$E$500,"&gt;="&amp;D63,$A$3:$A$500,"&lt;&gt;"&amp;A63)=0)),0))</f>
        <v/>
      </c>
      <c r="N63">
        <f>IF(B63="","",IFERROR(SUMPRODUCT((LEN(Employees!$A$3:$A$500)&gt;0)*(Employees!$B$3:$B$500="Manager")*(Employees!$U$3:$U$500=1)*(COUNTIFS($B$3:$B$500,Employees!$A$3:$A$500,$H$3:$H$500,"Approved",$D$3:$D$500,"&lt;="&amp;E63,$E$3:$E$500,"&gt;="&amp;D63,$A$3:$A$500,"&lt;&gt;"&amp;A63)=0)),0))</f>
        <v/>
      </c>
      <c r="O63">
        <f>IF(B63="","",IFERROR(SUMPRODUCT((LEN(Employees!$A$3:$A$500)&gt;0)*(Employees!$V$3:$V$500=1)*(COUNTIFS($B$3:$B$500,Employees!$A$3:$A$500,$H$3:$H$500,"Approved",$D$3:$D$500,"&lt;="&amp;E63,$E$3:$E$500,"&gt;="&amp;D63,$A$3:$A$500,"&lt;&gt;"&amp;A63)=0)),0))</f>
        <v/>
      </c>
      <c r="P63">
        <f>IF(B63="","",IFERROR(SUMPRODUCT((LEN(Employees!$A$3:$A$500)&gt;0)*(Employees!$W$3:$W$500=1)*(COUNTIFS($B$3:$B$500,Employees!$A$3:$A$500,$H$3:$H$500,"Approved",$D$3:$D$500,"&lt;="&amp;E63,$E$3:$E$500,"&gt;="&amp;D63,$A$3:$A$500,"&lt;&gt;"&amp;A63)=0)),0))</f>
        <v/>
      </c>
      <c r="Q63">
        <f>IF(B63="","",IFERROR(SUMPRODUCT((LEN(Employees!$A$3:$A$500)&gt;0)*(Employees!$N$3:$N$500=1)*(COUNTIFS($B$3:$B$500,Employees!$A$3:$A$500,$H$3:$H$500,"Approved",$D$3:$D$500,"&lt;="&amp;E63,$E$3:$E$500,"&gt;="&amp;D63,$A$3:$A$500,"&lt;&gt;"&amp;A63)&gt;0)),0))</f>
        <v/>
      </c>
      <c r="R63">
        <f>IF(B63="","",IFERROR(SUMPRODUCT((LEN(Employees!$A$3:$A$500)&gt;0)*(Employees!$O$3:$O$500=1)*(COUNTIFS($B$3:$B$500,Employees!$A$3:$A$500,$H$3:$H$500,"Approved",$D$3:$D$500,"&lt;="&amp;E63,$E$3:$E$500,"&gt;="&amp;D63,$A$3:$A$500,"&lt;&gt;"&amp;A63)&gt;0)),0))</f>
        <v/>
      </c>
      <c r="S63">
        <f>IF(OR(B63="",IFERROR(XLOOKUP(B63,Employees!$A$3:$A$500,Employees!$G$3:$G$500,""),"")=""),"",IFERROR(SUMPRODUCT((LEN(Employees!$A$3:$A$500)&gt;0)*(Employees!$G$3:$G$500=IFERROR(XLOOKUP(B63,Employees!$A$3:$A$500,Employees!$G$3:$G$500,""),""))*(COUNTIFS($B$3:$B$500,Employees!$A$3:$A$500,$H$3:$H$500,"Approved",$D$3:$D$500,"&lt;="&amp;E63,$E$3:$E$500,"&gt;="&amp;D63,$A$3:$A$500,"&lt;&gt;"&amp;A63)&gt;0)),0))</f>
        <v/>
      </c>
    </row>
    <row r="64">
      <c r="C64">
        <f>IFERROR(XLOOKUP(B64,Employees!$A$3:$A$500,Employees!$B$3:$B$500,""),"")</f>
        <v/>
      </c>
      <c r="I64">
        <f>IF(AND(B64&lt;&gt;"",D64&lt;&gt;"",E64&lt;&gt;""),E64-D64+1,"")</f>
        <v/>
      </c>
      <c r="J64">
        <f>IF(OR(B64="",D64="",E64=""),"",IF(OR(L64&lt;'Coverage Rules'!E7,M64&lt;'Coverage Rules'!E8,N64&lt;'Coverage Rules'!C8,O64&lt;'Coverage Rules'!E9,P64&lt;'Coverage Rules'!E10,Q64&gt;='Coverage Rules'!B16,R64&gt;='Coverage Rules'!B17,IF(S64="",FALSE,S64&gt;='Coverage Rules'!D24)),"Denied","OK"))</f>
        <v/>
      </c>
      <c r="L64">
        <f>IF(B64="","",IFERROR(SUMPRODUCT((LEN(Employees!$A$3:$A$500)&gt;0)*(Employees!$T$3:$T$500=1)*(COUNTIFS($B$3:$B$500,Employees!$A$3:$A$500,$H$3:$H$500,"Approved",$D$3:$D$500,"&lt;="&amp;E64,$E$3:$E$500,"&gt;="&amp;D64,$A$3:$A$500,"&lt;&gt;"&amp;A64)=0)),0))</f>
        <v/>
      </c>
      <c r="M64">
        <f>IF(B64="","",IFERROR(SUMPRODUCT((LEN(Employees!$A$3:$A$500)&gt;0)*(Employees!$U$3:$U$500=1)*(COUNTIFS($B$3:$B$500,Employees!$A$3:$A$500,$H$3:$H$500,"Approved",$D$3:$D$500,"&lt;="&amp;E64,$E$3:$E$500,"&gt;="&amp;D64,$A$3:$A$500,"&lt;&gt;"&amp;A64)=0)),0))</f>
        <v/>
      </c>
      <c r="N64">
        <f>IF(B64="","",IFERROR(SUMPRODUCT((LEN(Employees!$A$3:$A$500)&gt;0)*(Employees!$B$3:$B$500="Manager")*(Employees!$U$3:$U$500=1)*(COUNTIFS($B$3:$B$500,Employees!$A$3:$A$500,$H$3:$H$500,"Approved",$D$3:$D$500,"&lt;="&amp;E64,$E$3:$E$500,"&gt;="&amp;D64,$A$3:$A$500,"&lt;&gt;"&amp;A64)=0)),0))</f>
        <v/>
      </c>
      <c r="O64">
        <f>IF(B64="","",IFERROR(SUMPRODUCT((LEN(Employees!$A$3:$A$500)&gt;0)*(Employees!$V$3:$V$500=1)*(COUNTIFS($B$3:$B$500,Employees!$A$3:$A$500,$H$3:$H$500,"Approved",$D$3:$D$500,"&lt;="&amp;E64,$E$3:$E$500,"&gt;="&amp;D64,$A$3:$A$500,"&lt;&gt;"&amp;A64)=0)),0))</f>
        <v/>
      </c>
      <c r="P64">
        <f>IF(B64="","",IFERROR(SUMPRODUCT((LEN(Employees!$A$3:$A$500)&gt;0)*(Employees!$W$3:$W$500=1)*(COUNTIFS($B$3:$B$500,Employees!$A$3:$A$500,$H$3:$H$500,"Approved",$D$3:$D$500,"&lt;="&amp;E64,$E$3:$E$500,"&gt;="&amp;D64,$A$3:$A$500,"&lt;&gt;"&amp;A64)=0)),0))</f>
        <v/>
      </c>
      <c r="Q64">
        <f>IF(B64="","",IFERROR(SUMPRODUCT((LEN(Employees!$A$3:$A$500)&gt;0)*(Employees!$N$3:$N$500=1)*(COUNTIFS($B$3:$B$500,Employees!$A$3:$A$500,$H$3:$H$500,"Approved",$D$3:$D$500,"&lt;="&amp;E64,$E$3:$E$500,"&gt;="&amp;D64,$A$3:$A$500,"&lt;&gt;"&amp;A64)&gt;0)),0))</f>
        <v/>
      </c>
      <c r="R64">
        <f>IF(B64="","",IFERROR(SUMPRODUCT((LEN(Employees!$A$3:$A$500)&gt;0)*(Employees!$O$3:$O$500=1)*(COUNTIFS($B$3:$B$500,Employees!$A$3:$A$500,$H$3:$H$500,"Approved",$D$3:$D$500,"&lt;="&amp;E64,$E$3:$E$500,"&gt;="&amp;D64,$A$3:$A$500,"&lt;&gt;"&amp;A64)&gt;0)),0))</f>
        <v/>
      </c>
      <c r="S64">
        <f>IF(OR(B64="",IFERROR(XLOOKUP(B64,Employees!$A$3:$A$500,Employees!$G$3:$G$500,""),"")=""),"",IFERROR(SUMPRODUCT((LEN(Employees!$A$3:$A$500)&gt;0)*(Employees!$G$3:$G$500=IFERROR(XLOOKUP(B64,Employees!$A$3:$A$500,Employees!$G$3:$G$500,""),""))*(COUNTIFS($B$3:$B$500,Employees!$A$3:$A$500,$H$3:$H$500,"Approved",$D$3:$D$500,"&lt;="&amp;E64,$E$3:$E$500,"&gt;="&amp;D64,$A$3:$A$500,"&lt;&gt;"&amp;A64)&gt;0)),0))</f>
        <v/>
      </c>
    </row>
    <row r="65">
      <c r="C65">
        <f>IFERROR(XLOOKUP(B65,Employees!$A$3:$A$500,Employees!$B$3:$B$500,""),"")</f>
        <v/>
      </c>
      <c r="I65">
        <f>IF(AND(B65&lt;&gt;"",D65&lt;&gt;"",E65&lt;&gt;""),E65-D65+1,"")</f>
        <v/>
      </c>
      <c r="J65">
        <f>IF(OR(B65="",D65="",E65=""),"",IF(OR(L65&lt;'Coverage Rules'!E7,M65&lt;'Coverage Rules'!E8,N65&lt;'Coverage Rules'!C8,O65&lt;'Coverage Rules'!E9,P65&lt;'Coverage Rules'!E10,Q65&gt;='Coverage Rules'!B16,R65&gt;='Coverage Rules'!B17,IF(S65="",FALSE,S65&gt;='Coverage Rules'!D24)),"Denied","OK"))</f>
        <v/>
      </c>
      <c r="L65">
        <f>IF(B65="","",IFERROR(SUMPRODUCT((LEN(Employees!$A$3:$A$500)&gt;0)*(Employees!$T$3:$T$500=1)*(COUNTIFS($B$3:$B$500,Employees!$A$3:$A$500,$H$3:$H$500,"Approved",$D$3:$D$500,"&lt;="&amp;E65,$E$3:$E$500,"&gt;="&amp;D65,$A$3:$A$500,"&lt;&gt;"&amp;A65)=0)),0))</f>
        <v/>
      </c>
      <c r="M65">
        <f>IF(B65="","",IFERROR(SUMPRODUCT((LEN(Employees!$A$3:$A$500)&gt;0)*(Employees!$U$3:$U$500=1)*(COUNTIFS($B$3:$B$500,Employees!$A$3:$A$500,$H$3:$H$500,"Approved",$D$3:$D$500,"&lt;="&amp;E65,$E$3:$E$500,"&gt;="&amp;D65,$A$3:$A$500,"&lt;&gt;"&amp;A65)=0)),0))</f>
        <v/>
      </c>
      <c r="N65">
        <f>IF(B65="","",IFERROR(SUMPRODUCT((LEN(Employees!$A$3:$A$500)&gt;0)*(Employees!$B$3:$B$500="Manager")*(Employees!$U$3:$U$500=1)*(COUNTIFS($B$3:$B$500,Employees!$A$3:$A$500,$H$3:$H$500,"Approved",$D$3:$D$500,"&lt;="&amp;E65,$E$3:$E$500,"&gt;="&amp;D65,$A$3:$A$500,"&lt;&gt;"&amp;A65)=0)),0))</f>
        <v/>
      </c>
      <c r="O65">
        <f>IF(B65="","",IFERROR(SUMPRODUCT((LEN(Employees!$A$3:$A$500)&gt;0)*(Employees!$V$3:$V$500=1)*(COUNTIFS($B$3:$B$500,Employees!$A$3:$A$500,$H$3:$H$500,"Approved",$D$3:$D$500,"&lt;="&amp;E65,$E$3:$E$500,"&gt;="&amp;D65,$A$3:$A$500,"&lt;&gt;"&amp;A65)=0)),0))</f>
        <v/>
      </c>
      <c r="P65">
        <f>IF(B65="","",IFERROR(SUMPRODUCT((LEN(Employees!$A$3:$A$500)&gt;0)*(Employees!$W$3:$W$500=1)*(COUNTIFS($B$3:$B$500,Employees!$A$3:$A$500,$H$3:$H$500,"Approved",$D$3:$D$500,"&lt;="&amp;E65,$E$3:$E$500,"&gt;="&amp;D65,$A$3:$A$500,"&lt;&gt;"&amp;A65)=0)),0))</f>
        <v/>
      </c>
      <c r="Q65">
        <f>IF(B65="","",IFERROR(SUMPRODUCT((LEN(Employees!$A$3:$A$500)&gt;0)*(Employees!$N$3:$N$500=1)*(COUNTIFS($B$3:$B$500,Employees!$A$3:$A$500,$H$3:$H$500,"Approved",$D$3:$D$500,"&lt;="&amp;E65,$E$3:$E$500,"&gt;="&amp;D65,$A$3:$A$500,"&lt;&gt;"&amp;A65)&gt;0)),0))</f>
        <v/>
      </c>
      <c r="R65">
        <f>IF(B65="","",IFERROR(SUMPRODUCT((LEN(Employees!$A$3:$A$500)&gt;0)*(Employees!$O$3:$O$500=1)*(COUNTIFS($B$3:$B$500,Employees!$A$3:$A$500,$H$3:$H$500,"Approved",$D$3:$D$500,"&lt;="&amp;E65,$E$3:$E$500,"&gt;="&amp;D65,$A$3:$A$500,"&lt;&gt;"&amp;A65)&gt;0)),0))</f>
        <v/>
      </c>
      <c r="S65">
        <f>IF(OR(B65="",IFERROR(XLOOKUP(B65,Employees!$A$3:$A$500,Employees!$G$3:$G$500,""),"")=""),"",IFERROR(SUMPRODUCT((LEN(Employees!$A$3:$A$500)&gt;0)*(Employees!$G$3:$G$500=IFERROR(XLOOKUP(B65,Employees!$A$3:$A$500,Employees!$G$3:$G$500,""),""))*(COUNTIFS($B$3:$B$500,Employees!$A$3:$A$500,$H$3:$H$500,"Approved",$D$3:$D$500,"&lt;="&amp;E65,$E$3:$E$500,"&gt;="&amp;D65,$A$3:$A$500,"&lt;&gt;"&amp;A65)&gt;0)),0))</f>
        <v/>
      </c>
    </row>
    <row r="66">
      <c r="C66">
        <f>IFERROR(XLOOKUP(B66,Employees!$A$3:$A$500,Employees!$B$3:$B$500,""),"")</f>
        <v/>
      </c>
      <c r="I66">
        <f>IF(AND(B66&lt;&gt;"",D66&lt;&gt;"",E66&lt;&gt;""),E66-D66+1,"")</f>
        <v/>
      </c>
      <c r="J66">
        <f>IF(OR(B66="",D66="",E66=""),"",IF(OR(L66&lt;'Coverage Rules'!E7,M66&lt;'Coverage Rules'!E8,N66&lt;'Coverage Rules'!C8,O66&lt;'Coverage Rules'!E9,P66&lt;'Coverage Rules'!E10,Q66&gt;='Coverage Rules'!B16,R66&gt;='Coverage Rules'!B17,IF(S66="",FALSE,S66&gt;='Coverage Rules'!D24)),"Denied","OK"))</f>
        <v/>
      </c>
      <c r="L66">
        <f>IF(B66="","",IFERROR(SUMPRODUCT((LEN(Employees!$A$3:$A$500)&gt;0)*(Employees!$T$3:$T$500=1)*(COUNTIFS($B$3:$B$500,Employees!$A$3:$A$500,$H$3:$H$500,"Approved",$D$3:$D$500,"&lt;="&amp;E66,$E$3:$E$500,"&gt;="&amp;D66,$A$3:$A$500,"&lt;&gt;"&amp;A66)=0)),0))</f>
        <v/>
      </c>
      <c r="M66">
        <f>IF(B66="","",IFERROR(SUMPRODUCT((LEN(Employees!$A$3:$A$500)&gt;0)*(Employees!$U$3:$U$500=1)*(COUNTIFS($B$3:$B$500,Employees!$A$3:$A$500,$H$3:$H$500,"Approved",$D$3:$D$500,"&lt;="&amp;E66,$E$3:$E$500,"&gt;="&amp;D66,$A$3:$A$500,"&lt;&gt;"&amp;A66)=0)),0))</f>
        <v/>
      </c>
      <c r="N66">
        <f>IF(B66="","",IFERROR(SUMPRODUCT((LEN(Employees!$A$3:$A$500)&gt;0)*(Employees!$B$3:$B$500="Manager")*(Employees!$U$3:$U$500=1)*(COUNTIFS($B$3:$B$500,Employees!$A$3:$A$500,$H$3:$H$500,"Approved",$D$3:$D$500,"&lt;="&amp;E66,$E$3:$E$500,"&gt;="&amp;D66,$A$3:$A$500,"&lt;&gt;"&amp;A66)=0)),0))</f>
        <v/>
      </c>
      <c r="O66">
        <f>IF(B66="","",IFERROR(SUMPRODUCT((LEN(Employees!$A$3:$A$500)&gt;0)*(Employees!$V$3:$V$500=1)*(COUNTIFS($B$3:$B$500,Employees!$A$3:$A$500,$H$3:$H$500,"Approved",$D$3:$D$500,"&lt;="&amp;E66,$E$3:$E$500,"&gt;="&amp;D66,$A$3:$A$500,"&lt;&gt;"&amp;A66)=0)),0))</f>
        <v/>
      </c>
      <c r="P66">
        <f>IF(B66="","",IFERROR(SUMPRODUCT((LEN(Employees!$A$3:$A$500)&gt;0)*(Employees!$W$3:$W$500=1)*(COUNTIFS($B$3:$B$500,Employees!$A$3:$A$500,$H$3:$H$500,"Approved",$D$3:$D$500,"&lt;="&amp;E66,$E$3:$E$500,"&gt;="&amp;D66,$A$3:$A$500,"&lt;&gt;"&amp;A66)=0)),0))</f>
        <v/>
      </c>
      <c r="Q66">
        <f>IF(B66="","",IFERROR(SUMPRODUCT((LEN(Employees!$A$3:$A$500)&gt;0)*(Employees!$N$3:$N$500=1)*(COUNTIFS($B$3:$B$500,Employees!$A$3:$A$500,$H$3:$H$500,"Approved",$D$3:$D$500,"&lt;="&amp;E66,$E$3:$E$500,"&gt;="&amp;D66,$A$3:$A$500,"&lt;&gt;"&amp;A66)&gt;0)),0))</f>
        <v/>
      </c>
      <c r="R66">
        <f>IF(B66="","",IFERROR(SUMPRODUCT((LEN(Employees!$A$3:$A$500)&gt;0)*(Employees!$O$3:$O$500=1)*(COUNTIFS($B$3:$B$500,Employees!$A$3:$A$500,$H$3:$H$500,"Approved",$D$3:$D$500,"&lt;="&amp;E66,$E$3:$E$500,"&gt;="&amp;D66,$A$3:$A$500,"&lt;&gt;"&amp;A66)&gt;0)),0))</f>
        <v/>
      </c>
      <c r="S66">
        <f>IF(OR(B66="",IFERROR(XLOOKUP(B66,Employees!$A$3:$A$500,Employees!$G$3:$G$500,""),"")=""),"",IFERROR(SUMPRODUCT((LEN(Employees!$A$3:$A$500)&gt;0)*(Employees!$G$3:$G$500=IFERROR(XLOOKUP(B66,Employees!$A$3:$A$500,Employees!$G$3:$G$500,""),""))*(COUNTIFS($B$3:$B$500,Employees!$A$3:$A$500,$H$3:$H$500,"Approved",$D$3:$D$500,"&lt;="&amp;E66,$E$3:$E$500,"&gt;="&amp;D66,$A$3:$A$500,"&lt;&gt;"&amp;A66)&gt;0)),0))</f>
        <v/>
      </c>
    </row>
    <row r="67">
      <c r="C67">
        <f>IFERROR(XLOOKUP(B67,Employees!$A$3:$A$500,Employees!$B$3:$B$500,""),"")</f>
        <v/>
      </c>
      <c r="I67">
        <f>IF(AND(B67&lt;&gt;"",D67&lt;&gt;"",E67&lt;&gt;""),E67-D67+1,"")</f>
        <v/>
      </c>
      <c r="J67">
        <f>IF(OR(B67="",D67="",E67=""),"",IF(OR(L67&lt;'Coverage Rules'!E7,M67&lt;'Coverage Rules'!E8,N67&lt;'Coverage Rules'!C8,O67&lt;'Coverage Rules'!E9,P67&lt;'Coverage Rules'!E10,Q67&gt;='Coverage Rules'!B16,R67&gt;='Coverage Rules'!B17,IF(S67="",FALSE,S67&gt;='Coverage Rules'!D24)),"Denied","OK"))</f>
        <v/>
      </c>
      <c r="L67">
        <f>IF(B67="","",IFERROR(SUMPRODUCT((LEN(Employees!$A$3:$A$500)&gt;0)*(Employees!$T$3:$T$500=1)*(COUNTIFS($B$3:$B$500,Employees!$A$3:$A$500,$H$3:$H$500,"Approved",$D$3:$D$500,"&lt;="&amp;E67,$E$3:$E$500,"&gt;="&amp;D67,$A$3:$A$500,"&lt;&gt;"&amp;A67)=0)),0))</f>
        <v/>
      </c>
      <c r="M67">
        <f>IF(B67="","",IFERROR(SUMPRODUCT((LEN(Employees!$A$3:$A$500)&gt;0)*(Employees!$U$3:$U$500=1)*(COUNTIFS($B$3:$B$500,Employees!$A$3:$A$500,$H$3:$H$500,"Approved",$D$3:$D$500,"&lt;="&amp;E67,$E$3:$E$500,"&gt;="&amp;D67,$A$3:$A$500,"&lt;&gt;"&amp;A67)=0)),0))</f>
        <v/>
      </c>
      <c r="N67">
        <f>IF(B67="","",IFERROR(SUMPRODUCT((LEN(Employees!$A$3:$A$500)&gt;0)*(Employees!$B$3:$B$500="Manager")*(Employees!$U$3:$U$500=1)*(COUNTIFS($B$3:$B$500,Employees!$A$3:$A$500,$H$3:$H$500,"Approved",$D$3:$D$500,"&lt;="&amp;E67,$E$3:$E$500,"&gt;="&amp;D67,$A$3:$A$500,"&lt;&gt;"&amp;A67)=0)),0))</f>
        <v/>
      </c>
      <c r="O67">
        <f>IF(B67="","",IFERROR(SUMPRODUCT((LEN(Employees!$A$3:$A$500)&gt;0)*(Employees!$V$3:$V$500=1)*(COUNTIFS($B$3:$B$500,Employees!$A$3:$A$500,$H$3:$H$500,"Approved",$D$3:$D$500,"&lt;="&amp;E67,$E$3:$E$500,"&gt;="&amp;D67,$A$3:$A$500,"&lt;&gt;"&amp;A67)=0)),0))</f>
        <v/>
      </c>
      <c r="P67">
        <f>IF(B67="","",IFERROR(SUMPRODUCT((LEN(Employees!$A$3:$A$500)&gt;0)*(Employees!$W$3:$W$500=1)*(COUNTIFS($B$3:$B$500,Employees!$A$3:$A$500,$H$3:$H$500,"Approved",$D$3:$D$500,"&lt;="&amp;E67,$E$3:$E$500,"&gt;="&amp;D67,$A$3:$A$500,"&lt;&gt;"&amp;A67)=0)),0))</f>
        <v/>
      </c>
      <c r="Q67">
        <f>IF(B67="","",IFERROR(SUMPRODUCT((LEN(Employees!$A$3:$A$500)&gt;0)*(Employees!$N$3:$N$500=1)*(COUNTIFS($B$3:$B$500,Employees!$A$3:$A$500,$H$3:$H$500,"Approved",$D$3:$D$500,"&lt;="&amp;E67,$E$3:$E$500,"&gt;="&amp;D67,$A$3:$A$500,"&lt;&gt;"&amp;A67)&gt;0)),0))</f>
        <v/>
      </c>
      <c r="R67">
        <f>IF(B67="","",IFERROR(SUMPRODUCT((LEN(Employees!$A$3:$A$500)&gt;0)*(Employees!$O$3:$O$500=1)*(COUNTIFS($B$3:$B$500,Employees!$A$3:$A$500,$H$3:$H$500,"Approved",$D$3:$D$500,"&lt;="&amp;E67,$E$3:$E$500,"&gt;="&amp;D67,$A$3:$A$500,"&lt;&gt;"&amp;A67)&gt;0)),0))</f>
        <v/>
      </c>
      <c r="S67">
        <f>IF(OR(B67="",IFERROR(XLOOKUP(B67,Employees!$A$3:$A$500,Employees!$G$3:$G$500,""),"")=""),"",IFERROR(SUMPRODUCT((LEN(Employees!$A$3:$A$500)&gt;0)*(Employees!$G$3:$G$500=IFERROR(XLOOKUP(B67,Employees!$A$3:$A$500,Employees!$G$3:$G$500,""),""))*(COUNTIFS($B$3:$B$500,Employees!$A$3:$A$500,$H$3:$H$500,"Approved",$D$3:$D$500,"&lt;="&amp;E67,$E$3:$E$500,"&gt;="&amp;D67,$A$3:$A$500,"&lt;&gt;"&amp;A67)&gt;0)),0))</f>
        <v/>
      </c>
    </row>
    <row r="68">
      <c r="C68">
        <f>IFERROR(XLOOKUP(B68,Employees!$A$3:$A$500,Employees!$B$3:$B$500,""),"")</f>
        <v/>
      </c>
      <c r="I68">
        <f>IF(AND(B68&lt;&gt;"",D68&lt;&gt;"",E68&lt;&gt;""),E68-D68+1,"")</f>
        <v/>
      </c>
      <c r="J68">
        <f>IF(OR(B68="",D68="",E68=""),"",IF(OR(L68&lt;'Coverage Rules'!E7,M68&lt;'Coverage Rules'!E8,N68&lt;'Coverage Rules'!C8,O68&lt;'Coverage Rules'!E9,P68&lt;'Coverage Rules'!E10,Q68&gt;='Coverage Rules'!B16,R68&gt;='Coverage Rules'!B17,IF(S68="",FALSE,S68&gt;='Coverage Rules'!D24)),"Denied","OK"))</f>
        <v/>
      </c>
      <c r="L68">
        <f>IF(B68="","",IFERROR(SUMPRODUCT((LEN(Employees!$A$3:$A$500)&gt;0)*(Employees!$T$3:$T$500=1)*(COUNTIFS($B$3:$B$500,Employees!$A$3:$A$500,$H$3:$H$500,"Approved",$D$3:$D$500,"&lt;="&amp;E68,$E$3:$E$500,"&gt;="&amp;D68,$A$3:$A$500,"&lt;&gt;"&amp;A68)=0)),0))</f>
        <v/>
      </c>
      <c r="M68">
        <f>IF(B68="","",IFERROR(SUMPRODUCT((LEN(Employees!$A$3:$A$500)&gt;0)*(Employees!$U$3:$U$500=1)*(COUNTIFS($B$3:$B$500,Employees!$A$3:$A$500,$H$3:$H$500,"Approved",$D$3:$D$500,"&lt;="&amp;E68,$E$3:$E$500,"&gt;="&amp;D68,$A$3:$A$500,"&lt;&gt;"&amp;A68)=0)),0))</f>
        <v/>
      </c>
      <c r="N68">
        <f>IF(B68="","",IFERROR(SUMPRODUCT((LEN(Employees!$A$3:$A$500)&gt;0)*(Employees!$B$3:$B$500="Manager")*(Employees!$U$3:$U$500=1)*(COUNTIFS($B$3:$B$500,Employees!$A$3:$A$500,$H$3:$H$500,"Approved",$D$3:$D$500,"&lt;="&amp;E68,$E$3:$E$500,"&gt;="&amp;D68,$A$3:$A$500,"&lt;&gt;"&amp;A68)=0)),0))</f>
        <v/>
      </c>
      <c r="O68">
        <f>IF(B68="","",IFERROR(SUMPRODUCT((LEN(Employees!$A$3:$A$500)&gt;0)*(Employees!$V$3:$V$500=1)*(COUNTIFS($B$3:$B$500,Employees!$A$3:$A$500,$H$3:$H$500,"Approved",$D$3:$D$500,"&lt;="&amp;E68,$E$3:$E$500,"&gt;="&amp;D68,$A$3:$A$500,"&lt;&gt;"&amp;A68)=0)),0))</f>
        <v/>
      </c>
      <c r="P68">
        <f>IF(B68="","",IFERROR(SUMPRODUCT((LEN(Employees!$A$3:$A$500)&gt;0)*(Employees!$W$3:$W$500=1)*(COUNTIFS($B$3:$B$500,Employees!$A$3:$A$500,$H$3:$H$500,"Approved",$D$3:$D$500,"&lt;="&amp;E68,$E$3:$E$500,"&gt;="&amp;D68,$A$3:$A$500,"&lt;&gt;"&amp;A68)=0)),0))</f>
        <v/>
      </c>
      <c r="Q68">
        <f>IF(B68="","",IFERROR(SUMPRODUCT((LEN(Employees!$A$3:$A$500)&gt;0)*(Employees!$N$3:$N$500=1)*(COUNTIFS($B$3:$B$500,Employees!$A$3:$A$500,$H$3:$H$500,"Approved",$D$3:$D$500,"&lt;="&amp;E68,$E$3:$E$500,"&gt;="&amp;D68,$A$3:$A$500,"&lt;&gt;"&amp;A68)&gt;0)),0))</f>
        <v/>
      </c>
      <c r="R68">
        <f>IF(B68="","",IFERROR(SUMPRODUCT((LEN(Employees!$A$3:$A$500)&gt;0)*(Employees!$O$3:$O$500=1)*(COUNTIFS($B$3:$B$500,Employees!$A$3:$A$500,$H$3:$H$500,"Approved",$D$3:$D$500,"&lt;="&amp;E68,$E$3:$E$500,"&gt;="&amp;D68,$A$3:$A$500,"&lt;&gt;"&amp;A68)&gt;0)),0))</f>
        <v/>
      </c>
      <c r="S68">
        <f>IF(OR(B68="",IFERROR(XLOOKUP(B68,Employees!$A$3:$A$500,Employees!$G$3:$G$500,""),"")=""),"",IFERROR(SUMPRODUCT((LEN(Employees!$A$3:$A$500)&gt;0)*(Employees!$G$3:$G$500=IFERROR(XLOOKUP(B68,Employees!$A$3:$A$500,Employees!$G$3:$G$500,""),""))*(COUNTIFS($B$3:$B$500,Employees!$A$3:$A$500,$H$3:$H$500,"Approved",$D$3:$D$500,"&lt;="&amp;E68,$E$3:$E$500,"&gt;="&amp;D68,$A$3:$A$500,"&lt;&gt;"&amp;A68)&gt;0)),0))</f>
        <v/>
      </c>
    </row>
    <row r="69">
      <c r="C69">
        <f>IFERROR(XLOOKUP(B69,Employees!$A$3:$A$500,Employees!$B$3:$B$500,""),"")</f>
        <v/>
      </c>
      <c r="I69">
        <f>IF(AND(B69&lt;&gt;"",D69&lt;&gt;"",E69&lt;&gt;""),E69-D69+1,"")</f>
        <v/>
      </c>
      <c r="J69">
        <f>IF(OR(B69="",D69="",E69=""),"",IF(OR(L69&lt;'Coverage Rules'!E7,M69&lt;'Coverage Rules'!E8,N69&lt;'Coverage Rules'!C8,O69&lt;'Coverage Rules'!E9,P69&lt;'Coverage Rules'!E10,Q69&gt;='Coverage Rules'!B16,R69&gt;='Coverage Rules'!B17,IF(S69="",FALSE,S69&gt;='Coverage Rules'!D24)),"Denied","OK"))</f>
        <v/>
      </c>
      <c r="L69">
        <f>IF(B69="","",IFERROR(SUMPRODUCT((LEN(Employees!$A$3:$A$500)&gt;0)*(Employees!$T$3:$T$500=1)*(COUNTIFS($B$3:$B$500,Employees!$A$3:$A$500,$H$3:$H$500,"Approved",$D$3:$D$500,"&lt;="&amp;E69,$E$3:$E$500,"&gt;="&amp;D69,$A$3:$A$500,"&lt;&gt;"&amp;A69)=0)),0))</f>
        <v/>
      </c>
      <c r="M69">
        <f>IF(B69="","",IFERROR(SUMPRODUCT((LEN(Employees!$A$3:$A$500)&gt;0)*(Employees!$U$3:$U$500=1)*(COUNTIFS($B$3:$B$500,Employees!$A$3:$A$500,$H$3:$H$500,"Approved",$D$3:$D$500,"&lt;="&amp;E69,$E$3:$E$500,"&gt;="&amp;D69,$A$3:$A$500,"&lt;&gt;"&amp;A69)=0)),0))</f>
        <v/>
      </c>
      <c r="N69">
        <f>IF(B69="","",IFERROR(SUMPRODUCT((LEN(Employees!$A$3:$A$500)&gt;0)*(Employees!$B$3:$B$500="Manager")*(Employees!$U$3:$U$500=1)*(COUNTIFS($B$3:$B$500,Employees!$A$3:$A$500,$H$3:$H$500,"Approved",$D$3:$D$500,"&lt;="&amp;E69,$E$3:$E$500,"&gt;="&amp;D69,$A$3:$A$500,"&lt;&gt;"&amp;A69)=0)),0))</f>
        <v/>
      </c>
      <c r="O69">
        <f>IF(B69="","",IFERROR(SUMPRODUCT((LEN(Employees!$A$3:$A$500)&gt;0)*(Employees!$V$3:$V$500=1)*(COUNTIFS($B$3:$B$500,Employees!$A$3:$A$500,$H$3:$H$500,"Approved",$D$3:$D$500,"&lt;="&amp;E69,$E$3:$E$500,"&gt;="&amp;D69,$A$3:$A$500,"&lt;&gt;"&amp;A69)=0)),0))</f>
        <v/>
      </c>
      <c r="P69">
        <f>IF(B69="","",IFERROR(SUMPRODUCT((LEN(Employees!$A$3:$A$500)&gt;0)*(Employees!$W$3:$W$500=1)*(COUNTIFS($B$3:$B$500,Employees!$A$3:$A$500,$H$3:$H$500,"Approved",$D$3:$D$500,"&lt;="&amp;E69,$E$3:$E$500,"&gt;="&amp;D69,$A$3:$A$500,"&lt;&gt;"&amp;A69)=0)),0))</f>
        <v/>
      </c>
      <c r="Q69">
        <f>IF(B69="","",IFERROR(SUMPRODUCT((LEN(Employees!$A$3:$A$500)&gt;0)*(Employees!$N$3:$N$500=1)*(COUNTIFS($B$3:$B$500,Employees!$A$3:$A$500,$H$3:$H$500,"Approved",$D$3:$D$500,"&lt;="&amp;E69,$E$3:$E$500,"&gt;="&amp;D69,$A$3:$A$500,"&lt;&gt;"&amp;A69)&gt;0)),0))</f>
        <v/>
      </c>
      <c r="R69">
        <f>IF(B69="","",IFERROR(SUMPRODUCT((LEN(Employees!$A$3:$A$500)&gt;0)*(Employees!$O$3:$O$500=1)*(COUNTIFS($B$3:$B$500,Employees!$A$3:$A$500,$H$3:$H$500,"Approved",$D$3:$D$500,"&lt;="&amp;E69,$E$3:$E$500,"&gt;="&amp;D69,$A$3:$A$500,"&lt;&gt;"&amp;A69)&gt;0)),0))</f>
        <v/>
      </c>
      <c r="S69">
        <f>IF(OR(B69="",IFERROR(XLOOKUP(B69,Employees!$A$3:$A$500,Employees!$G$3:$G$500,""),"")=""),"",IFERROR(SUMPRODUCT((LEN(Employees!$A$3:$A$500)&gt;0)*(Employees!$G$3:$G$500=IFERROR(XLOOKUP(B69,Employees!$A$3:$A$500,Employees!$G$3:$G$500,""),""))*(COUNTIFS($B$3:$B$500,Employees!$A$3:$A$500,$H$3:$H$500,"Approved",$D$3:$D$500,"&lt;="&amp;E69,$E$3:$E$500,"&gt;="&amp;D69,$A$3:$A$500,"&lt;&gt;"&amp;A69)&gt;0)),0))</f>
        <v/>
      </c>
    </row>
    <row r="70">
      <c r="C70">
        <f>IFERROR(XLOOKUP(B70,Employees!$A$3:$A$500,Employees!$B$3:$B$500,""),"")</f>
        <v/>
      </c>
      <c r="I70">
        <f>IF(AND(B70&lt;&gt;"",D70&lt;&gt;"",E70&lt;&gt;""),E70-D70+1,"")</f>
        <v/>
      </c>
      <c r="J70">
        <f>IF(OR(B70="",D70="",E70=""),"",IF(OR(L70&lt;'Coverage Rules'!E7,M70&lt;'Coverage Rules'!E8,N70&lt;'Coverage Rules'!C8,O70&lt;'Coverage Rules'!E9,P70&lt;'Coverage Rules'!E10,Q70&gt;='Coverage Rules'!B16,R70&gt;='Coverage Rules'!B17,IF(S70="",FALSE,S70&gt;='Coverage Rules'!D24)),"Denied","OK"))</f>
        <v/>
      </c>
      <c r="L70">
        <f>IF(B70="","",IFERROR(SUMPRODUCT((LEN(Employees!$A$3:$A$500)&gt;0)*(Employees!$T$3:$T$500=1)*(COUNTIFS($B$3:$B$500,Employees!$A$3:$A$500,$H$3:$H$500,"Approved",$D$3:$D$500,"&lt;="&amp;E70,$E$3:$E$500,"&gt;="&amp;D70,$A$3:$A$500,"&lt;&gt;"&amp;A70)=0)),0))</f>
        <v/>
      </c>
      <c r="M70">
        <f>IF(B70="","",IFERROR(SUMPRODUCT((LEN(Employees!$A$3:$A$500)&gt;0)*(Employees!$U$3:$U$500=1)*(COUNTIFS($B$3:$B$500,Employees!$A$3:$A$500,$H$3:$H$500,"Approved",$D$3:$D$500,"&lt;="&amp;E70,$E$3:$E$500,"&gt;="&amp;D70,$A$3:$A$500,"&lt;&gt;"&amp;A70)=0)),0))</f>
        <v/>
      </c>
      <c r="N70">
        <f>IF(B70="","",IFERROR(SUMPRODUCT((LEN(Employees!$A$3:$A$500)&gt;0)*(Employees!$B$3:$B$500="Manager")*(Employees!$U$3:$U$500=1)*(COUNTIFS($B$3:$B$500,Employees!$A$3:$A$500,$H$3:$H$500,"Approved",$D$3:$D$500,"&lt;="&amp;E70,$E$3:$E$500,"&gt;="&amp;D70,$A$3:$A$500,"&lt;&gt;"&amp;A70)=0)),0))</f>
        <v/>
      </c>
      <c r="O70">
        <f>IF(B70="","",IFERROR(SUMPRODUCT((LEN(Employees!$A$3:$A$500)&gt;0)*(Employees!$V$3:$V$500=1)*(COUNTIFS($B$3:$B$500,Employees!$A$3:$A$500,$H$3:$H$500,"Approved",$D$3:$D$500,"&lt;="&amp;E70,$E$3:$E$500,"&gt;="&amp;D70,$A$3:$A$500,"&lt;&gt;"&amp;A70)=0)),0))</f>
        <v/>
      </c>
      <c r="P70">
        <f>IF(B70="","",IFERROR(SUMPRODUCT((LEN(Employees!$A$3:$A$500)&gt;0)*(Employees!$W$3:$W$500=1)*(COUNTIFS($B$3:$B$500,Employees!$A$3:$A$500,$H$3:$H$500,"Approved",$D$3:$D$500,"&lt;="&amp;E70,$E$3:$E$500,"&gt;="&amp;D70,$A$3:$A$500,"&lt;&gt;"&amp;A70)=0)),0))</f>
        <v/>
      </c>
      <c r="Q70">
        <f>IF(B70="","",IFERROR(SUMPRODUCT((LEN(Employees!$A$3:$A$500)&gt;0)*(Employees!$N$3:$N$500=1)*(COUNTIFS($B$3:$B$500,Employees!$A$3:$A$500,$H$3:$H$500,"Approved",$D$3:$D$500,"&lt;="&amp;E70,$E$3:$E$500,"&gt;="&amp;D70,$A$3:$A$500,"&lt;&gt;"&amp;A70)&gt;0)),0))</f>
        <v/>
      </c>
      <c r="R70">
        <f>IF(B70="","",IFERROR(SUMPRODUCT((LEN(Employees!$A$3:$A$500)&gt;0)*(Employees!$O$3:$O$500=1)*(COUNTIFS($B$3:$B$500,Employees!$A$3:$A$500,$H$3:$H$500,"Approved",$D$3:$D$500,"&lt;="&amp;E70,$E$3:$E$500,"&gt;="&amp;D70,$A$3:$A$500,"&lt;&gt;"&amp;A70)&gt;0)),0))</f>
        <v/>
      </c>
      <c r="S70">
        <f>IF(OR(B70="",IFERROR(XLOOKUP(B70,Employees!$A$3:$A$500,Employees!$G$3:$G$500,""),"")=""),"",IFERROR(SUMPRODUCT((LEN(Employees!$A$3:$A$500)&gt;0)*(Employees!$G$3:$G$500=IFERROR(XLOOKUP(B70,Employees!$A$3:$A$500,Employees!$G$3:$G$500,""),""))*(COUNTIFS($B$3:$B$500,Employees!$A$3:$A$500,$H$3:$H$500,"Approved",$D$3:$D$500,"&lt;="&amp;E70,$E$3:$E$500,"&gt;="&amp;D70,$A$3:$A$500,"&lt;&gt;"&amp;A70)&gt;0)),0))</f>
        <v/>
      </c>
    </row>
    <row r="71">
      <c r="C71">
        <f>IFERROR(XLOOKUP(B71,Employees!$A$3:$A$500,Employees!$B$3:$B$500,""),"")</f>
        <v/>
      </c>
      <c r="I71">
        <f>IF(AND(B71&lt;&gt;"",D71&lt;&gt;"",E71&lt;&gt;""),E71-D71+1,"")</f>
        <v/>
      </c>
      <c r="J71">
        <f>IF(OR(B71="",D71="",E71=""),"",IF(OR(L71&lt;'Coverage Rules'!E7,M71&lt;'Coverage Rules'!E8,N71&lt;'Coverage Rules'!C8,O71&lt;'Coverage Rules'!E9,P71&lt;'Coverage Rules'!E10,Q71&gt;='Coverage Rules'!B16,R71&gt;='Coverage Rules'!B17,IF(S71="",FALSE,S71&gt;='Coverage Rules'!D24)),"Denied","OK"))</f>
        <v/>
      </c>
      <c r="L71">
        <f>IF(B71="","",IFERROR(SUMPRODUCT((LEN(Employees!$A$3:$A$500)&gt;0)*(Employees!$T$3:$T$500=1)*(COUNTIFS($B$3:$B$500,Employees!$A$3:$A$500,$H$3:$H$500,"Approved",$D$3:$D$500,"&lt;="&amp;E71,$E$3:$E$500,"&gt;="&amp;D71,$A$3:$A$500,"&lt;&gt;"&amp;A71)=0)),0))</f>
        <v/>
      </c>
      <c r="M71">
        <f>IF(B71="","",IFERROR(SUMPRODUCT((LEN(Employees!$A$3:$A$500)&gt;0)*(Employees!$U$3:$U$500=1)*(COUNTIFS($B$3:$B$500,Employees!$A$3:$A$500,$H$3:$H$500,"Approved",$D$3:$D$500,"&lt;="&amp;E71,$E$3:$E$500,"&gt;="&amp;D71,$A$3:$A$500,"&lt;&gt;"&amp;A71)=0)),0))</f>
        <v/>
      </c>
      <c r="N71">
        <f>IF(B71="","",IFERROR(SUMPRODUCT((LEN(Employees!$A$3:$A$500)&gt;0)*(Employees!$B$3:$B$500="Manager")*(Employees!$U$3:$U$500=1)*(COUNTIFS($B$3:$B$500,Employees!$A$3:$A$500,$H$3:$H$500,"Approved",$D$3:$D$500,"&lt;="&amp;E71,$E$3:$E$500,"&gt;="&amp;D71,$A$3:$A$500,"&lt;&gt;"&amp;A71)=0)),0))</f>
        <v/>
      </c>
      <c r="O71">
        <f>IF(B71="","",IFERROR(SUMPRODUCT((LEN(Employees!$A$3:$A$500)&gt;0)*(Employees!$V$3:$V$500=1)*(COUNTIFS($B$3:$B$500,Employees!$A$3:$A$500,$H$3:$H$500,"Approved",$D$3:$D$500,"&lt;="&amp;E71,$E$3:$E$500,"&gt;="&amp;D71,$A$3:$A$500,"&lt;&gt;"&amp;A71)=0)),0))</f>
        <v/>
      </c>
      <c r="P71">
        <f>IF(B71="","",IFERROR(SUMPRODUCT((LEN(Employees!$A$3:$A$500)&gt;0)*(Employees!$W$3:$W$500=1)*(COUNTIFS($B$3:$B$500,Employees!$A$3:$A$500,$H$3:$H$500,"Approved",$D$3:$D$500,"&lt;="&amp;E71,$E$3:$E$500,"&gt;="&amp;D71,$A$3:$A$500,"&lt;&gt;"&amp;A71)=0)),0))</f>
        <v/>
      </c>
      <c r="Q71">
        <f>IF(B71="","",IFERROR(SUMPRODUCT((LEN(Employees!$A$3:$A$500)&gt;0)*(Employees!$N$3:$N$500=1)*(COUNTIFS($B$3:$B$500,Employees!$A$3:$A$500,$H$3:$H$500,"Approved",$D$3:$D$500,"&lt;="&amp;E71,$E$3:$E$500,"&gt;="&amp;D71,$A$3:$A$500,"&lt;&gt;"&amp;A71)&gt;0)),0))</f>
        <v/>
      </c>
      <c r="R71">
        <f>IF(B71="","",IFERROR(SUMPRODUCT((LEN(Employees!$A$3:$A$500)&gt;0)*(Employees!$O$3:$O$500=1)*(COUNTIFS($B$3:$B$500,Employees!$A$3:$A$500,$H$3:$H$500,"Approved",$D$3:$D$500,"&lt;="&amp;E71,$E$3:$E$500,"&gt;="&amp;D71,$A$3:$A$500,"&lt;&gt;"&amp;A71)&gt;0)),0))</f>
        <v/>
      </c>
      <c r="S71">
        <f>IF(OR(B71="",IFERROR(XLOOKUP(B71,Employees!$A$3:$A$500,Employees!$G$3:$G$500,""),"")=""),"",IFERROR(SUMPRODUCT((LEN(Employees!$A$3:$A$500)&gt;0)*(Employees!$G$3:$G$500=IFERROR(XLOOKUP(B71,Employees!$A$3:$A$500,Employees!$G$3:$G$500,""),""))*(COUNTIFS($B$3:$B$500,Employees!$A$3:$A$500,$H$3:$H$500,"Approved",$D$3:$D$500,"&lt;="&amp;E71,$E$3:$E$500,"&gt;="&amp;D71,$A$3:$A$500,"&lt;&gt;"&amp;A71)&gt;0)),0))</f>
        <v/>
      </c>
    </row>
    <row r="72">
      <c r="C72">
        <f>IFERROR(XLOOKUP(B72,Employees!$A$3:$A$500,Employees!$B$3:$B$500,""),"")</f>
        <v/>
      </c>
      <c r="I72">
        <f>IF(AND(B72&lt;&gt;"",D72&lt;&gt;"",E72&lt;&gt;""),E72-D72+1,"")</f>
        <v/>
      </c>
      <c r="J72">
        <f>IF(OR(B72="",D72="",E72=""),"",IF(OR(L72&lt;'Coverage Rules'!E7,M72&lt;'Coverage Rules'!E8,N72&lt;'Coverage Rules'!C8,O72&lt;'Coverage Rules'!E9,P72&lt;'Coverage Rules'!E10,Q72&gt;='Coverage Rules'!B16,R72&gt;='Coverage Rules'!B17,IF(S72="",FALSE,S72&gt;='Coverage Rules'!D24)),"Denied","OK"))</f>
        <v/>
      </c>
      <c r="L72">
        <f>IF(B72="","",IFERROR(SUMPRODUCT((LEN(Employees!$A$3:$A$500)&gt;0)*(Employees!$T$3:$T$500=1)*(COUNTIFS($B$3:$B$500,Employees!$A$3:$A$500,$H$3:$H$500,"Approved",$D$3:$D$500,"&lt;="&amp;E72,$E$3:$E$500,"&gt;="&amp;D72,$A$3:$A$500,"&lt;&gt;"&amp;A72)=0)),0))</f>
        <v/>
      </c>
      <c r="M72">
        <f>IF(B72="","",IFERROR(SUMPRODUCT((LEN(Employees!$A$3:$A$500)&gt;0)*(Employees!$U$3:$U$500=1)*(COUNTIFS($B$3:$B$500,Employees!$A$3:$A$500,$H$3:$H$500,"Approved",$D$3:$D$500,"&lt;="&amp;E72,$E$3:$E$500,"&gt;="&amp;D72,$A$3:$A$500,"&lt;&gt;"&amp;A72)=0)),0))</f>
        <v/>
      </c>
      <c r="N72">
        <f>IF(B72="","",IFERROR(SUMPRODUCT((LEN(Employees!$A$3:$A$500)&gt;0)*(Employees!$B$3:$B$500="Manager")*(Employees!$U$3:$U$500=1)*(COUNTIFS($B$3:$B$500,Employees!$A$3:$A$500,$H$3:$H$500,"Approved",$D$3:$D$500,"&lt;="&amp;E72,$E$3:$E$500,"&gt;="&amp;D72,$A$3:$A$500,"&lt;&gt;"&amp;A72)=0)),0))</f>
        <v/>
      </c>
      <c r="O72">
        <f>IF(B72="","",IFERROR(SUMPRODUCT((LEN(Employees!$A$3:$A$500)&gt;0)*(Employees!$V$3:$V$500=1)*(COUNTIFS($B$3:$B$500,Employees!$A$3:$A$500,$H$3:$H$500,"Approved",$D$3:$D$500,"&lt;="&amp;E72,$E$3:$E$500,"&gt;="&amp;D72,$A$3:$A$500,"&lt;&gt;"&amp;A72)=0)),0))</f>
        <v/>
      </c>
      <c r="P72">
        <f>IF(B72="","",IFERROR(SUMPRODUCT((LEN(Employees!$A$3:$A$500)&gt;0)*(Employees!$W$3:$W$500=1)*(COUNTIFS($B$3:$B$500,Employees!$A$3:$A$500,$H$3:$H$500,"Approved",$D$3:$D$500,"&lt;="&amp;E72,$E$3:$E$500,"&gt;="&amp;D72,$A$3:$A$500,"&lt;&gt;"&amp;A72)=0)),0))</f>
        <v/>
      </c>
      <c r="Q72">
        <f>IF(B72="","",IFERROR(SUMPRODUCT((LEN(Employees!$A$3:$A$500)&gt;0)*(Employees!$N$3:$N$500=1)*(COUNTIFS($B$3:$B$500,Employees!$A$3:$A$500,$H$3:$H$500,"Approved",$D$3:$D$500,"&lt;="&amp;E72,$E$3:$E$500,"&gt;="&amp;D72,$A$3:$A$500,"&lt;&gt;"&amp;A72)&gt;0)),0))</f>
        <v/>
      </c>
      <c r="R72">
        <f>IF(B72="","",IFERROR(SUMPRODUCT((LEN(Employees!$A$3:$A$500)&gt;0)*(Employees!$O$3:$O$500=1)*(COUNTIFS($B$3:$B$500,Employees!$A$3:$A$500,$H$3:$H$500,"Approved",$D$3:$D$500,"&lt;="&amp;E72,$E$3:$E$500,"&gt;="&amp;D72,$A$3:$A$500,"&lt;&gt;"&amp;A72)&gt;0)),0))</f>
        <v/>
      </c>
      <c r="S72">
        <f>IF(OR(B72="",IFERROR(XLOOKUP(B72,Employees!$A$3:$A$500,Employees!$G$3:$G$500,""),"")=""),"",IFERROR(SUMPRODUCT((LEN(Employees!$A$3:$A$500)&gt;0)*(Employees!$G$3:$G$500=IFERROR(XLOOKUP(B72,Employees!$A$3:$A$500,Employees!$G$3:$G$500,""),""))*(COUNTIFS($B$3:$B$500,Employees!$A$3:$A$500,$H$3:$H$500,"Approved",$D$3:$D$500,"&lt;="&amp;E72,$E$3:$E$500,"&gt;="&amp;D72,$A$3:$A$500,"&lt;&gt;"&amp;A72)&gt;0)),0))</f>
        <v/>
      </c>
    </row>
    <row r="73">
      <c r="C73">
        <f>IFERROR(XLOOKUP(B73,Employees!$A$3:$A$500,Employees!$B$3:$B$500,""),"")</f>
        <v/>
      </c>
      <c r="I73">
        <f>IF(AND(B73&lt;&gt;"",D73&lt;&gt;"",E73&lt;&gt;""),E73-D73+1,"")</f>
        <v/>
      </c>
      <c r="J73">
        <f>IF(OR(B73="",D73="",E73=""),"",IF(OR(L73&lt;'Coverage Rules'!E7,M73&lt;'Coverage Rules'!E8,N73&lt;'Coverage Rules'!C8,O73&lt;'Coverage Rules'!E9,P73&lt;'Coverage Rules'!E10,Q73&gt;='Coverage Rules'!B16,R73&gt;='Coverage Rules'!B17,IF(S73="",FALSE,S73&gt;='Coverage Rules'!D24)),"Denied","OK"))</f>
        <v/>
      </c>
      <c r="L73">
        <f>IF(B73="","",IFERROR(SUMPRODUCT((LEN(Employees!$A$3:$A$500)&gt;0)*(Employees!$T$3:$T$500=1)*(COUNTIFS($B$3:$B$500,Employees!$A$3:$A$500,$H$3:$H$500,"Approved",$D$3:$D$500,"&lt;="&amp;E73,$E$3:$E$500,"&gt;="&amp;D73,$A$3:$A$500,"&lt;&gt;"&amp;A73)=0)),0))</f>
        <v/>
      </c>
      <c r="M73">
        <f>IF(B73="","",IFERROR(SUMPRODUCT((LEN(Employees!$A$3:$A$500)&gt;0)*(Employees!$U$3:$U$500=1)*(COUNTIFS($B$3:$B$500,Employees!$A$3:$A$500,$H$3:$H$500,"Approved",$D$3:$D$500,"&lt;="&amp;E73,$E$3:$E$500,"&gt;="&amp;D73,$A$3:$A$500,"&lt;&gt;"&amp;A73)=0)),0))</f>
        <v/>
      </c>
      <c r="N73">
        <f>IF(B73="","",IFERROR(SUMPRODUCT((LEN(Employees!$A$3:$A$500)&gt;0)*(Employees!$B$3:$B$500="Manager")*(Employees!$U$3:$U$500=1)*(COUNTIFS($B$3:$B$500,Employees!$A$3:$A$500,$H$3:$H$500,"Approved",$D$3:$D$500,"&lt;="&amp;E73,$E$3:$E$500,"&gt;="&amp;D73,$A$3:$A$500,"&lt;&gt;"&amp;A73)=0)),0))</f>
        <v/>
      </c>
      <c r="O73">
        <f>IF(B73="","",IFERROR(SUMPRODUCT((LEN(Employees!$A$3:$A$500)&gt;0)*(Employees!$V$3:$V$500=1)*(COUNTIFS($B$3:$B$500,Employees!$A$3:$A$500,$H$3:$H$500,"Approved",$D$3:$D$500,"&lt;="&amp;E73,$E$3:$E$500,"&gt;="&amp;D73,$A$3:$A$500,"&lt;&gt;"&amp;A73)=0)),0))</f>
        <v/>
      </c>
      <c r="P73">
        <f>IF(B73="","",IFERROR(SUMPRODUCT((LEN(Employees!$A$3:$A$500)&gt;0)*(Employees!$W$3:$W$500=1)*(COUNTIFS($B$3:$B$500,Employees!$A$3:$A$500,$H$3:$H$500,"Approved",$D$3:$D$500,"&lt;="&amp;E73,$E$3:$E$500,"&gt;="&amp;D73,$A$3:$A$500,"&lt;&gt;"&amp;A73)=0)),0))</f>
        <v/>
      </c>
      <c r="Q73">
        <f>IF(B73="","",IFERROR(SUMPRODUCT((LEN(Employees!$A$3:$A$500)&gt;0)*(Employees!$N$3:$N$500=1)*(COUNTIFS($B$3:$B$500,Employees!$A$3:$A$500,$H$3:$H$500,"Approved",$D$3:$D$500,"&lt;="&amp;E73,$E$3:$E$500,"&gt;="&amp;D73,$A$3:$A$500,"&lt;&gt;"&amp;A73)&gt;0)),0))</f>
        <v/>
      </c>
      <c r="R73">
        <f>IF(B73="","",IFERROR(SUMPRODUCT((LEN(Employees!$A$3:$A$500)&gt;0)*(Employees!$O$3:$O$500=1)*(COUNTIFS($B$3:$B$500,Employees!$A$3:$A$500,$H$3:$H$500,"Approved",$D$3:$D$500,"&lt;="&amp;E73,$E$3:$E$500,"&gt;="&amp;D73,$A$3:$A$500,"&lt;&gt;"&amp;A73)&gt;0)),0))</f>
        <v/>
      </c>
      <c r="S73">
        <f>IF(OR(B73="",IFERROR(XLOOKUP(B73,Employees!$A$3:$A$500,Employees!$G$3:$G$500,""),"")=""),"",IFERROR(SUMPRODUCT((LEN(Employees!$A$3:$A$500)&gt;0)*(Employees!$G$3:$G$500=IFERROR(XLOOKUP(B73,Employees!$A$3:$A$500,Employees!$G$3:$G$500,""),""))*(COUNTIFS($B$3:$B$500,Employees!$A$3:$A$500,$H$3:$H$500,"Approved",$D$3:$D$500,"&lt;="&amp;E73,$E$3:$E$500,"&gt;="&amp;D73,$A$3:$A$500,"&lt;&gt;"&amp;A73)&gt;0)),0))</f>
        <v/>
      </c>
    </row>
    <row r="74">
      <c r="C74">
        <f>IFERROR(XLOOKUP(B74,Employees!$A$3:$A$500,Employees!$B$3:$B$500,""),"")</f>
        <v/>
      </c>
      <c r="I74">
        <f>IF(AND(B74&lt;&gt;"",D74&lt;&gt;"",E74&lt;&gt;""),E74-D74+1,"")</f>
        <v/>
      </c>
      <c r="J74">
        <f>IF(OR(B74="",D74="",E74=""),"",IF(OR(L74&lt;'Coverage Rules'!E7,M74&lt;'Coverage Rules'!E8,N74&lt;'Coverage Rules'!C8,O74&lt;'Coverage Rules'!E9,P74&lt;'Coverage Rules'!E10,Q74&gt;='Coverage Rules'!B16,R74&gt;='Coverage Rules'!B17,IF(S74="",FALSE,S74&gt;='Coverage Rules'!D24)),"Denied","OK"))</f>
        <v/>
      </c>
      <c r="L74">
        <f>IF(B74="","",IFERROR(SUMPRODUCT((LEN(Employees!$A$3:$A$500)&gt;0)*(Employees!$T$3:$T$500=1)*(COUNTIFS($B$3:$B$500,Employees!$A$3:$A$500,$H$3:$H$500,"Approved",$D$3:$D$500,"&lt;="&amp;E74,$E$3:$E$500,"&gt;="&amp;D74,$A$3:$A$500,"&lt;&gt;"&amp;A74)=0)),0))</f>
        <v/>
      </c>
      <c r="M74">
        <f>IF(B74="","",IFERROR(SUMPRODUCT((LEN(Employees!$A$3:$A$500)&gt;0)*(Employees!$U$3:$U$500=1)*(COUNTIFS($B$3:$B$500,Employees!$A$3:$A$500,$H$3:$H$500,"Approved",$D$3:$D$500,"&lt;="&amp;E74,$E$3:$E$500,"&gt;="&amp;D74,$A$3:$A$500,"&lt;&gt;"&amp;A74)=0)),0))</f>
        <v/>
      </c>
      <c r="N74">
        <f>IF(B74="","",IFERROR(SUMPRODUCT((LEN(Employees!$A$3:$A$500)&gt;0)*(Employees!$B$3:$B$500="Manager")*(Employees!$U$3:$U$500=1)*(COUNTIFS($B$3:$B$500,Employees!$A$3:$A$500,$H$3:$H$500,"Approved",$D$3:$D$500,"&lt;="&amp;E74,$E$3:$E$500,"&gt;="&amp;D74,$A$3:$A$500,"&lt;&gt;"&amp;A74)=0)),0))</f>
        <v/>
      </c>
      <c r="O74">
        <f>IF(B74="","",IFERROR(SUMPRODUCT((LEN(Employees!$A$3:$A$500)&gt;0)*(Employees!$V$3:$V$500=1)*(COUNTIFS($B$3:$B$500,Employees!$A$3:$A$500,$H$3:$H$500,"Approved",$D$3:$D$500,"&lt;="&amp;E74,$E$3:$E$500,"&gt;="&amp;D74,$A$3:$A$500,"&lt;&gt;"&amp;A74)=0)),0))</f>
        <v/>
      </c>
      <c r="P74">
        <f>IF(B74="","",IFERROR(SUMPRODUCT((LEN(Employees!$A$3:$A$500)&gt;0)*(Employees!$W$3:$W$500=1)*(COUNTIFS($B$3:$B$500,Employees!$A$3:$A$500,$H$3:$H$500,"Approved",$D$3:$D$500,"&lt;="&amp;E74,$E$3:$E$500,"&gt;="&amp;D74,$A$3:$A$500,"&lt;&gt;"&amp;A74)=0)),0))</f>
        <v/>
      </c>
      <c r="Q74">
        <f>IF(B74="","",IFERROR(SUMPRODUCT((LEN(Employees!$A$3:$A$500)&gt;0)*(Employees!$N$3:$N$500=1)*(COUNTIFS($B$3:$B$500,Employees!$A$3:$A$500,$H$3:$H$500,"Approved",$D$3:$D$500,"&lt;="&amp;E74,$E$3:$E$500,"&gt;="&amp;D74,$A$3:$A$500,"&lt;&gt;"&amp;A74)&gt;0)),0))</f>
        <v/>
      </c>
      <c r="R74">
        <f>IF(B74="","",IFERROR(SUMPRODUCT((LEN(Employees!$A$3:$A$500)&gt;0)*(Employees!$O$3:$O$500=1)*(COUNTIFS($B$3:$B$500,Employees!$A$3:$A$500,$H$3:$H$500,"Approved",$D$3:$D$500,"&lt;="&amp;E74,$E$3:$E$500,"&gt;="&amp;D74,$A$3:$A$500,"&lt;&gt;"&amp;A74)&gt;0)),0))</f>
        <v/>
      </c>
      <c r="S74">
        <f>IF(OR(B74="",IFERROR(XLOOKUP(B74,Employees!$A$3:$A$500,Employees!$G$3:$G$500,""),"")=""),"",IFERROR(SUMPRODUCT((LEN(Employees!$A$3:$A$500)&gt;0)*(Employees!$G$3:$G$500=IFERROR(XLOOKUP(B74,Employees!$A$3:$A$500,Employees!$G$3:$G$500,""),""))*(COUNTIFS($B$3:$B$500,Employees!$A$3:$A$500,$H$3:$H$500,"Approved",$D$3:$D$500,"&lt;="&amp;E74,$E$3:$E$500,"&gt;="&amp;D74,$A$3:$A$500,"&lt;&gt;"&amp;A74)&gt;0)),0))</f>
        <v/>
      </c>
    </row>
    <row r="75">
      <c r="C75">
        <f>IFERROR(XLOOKUP(B75,Employees!$A$3:$A$500,Employees!$B$3:$B$500,""),"")</f>
        <v/>
      </c>
      <c r="I75">
        <f>IF(AND(B75&lt;&gt;"",D75&lt;&gt;"",E75&lt;&gt;""),E75-D75+1,"")</f>
        <v/>
      </c>
      <c r="J75">
        <f>IF(OR(B75="",D75="",E75=""),"",IF(OR(L75&lt;'Coverage Rules'!E7,M75&lt;'Coverage Rules'!E8,N75&lt;'Coverage Rules'!C8,O75&lt;'Coverage Rules'!E9,P75&lt;'Coverage Rules'!E10,Q75&gt;='Coverage Rules'!B16,R75&gt;='Coverage Rules'!B17,IF(S75="",FALSE,S75&gt;='Coverage Rules'!D24)),"Denied","OK"))</f>
        <v/>
      </c>
      <c r="L75">
        <f>IF(B75="","",IFERROR(SUMPRODUCT((LEN(Employees!$A$3:$A$500)&gt;0)*(Employees!$T$3:$T$500=1)*(COUNTIFS($B$3:$B$500,Employees!$A$3:$A$500,$H$3:$H$500,"Approved",$D$3:$D$500,"&lt;="&amp;E75,$E$3:$E$500,"&gt;="&amp;D75,$A$3:$A$500,"&lt;&gt;"&amp;A75)=0)),0))</f>
        <v/>
      </c>
      <c r="M75">
        <f>IF(B75="","",IFERROR(SUMPRODUCT((LEN(Employees!$A$3:$A$500)&gt;0)*(Employees!$U$3:$U$500=1)*(COUNTIFS($B$3:$B$500,Employees!$A$3:$A$500,$H$3:$H$500,"Approved",$D$3:$D$500,"&lt;="&amp;E75,$E$3:$E$500,"&gt;="&amp;D75,$A$3:$A$500,"&lt;&gt;"&amp;A75)=0)),0))</f>
        <v/>
      </c>
      <c r="N75">
        <f>IF(B75="","",IFERROR(SUMPRODUCT((LEN(Employees!$A$3:$A$500)&gt;0)*(Employees!$B$3:$B$500="Manager")*(Employees!$U$3:$U$500=1)*(COUNTIFS($B$3:$B$500,Employees!$A$3:$A$500,$H$3:$H$500,"Approved",$D$3:$D$500,"&lt;="&amp;E75,$E$3:$E$500,"&gt;="&amp;D75,$A$3:$A$500,"&lt;&gt;"&amp;A75)=0)),0))</f>
        <v/>
      </c>
      <c r="O75">
        <f>IF(B75="","",IFERROR(SUMPRODUCT((LEN(Employees!$A$3:$A$500)&gt;0)*(Employees!$V$3:$V$500=1)*(COUNTIFS($B$3:$B$500,Employees!$A$3:$A$500,$H$3:$H$500,"Approved",$D$3:$D$500,"&lt;="&amp;E75,$E$3:$E$500,"&gt;="&amp;D75,$A$3:$A$500,"&lt;&gt;"&amp;A75)=0)),0))</f>
        <v/>
      </c>
      <c r="P75">
        <f>IF(B75="","",IFERROR(SUMPRODUCT((LEN(Employees!$A$3:$A$500)&gt;0)*(Employees!$W$3:$W$500=1)*(COUNTIFS($B$3:$B$500,Employees!$A$3:$A$500,$H$3:$H$500,"Approved",$D$3:$D$500,"&lt;="&amp;E75,$E$3:$E$500,"&gt;="&amp;D75,$A$3:$A$500,"&lt;&gt;"&amp;A75)=0)),0))</f>
        <v/>
      </c>
      <c r="Q75">
        <f>IF(B75="","",IFERROR(SUMPRODUCT((LEN(Employees!$A$3:$A$500)&gt;0)*(Employees!$N$3:$N$500=1)*(COUNTIFS($B$3:$B$500,Employees!$A$3:$A$500,$H$3:$H$500,"Approved",$D$3:$D$500,"&lt;="&amp;E75,$E$3:$E$500,"&gt;="&amp;D75,$A$3:$A$500,"&lt;&gt;"&amp;A75)&gt;0)),0))</f>
        <v/>
      </c>
      <c r="R75">
        <f>IF(B75="","",IFERROR(SUMPRODUCT((LEN(Employees!$A$3:$A$500)&gt;0)*(Employees!$O$3:$O$500=1)*(COUNTIFS($B$3:$B$500,Employees!$A$3:$A$500,$H$3:$H$500,"Approved",$D$3:$D$500,"&lt;="&amp;E75,$E$3:$E$500,"&gt;="&amp;D75,$A$3:$A$500,"&lt;&gt;"&amp;A75)&gt;0)),0))</f>
        <v/>
      </c>
      <c r="S75">
        <f>IF(OR(B75="",IFERROR(XLOOKUP(B75,Employees!$A$3:$A$500,Employees!$G$3:$G$500,""),"")=""),"",IFERROR(SUMPRODUCT((LEN(Employees!$A$3:$A$500)&gt;0)*(Employees!$G$3:$G$500=IFERROR(XLOOKUP(B75,Employees!$A$3:$A$500,Employees!$G$3:$G$500,""),""))*(COUNTIFS($B$3:$B$500,Employees!$A$3:$A$500,$H$3:$H$500,"Approved",$D$3:$D$500,"&lt;="&amp;E75,$E$3:$E$500,"&gt;="&amp;D75,$A$3:$A$500,"&lt;&gt;"&amp;A75)&gt;0)),0))</f>
        <v/>
      </c>
    </row>
    <row r="76">
      <c r="C76">
        <f>IFERROR(XLOOKUP(B76,Employees!$A$3:$A$500,Employees!$B$3:$B$500,""),"")</f>
        <v/>
      </c>
      <c r="I76">
        <f>IF(AND(B76&lt;&gt;"",D76&lt;&gt;"",E76&lt;&gt;""),E76-D76+1,"")</f>
        <v/>
      </c>
      <c r="J76">
        <f>IF(OR(B76="",D76="",E76=""),"",IF(OR(L76&lt;'Coverage Rules'!E7,M76&lt;'Coverage Rules'!E8,N76&lt;'Coverage Rules'!C8,O76&lt;'Coverage Rules'!E9,P76&lt;'Coverage Rules'!E10,Q76&gt;='Coverage Rules'!B16,R76&gt;='Coverage Rules'!B17,IF(S76="",FALSE,S76&gt;='Coverage Rules'!D24)),"Denied","OK"))</f>
        <v/>
      </c>
      <c r="L76">
        <f>IF(B76="","",IFERROR(SUMPRODUCT((LEN(Employees!$A$3:$A$500)&gt;0)*(Employees!$T$3:$T$500=1)*(COUNTIFS($B$3:$B$500,Employees!$A$3:$A$500,$H$3:$H$500,"Approved",$D$3:$D$500,"&lt;="&amp;E76,$E$3:$E$500,"&gt;="&amp;D76,$A$3:$A$500,"&lt;&gt;"&amp;A76)=0)),0))</f>
        <v/>
      </c>
      <c r="M76">
        <f>IF(B76="","",IFERROR(SUMPRODUCT((LEN(Employees!$A$3:$A$500)&gt;0)*(Employees!$U$3:$U$500=1)*(COUNTIFS($B$3:$B$500,Employees!$A$3:$A$500,$H$3:$H$500,"Approved",$D$3:$D$500,"&lt;="&amp;E76,$E$3:$E$500,"&gt;="&amp;D76,$A$3:$A$500,"&lt;&gt;"&amp;A76)=0)),0))</f>
        <v/>
      </c>
      <c r="N76">
        <f>IF(B76="","",IFERROR(SUMPRODUCT((LEN(Employees!$A$3:$A$500)&gt;0)*(Employees!$B$3:$B$500="Manager")*(Employees!$U$3:$U$500=1)*(COUNTIFS($B$3:$B$500,Employees!$A$3:$A$500,$H$3:$H$500,"Approved",$D$3:$D$500,"&lt;="&amp;E76,$E$3:$E$500,"&gt;="&amp;D76,$A$3:$A$500,"&lt;&gt;"&amp;A76)=0)),0))</f>
        <v/>
      </c>
      <c r="O76">
        <f>IF(B76="","",IFERROR(SUMPRODUCT((LEN(Employees!$A$3:$A$500)&gt;0)*(Employees!$V$3:$V$500=1)*(COUNTIFS($B$3:$B$500,Employees!$A$3:$A$500,$H$3:$H$500,"Approved",$D$3:$D$500,"&lt;="&amp;E76,$E$3:$E$500,"&gt;="&amp;D76,$A$3:$A$500,"&lt;&gt;"&amp;A76)=0)),0))</f>
        <v/>
      </c>
      <c r="P76">
        <f>IF(B76="","",IFERROR(SUMPRODUCT((LEN(Employees!$A$3:$A$500)&gt;0)*(Employees!$W$3:$W$500=1)*(COUNTIFS($B$3:$B$500,Employees!$A$3:$A$500,$H$3:$H$500,"Approved",$D$3:$D$500,"&lt;="&amp;E76,$E$3:$E$500,"&gt;="&amp;D76,$A$3:$A$500,"&lt;&gt;"&amp;A76)=0)),0))</f>
        <v/>
      </c>
      <c r="Q76">
        <f>IF(B76="","",IFERROR(SUMPRODUCT((LEN(Employees!$A$3:$A$500)&gt;0)*(Employees!$N$3:$N$500=1)*(COUNTIFS($B$3:$B$500,Employees!$A$3:$A$500,$H$3:$H$500,"Approved",$D$3:$D$500,"&lt;="&amp;E76,$E$3:$E$500,"&gt;="&amp;D76,$A$3:$A$500,"&lt;&gt;"&amp;A76)&gt;0)),0))</f>
        <v/>
      </c>
      <c r="R76">
        <f>IF(B76="","",IFERROR(SUMPRODUCT((LEN(Employees!$A$3:$A$500)&gt;0)*(Employees!$O$3:$O$500=1)*(COUNTIFS($B$3:$B$500,Employees!$A$3:$A$500,$H$3:$H$500,"Approved",$D$3:$D$500,"&lt;="&amp;E76,$E$3:$E$500,"&gt;="&amp;D76,$A$3:$A$500,"&lt;&gt;"&amp;A76)&gt;0)),0))</f>
        <v/>
      </c>
      <c r="S76">
        <f>IF(OR(B76="",IFERROR(XLOOKUP(B76,Employees!$A$3:$A$500,Employees!$G$3:$G$500,""),"")=""),"",IFERROR(SUMPRODUCT((LEN(Employees!$A$3:$A$500)&gt;0)*(Employees!$G$3:$G$500=IFERROR(XLOOKUP(B76,Employees!$A$3:$A$500,Employees!$G$3:$G$500,""),""))*(COUNTIFS($B$3:$B$500,Employees!$A$3:$A$500,$H$3:$H$500,"Approved",$D$3:$D$500,"&lt;="&amp;E76,$E$3:$E$500,"&gt;="&amp;D76,$A$3:$A$500,"&lt;&gt;"&amp;A76)&gt;0)),0))</f>
        <v/>
      </c>
    </row>
    <row r="77">
      <c r="C77">
        <f>IFERROR(XLOOKUP(B77,Employees!$A$3:$A$500,Employees!$B$3:$B$500,""),"")</f>
        <v/>
      </c>
      <c r="I77">
        <f>IF(AND(B77&lt;&gt;"",D77&lt;&gt;"",E77&lt;&gt;""),E77-D77+1,"")</f>
        <v/>
      </c>
      <c r="J77">
        <f>IF(OR(B77="",D77="",E77=""),"",IF(OR(L77&lt;'Coverage Rules'!E7,M77&lt;'Coverage Rules'!E8,N77&lt;'Coverage Rules'!C8,O77&lt;'Coverage Rules'!E9,P77&lt;'Coverage Rules'!E10,Q77&gt;='Coverage Rules'!B16,R77&gt;='Coverage Rules'!B17,IF(S77="",FALSE,S77&gt;='Coverage Rules'!D24)),"Denied","OK"))</f>
        <v/>
      </c>
      <c r="L77">
        <f>IF(B77="","",IFERROR(SUMPRODUCT((LEN(Employees!$A$3:$A$500)&gt;0)*(Employees!$T$3:$T$500=1)*(COUNTIFS($B$3:$B$500,Employees!$A$3:$A$500,$H$3:$H$500,"Approved",$D$3:$D$500,"&lt;="&amp;E77,$E$3:$E$500,"&gt;="&amp;D77,$A$3:$A$500,"&lt;&gt;"&amp;A77)=0)),0))</f>
        <v/>
      </c>
      <c r="M77">
        <f>IF(B77="","",IFERROR(SUMPRODUCT((LEN(Employees!$A$3:$A$500)&gt;0)*(Employees!$U$3:$U$500=1)*(COUNTIFS($B$3:$B$500,Employees!$A$3:$A$500,$H$3:$H$500,"Approved",$D$3:$D$500,"&lt;="&amp;E77,$E$3:$E$500,"&gt;="&amp;D77,$A$3:$A$500,"&lt;&gt;"&amp;A77)=0)),0))</f>
        <v/>
      </c>
      <c r="N77">
        <f>IF(B77="","",IFERROR(SUMPRODUCT((LEN(Employees!$A$3:$A$500)&gt;0)*(Employees!$B$3:$B$500="Manager")*(Employees!$U$3:$U$500=1)*(COUNTIFS($B$3:$B$500,Employees!$A$3:$A$500,$H$3:$H$500,"Approved",$D$3:$D$500,"&lt;="&amp;E77,$E$3:$E$500,"&gt;="&amp;D77,$A$3:$A$500,"&lt;&gt;"&amp;A77)=0)),0))</f>
        <v/>
      </c>
      <c r="O77">
        <f>IF(B77="","",IFERROR(SUMPRODUCT((LEN(Employees!$A$3:$A$500)&gt;0)*(Employees!$V$3:$V$500=1)*(COUNTIFS($B$3:$B$500,Employees!$A$3:$A$500,$H$3:$H$500,"Approved",$D$3:$D$500,"&lt;="&amp;E77,$E$3:$E$500,"&gt;="&amp;D77,$A$3:$A$500,"&lt;&gt;"&amp;A77)=0)),0))</f>
        <v/>
      </c>
      <c r="P77">
        <f>IF(B77="","",IFERROR(SUMPRODUCT((LEN(Employees!$A$3:$A$500)&gt;0)*(Employees!$W$3:$W$500=1)*(COUNTIFS($B$3:$B$500,Employees!$A$3:$A$500,$H$3:$H$500,"Approved",$D$3:$D$500,"&lt;="&amp;E77,$E$3:$E$500,"&gt;="&amp;D77,$A$3:$A$500,"&lt;&gt;"&amp;A77)=0)),0))</f>
        <v/>
      </c>
      <c r="Q77">
        <f>IF(B77="","",IFERROR(SUMPRODUCT((LEN(Employees!$A$3:$A$500)&gt;0)*(Employees!$N$3:$N$500=1)*(COUNTIFS($B$3:$B$500,Employees!$A$3:$A$500,$H$3:$H$500,"Approved",$D$3:$D$500,"&lt;="&amp;E77,$E$3:$E$500,"&gt;="&amp;D77,$A$3:$A$500,"&lt;&gt;"&amp;A77)&gt;0)),0))</f>
        <v/>
      </c>
      <c r="R77">
        <f>IF(B77="","",IFERROR(SUMPRODUCT((LEN(Employees!$A$3:$A$500)&gt;0)*(Employees!$O$3:$O$500=1)*(COUNTIFS($B$3:$B$500,Employees!$A$3:$A$500,$H$3:$H$500,"Approved",$D$3:$D$500,"&lt;="&amp;E77,$E$3:$E$500,"&gt;="&amp;D77,$A$3:$A$500,"&lt;&gt;"&amp;A77)&gt;0)),0))</f>
        <v/>
      </c>
      <c r="S77">
        <f>IF(OR(B77="",IFERROR(XLOOKUP(B77,Employees!$A$3:$A$500,Employees!$G$3:$G$500,""),"")=""),"",IFERROR(SUMPRODUCT((LEN(Employees!$A$3:$A$500)&gt;0)*(Employees!$G$3:$G$500=IFERROR(XLOOKUP(B77,Employees!$A$3:$A$500,Employees!$G$3:$G$500,""),""))*(COUNTIFS($B$3:$B$500,Employees!$A$3:$A$500,$H$3:$H$500,"Approved",$D$3:$D$500,"&lt;="&amp;E77,$E$3:$E$500,"&gt;="&amp;D77,$A$3:$A$500,"&lt;&gt;"&amp;A77)&gt;0)),0))</f>
        <v/>
      </c>
    </row>
    <row r="78">
      <c r="C78">
        <f>IFERROR(XLOOKUP(B78,Employees!$A$3:$A$500,Employees!$B$3:$B$500,""),"")</f>
        <v/>
      </c>
      <c r="I78">
        <f>IF(AND(B78&lt;&gt;"",D78&lt;&gt;"",E78&lt;&gt;""),E78-D78+1,"")</f>
        <v/>
      </c>
      <c r="J78">
        <f>IF(OR(B78="",D78="",E78=""),"",IF(OR(L78&lt;'Coverage Rules'!E7,M78&lt;'Coverage Rules'!E8,N78&lt;'Coverage Rules'!C8,O78&lt;'Coverage Rules'!E9,P78&lt;'Coverage Rules'!E10,Q78&gt;='Coverage Rules'!B16,R78&gt;='Coverage Rules'!B17,IF(S78="",FALSE,S78&gt;='Coverage Rules'!D24)),"Denied","OK"))</f>
        <v/>
      </c>
      <c r="L78">
        <f>IF(B78="","",IFERROR(SUMPRODUCT((LEN(Employees!$A$3:$A$500)&gt;0)*(Employees!$T$3:$T$500=1)*(COUNTIFS($B$3:$B$500,Employees!$A$3:$A$500,$H$3:$H$500,"Approved",$D$3:$D$500,"&lt;="&amp;E78,$E$3:$E$500,"&gt;="&amp;D78,$A$3:$A$500,"&lt;&gt;"&amp;A78)=0)),0))</f>
        <v/>
      </c>
      <c r="M78">
        <f>IF(B78="","",IFERROR(SUMPRODUCT((LEN(Employees!$A$3:$A$500)&gt;0)*(Employees!$U$3:$U$500=1)*(COUNTIFS($B$3:$B$500,Employees!$A$3:$A$500,$H$3:$H$500,"Approved",$D$3:$D$500,"&lt;="&amp;E78,$E$3:$E$500,"&gt;="&amp;D78,$A$3:$A$500,"&lt;&gt;"&amp;A78)=0)),0))</f>
        <v/>
      </c>
      <c r="N78">
        <f>IF(B78="","",IFERROR(SUMPRODUCT((LEN(Employees!$A$3:$A$500)&gt;0)*(Employees!$B$3:$B$500="Manager")*(Employees!$U$3:$U$500=1)*(COUNTIFS($B$3:$B$500,Employees!$A$3:$A$500,$H$3:$H$500,"Approved",$D$3:$D$500,"&lt;="&amp;E78,$E$3:$E$500,"&gt;="&amp;D78,$A$3:$A$500,"&lt;&gt;"&amp;A78)=0)),0))</f>
        <v/>
      </c>
      <c r="O78">
        <f>IF(B78="","",IFERROR(SUMPRODUCT((LEN(Employees!$A$3:$A$500)&gt;0)*(Employees!$V$3:$V$500=1)*(COUNTIFS($B$3:$B$500,Employees!$A$3:$A$500,$H$3:$H$500,"Approved",$D$3:$D$500,"&lt;="&amp;E78,$E$3:$E$500,"&gt;="&amp;D78,$A$3:$A$500,"&lt;&gt;"&amp;A78)=0)),0))</f>
        <v/>
      </c>
      <c r="P78">
        <f>IF(B78="","",IFERROR(SUMPRODUCT((LEN(Employees!$A$3:$A$500)&gt;0)*(Employees!$W$3:$W$500=1)*(COUNTIFS($B$3:$B$500,Employees!$A$3:$A$500,$H$3:$H$500,"Approved",$D$3:$D$500,"&lt;="&amp;E78,$E$3:$E$500,"&gt;="&amp;D78,$A$3:$A$500,"&lt;&gt;"&amp;A78)=0)),0))</f>
        <v/>
      </c>
      <c r="Q78">
        <f>IF(B78="","",IFERROR(SUMPRODUCT((LEN(Employees!$A$3:$A$500)&gt;0)*(Employees!$N$3:$N$500=1)*(COUNTIFS($B$3:$B$500,Employees!$A$3:$A$500,$H$3:$H$500,"Approved",$D$3:$D$500,"&lt;="&amp;E78,$E$3:$E$500,"&gt;="&amp;D78,$A$3:$A$500,"&lt;&gt;"&amp;A78)&gt;0)),0))</f>
        <v/>
      </c>
      <c r="R78">
        <f>IF(B78="","",IFERROR(SUMPRODUCT((LEN(Employees!$A$3:$A$500)&gt;0)*(Employees!$O$3:$O$500=1)*(COUNTIFS($B$3:$B$500,Employees!$A$3:$A$500,$H$3:$H$500,"Approved",$D$3:$D$500,"&lt;="&amp;E78,$E$3:$E$500,"&gt;="&amp;D78,$A$3:$A$500,"&lt;&gt;"&amp;A78)&gt;0)),0))</f>
        <v/>
      </c>
      <c r="S78">
        <f>IF(OR(B78="",IFERROR(XLOOKUP(B78,Employees!$A$3:$A$500,Employees!$G$3:$G$500,""),"")=""),"",IFERROR(SUMPRODUCT((LEN(Employees!$A$3:$A$500)&gt;0)*(Employees!$G$3:$G$500=IFERROR(XLOOKUP(B78,Employees!$A$3:$A$500,Employees!$G$3:$G$500,""),""))*(COUNTIFS($B$3:$B$500,Employees!$A$3:$A$500,$H$3:$H$500,"Approved",$D$3:$D$500,"&lt;="&amp;E78,$E$3:$E$500,"&gt;="&amp;D78,$A$3:$A$500,"&lt;&gt;"&amp;A78)&gt;0)),0))</f>
        <v/>
      </c>
    </row>
    <row r="79">
      <c r="C79">
        <f>IFERROR(XLOOKUP(B79,Employees!$A$3:$A$500,Employees!$B$3:$B$500,""),"")</f>
        <v/>
      </c>
      <c r="I79">
        <f>IF(AND(B79&lt;&gt;"",D79&lt;&gt;"",E79&lt;&gt;""),E79-D79+1,"")</f>
        <v/>
      </c>
      <c r="J79">
        <f>IF(OR(B79="",D79="",E79=""),"",IF(OR(L79&lt;'Coverage Rules'!E7,M79&lt;'Coverage Rules'!E8,N79&lt;'Coverage Rules'!C8,O79&lt;'Coverage Rules'!E9,P79&lt;'Coverage Rules'!E10,Q79&gt;='Coverage Rules'!B16,R79&gt;='Coverage Rules'!B17,IF(S79="",FALSE,S79&gt;='Coverage Rules'!D24)),"Denied","OK"))</f>
        <v/>
      </c>
      <c r="L79">
        <f>IF(B79="","",IFERROR(SUMPRODUCT((LEN(Employees!$A$3:$A$500)&gt;0)*(Employees!$T$3:$T$500=1)*(COUNTIFS($B$3:$B$500,Employees!$A$3:$A$500,$H$3:$H$500,"Approved",$D$3:$D$500,"&lt;="&amp;E79,$E$3:$E$500,"&gt;="&amp;D79,$A$3:$A$500,"&lt;&gt;"&amp;A79)=0)),0))</f>
        <v/>
      </c>
      <c r="M79">
        <f>IF(B79="","",IFERROR(SUMPRODUCT((LEN(Employees!$A$3:$A$500)&gt;0)*(Employees!$U$3:$U$500=1)*(COUNTIFS($B$3:$B$500,Employees!$A$3:$A$500,$H$3:$H$500,"Approved",$D$3:$D$500,"&lt;="&amp;E79,$E$3:$E$500,"&gt;="&amp;D79,$A$3:$A$500,"&lt;&gt;"&amp;A79)=0)),0))</f>
        <v/>
      </c>
      <c r="N79">
        <f>IF(B79="","",IFERROR(SUMPRODUCT((LEN(Employees!$A$3:$A$500)&gt;0)*(Employees!$B$3:$B$500="Manager")*(Employees!$U$3:$U$500=1)*(COUNTIFS($B$3:$B$500,Employees!$A$3:$A$500,$H$3:$H$500,"Approved",$D$3:$D$500,"&lt;="&amp;E79,$E$3:$E$500,"&gt;="&amp;D79,$A$3:$A$500,"&lt;&gt;"&amp;A79)=0)),0))</f>
        <v/>
      </c>
      <c r="O79">
        <f>IF(B79="","",IFERROR(SUMPRODUCT((LEN(Employees!$A$3:$A$500)&gt;0)*(Employees!$V$3:$V$500=1)*(COUNTIFS($B$3:$B$500,Employees!$A$3:$A$500,$H$3:$H$500,"Approved",$D$3:$D$500,"&lt;="&amp;E79,$E$3:$E$500,"&gt;="&amp;D79,$A$3:$A$500,"&lt;&gt;"&amp;A79)=0)),0))</f>
        <v/>
      </c>
      <c r="P79">
        <f>IF(B79="","",IFERROR(SUMPRODUCT((LEN(Employees!$A$3:$A$500)&gt;0)*(Employees!$W$3:$W$500=1)*(COUNTIFS($B$3:$B$500,Employees!$A$3:$A$500,$H$3:$H$500,"Approved",$D$3:$D$500,"&lt;="&amp;E79,$E$3:$E$500,"&gt;="&amp;D79,$A$3:$A$500,"&lt;&gt;"&amp;A79)=0)),0))</f>
        <v/>
      </c>
      <c r="Q79">
        <f>IF(B79="","",IFERROR(SUMPRODUCT((LEN(Employees!$A$3:$A$500)&gt;0)*(Employees!$N$3:$N$500=1)*(COUNTIFS($B$3:$B$500,Employees!$A$3:$A$500,$H$3:$H$500,"Approved",$D$3:$D$500,"&lt;="&amp;E79,$E$3:$E$500,"&gt;="&amp;D79,$A$3:$A$500,"&lt;&gt;"&amp;A79)&gt;0)),0))</f>
        <v/>
      </c>
      <c r="R79">
        <f>IF(B79="","",IFERROR(SUMPRODUCT((LEN(Employees!$A$3:$A$500)&gt;0)*(Employees!$O$3:$O$500=1)*(COUNTIFS($B$3:$B$500,Employees!$A$3:$A$500,$H$3:$H$500,"Approved",$D$3:$D$500,"&lt;="&amp;E79,$E$3:$E$500,"&gt;="&amp;D79,$A$3:$A$500,"&lt;&gt;"&amp;A79)&gt;0)),0))</f>
        <v/>
      </c>
      <c r="S79">
        <f>IF(OR(B79="",IFERROR(XLOOKUP(B79,Employees!$A$3:$A$500,Employees!$G$3:$G$500,""),"")=""),"",IFERROR(SUMPRODUCT((LEN(Employees!$A$3:$A$500)&gt;0)*(Employees!$G$3:$G$500=IFERROR(XLOOKUP(B79,Employees!$A$3:$A$500,Employees!$G$3:$G$500,""),""))*(COUNTIFS($B$3:$B$500,Employees!$A$3:$A$500,$H$3:$H$500,"Approved",$D$3:$D$500,"&lt;="&amp;E79,$E$3:$E$500,"&gt;="&amp;D79,$A$3:$A$500,"&lt;&gt;"&amp;A79)&gt;0)),0))</f>
        <v/>
      </c>
    </row>
    <row r="80">
      <c r="C80">
        <f>IFERROR(XLOOKUP(B80,Employees!$A$3:$A$500,Employees!$B$3:$B$500,""),"")</f>
        <v/>
      </c>
      <c r="I80">
        <f>IF(AND(B80&lt;&gt;"",D80&lt;&gt;"",E80&lt;&gt;""),E80-D80+1,"")</f>
        <v/>
      </c>
      <c r="J80">
        <f>IF(OR(B80="",D80="",E80=""),"",IF(OR(L80&lt;'Coverage Rules'!E7,M80&lt;'Coverage Rules'!E8,N80&lt;'Coverage Rules'!C8,O80&lt;'Coverage Rules'!E9,P80&lt;'Coverage Rules'!E10,Q80&gt;='Coverage Rules'!B16,R80&gt;='Coverage Rules'!B17,IF(S80="",FALSE,S80&gt;='Coverage Rules'!D24)),"Denied","OK"))</f>
        <v/>
      </c>
      <c r="L80">
        <f>IF(B80="","",IFERROR(SUMPRODUCT((LEN(Employees!$A$3:$A$500)&gt;0)*(Employees!$T$3:$T$500=1)*(COUNTIFS($B$3:$B$500,Employees!$A$3:$A$500,$H$3:$H$500,"Approved",$D$3:$D$500,"&lt;="&amp;E80,$E$3:$E$500,"&gt;="&amp;D80,$A$3:$A$500,"&lt;&gt;"&amp;A80)=0)),0))</f>
        <v/>
      </c>
      <c r="M80">
        <f>IF(B80="","",IFERROR(SUMPRODUCT((LEN(Employees!$A$3:$A$500)&gt;0)*(Employees!$U$3:$U$500=1)*(COUNTIFS($B$3:$B$500,Employees!$A$3:$A$500,$H$3:$H$500,"Approved",$D$3:$D$500,"&lt;="&amp;E80,$E$3:$E$500,"&gt;="&amp;D80,$A$3:$A$500,"&lt;&gt;"&amp;A80)=0)),0))</f>
        <v/>
      </c>
      <c r="N80">
        <f>IF(B80="","",IFERROR(SUMPRODUCT((LEN(Employees!$A$3:$A$500)&gt;0)*(Employees!$B$3:$B$500="Manager")*(Employees!$U$3:$U$500=1)*(COUNTIFS($B$3:$B$500,Employees!$A$3:$A$500,$H$3:$H$500,"Approved",$D$3:$D$500,"&lt;="&amp;E80,$E$3:$E$500,"&gt;="&amp;D80,$A$3:$A$500,"&lt;&gt;"&amp;A80)=0)),0))</f>
        <v/>
      </c>
      <c r="O80">
        <f>IF(B80="","",IFERROR(SUMPRODUCT((LEN(Employees!$A$3:$A$500)&gt;0)*(Employees!$V$3:$V$500=1)*(COUNTIFS($B$3:$B$500,Employees!$A$3:$A$500,$H$3:$H$500,"Approved",$D$3:$D$500,"&lt;="&amp;E80,$E$3:$E$500,"&gt;="&amp;D80,$A$3:$A$500,"&lt;&gt;"&amp;A80)=0)),0))</f>
        <v/>
      </c>
      <c r="P80">
        <f>IF(B80="","",IFERROR(SUMPRODUCT((LEN(Employees!$A$3:$A$500)&gt;0)*(Employees!$W$3:$W$500=1)*(COUNTIFS($B$3:$B$500,Employees!$A$3:$A$500,$H$3:$H$500,"Approved",$D$3:$D$500,"&lt;="&amp;E80,$E$3:$E$500,"&gt;="&amp;D80,$A$3:$A$500,"&lt;&gt;"&amp;A80)=0)),0))</f>
        <v/>
      </c>
      <c r="Q80">
        <f>IF(B80="","",IFERROR(SUMPRODUCT((LEN(Employees!$A$3:$A$500)&gt;0)*(Employees!$N$3:$N$500=1)*(COUNTIFS($B$3:$B$500,Employees!$A$3:$A$500,$H$3:$H$500,"Approved",$D$3:$D$500,"&lt;="&amp;E80,$E$3:$E$500,"&gt;="&amp;D80,$A$3:$A$500,"&lt;&gt;"&amp;A80)&gt;0)),0))</f>
        <v/>
      </c>
      <c r="R80">
        <f>IF(B80="","",IFERROR(SUMPRODUCT((LEN(Employees!$A$3:$A$500)&gt;0)*(Employees!$O$3:$O$500=1)*(COUNTIFS($B$3:$B$500,Employees!$A$3:$A$500,$H$3:$H$500,"Approved",$D$3:$D$500,"&lt;="&amp;E80,$E$3:$E$500,"&gt;="&amp;D80,$A$3:$A$500,"&lt;&gt;"&amp;A80)&gt;0)),0))</f>
        <v/>
      </c>
      <c r="S80">
        <f>IF(OR(B80="",IFERROR(XLOOKUP(B80,Employees!$A$3:$A$500,Employees!$G$3:$G$500,""),"")=""),"",IFERROR(SUMPRODUCT((LEN(Employees!$A$3:$A$500)&gt;0)*(Employees!$G$3:$G$500=IFERROR(XLOOKUP(B80,Employees!$A$3:$A$500,Employees!$G$3:$G$500,""),""))*(COUNTIFS($B$3:$B$500,Employees!$A$3:$A$500,$H$3:$H$500,"Approved",$D$3:$D$500,"&lt;="&amp;E80,$E$3:$E$500,"&gt;="&amp;D80,$A$3:$A$500,"&lt;&gt;"&amp;A80)&gt;0)),0))</f>
        <v/>
      </c>
    </row>
    <row r="81">
      <c r="C81">
        <f>IFERROR(XLOOKUP(B81,Employees!$A$3:$A$500,Employees!$B$3:$B$500,""),"")</f>
        <v/>
      </c>
      <c r="I81">
        <f>IF(AND(B81&lt;&gt;"",D81&lt;&gt;"",E81&lt;&gt;""),E81-D81+1,"")</f>
        <v/>
      </c>
      <c r="J81">
        <f>IF(OR(B81="",D81="",E81=""),"",IF(OR(L81&lt;'Coverage Rules'!E7,M81&lt;'Coverage Rules'!E8,N81&lt;'Coverage Rules'!C8,O81&lt;'Coverage Rules'!E9,P81&lt;'Coverage Rules'!E10,Q81&gt;='Coverage Rules'!B16,R81&gt;='Coverage Rules'!B17,IF(S81="",FALSE,S81&gt;='Coverage Rules'!D24)),"Denied","OK"))</f>
        <v/>
      </c>
      <c r="L81">
        <f>IF(B81="","",IFERROR(SUMPRODUCT((LEN(Employees!$A$3:$A$500)&gt;0)*(Employees!$T$3:$T$500=1)*(COUNTIFS($B$3:$B$500,Employees!$A$3:$A$500,$H$3:$H$500,"Approved",$D$3:$D$500,"&lt;="&amp;E81,$E$3:$E$500,"&gt;="&amp;D81,$A$3:$A$500,"&lt;&gt;"&amp;A81)=0)),0))</f>
        <v/>
      </c>
      <c r="M81">
        <f>IF(B81="","",IFERROR(SUMPRODUCT((LEN(Employees!$A$3:$A$500)&gt;0)*(Employees!$U$3:$U$500=1)*(COUNTIFS($B$3:$B$500,Employees!$A$3:$A$500,$H$3:$H$500,"Approved",$D$3:$D$500,"&lt;="&amp;E81,$E$3:$E$500,"&gt;="&amp;D81,$A$3:$A$500,"&lt;&gt;"&amp;A81)=0)),0))</f>
        <v/>
      </c>
      <c r="N81">
        <f>IF(B81="","",IFERROR(SUMPRODUCT((LEN(Employees!$A$3:$A$500)&gt;0)*(Employees!$B$3:$B$500="Manager")*(Employees!$U$3:$U$500=1)*(COUNTIFS($B$3:$B$500,Employees!$A$3:$A$500,$H$3:$H$500,"Approved",$D$3:$D$500,"&lt;="&amp;E81,$E$3:$E$500,"&gt;="&amp;D81,$A$3:$A$500,"&lt;&gt;"&amp;A81)=0)),0))</f>
        <v/>
      </c>
      <c r="O81">
        <f>IF(B81="","",IFERROR(SUMPRODUCT((LEN(Employees!$A$3:$A$500)&gt;0)*(Employees!$V$3:$V$500=1)*(COUNTIFS($B$3:$B$500,Employees!$A$3:$A$500,$H$3:$H$500,"Approved",$D$3:$D$500,"&lt;="&amp;E81,$E$3:$E$500,"&gt;="&amp;D81,$A$3:$A$500,"&lt;&gt;"&amp;A81)=0)),0))</f>
        <v/>
      </c>
      <c r="P81">
        <f>IF(B81="","",IFERROR(SUMPRODUCT((LEN(Employees!$A$3:$A$500)&gt;0)*(Employees!$W$3:$W$500=1)*(COUNTIFS($B$3:$B$500,Employees!$A$3:$A$500,$H$3:$H$500,"Approved",$D$3:$D$500,"&lt;="&amp;E81,$E$3:$E$500,"&gt;="&amp;D81,$A$3:$A$500,"&lt;&gt;"&amp;A81)=0)),0))</f>
        <v/>
      </c>
      <c r="Q81">
        <f>IF(B81="","",IFERROR(SUMPRODUCT((LEN(Employees!$A$3:$A$500)&gt;0)*(Employees!$N$3:$N$500=1)*(COUNTIFS($B$3:$B$500,Employees!$A$3:$A$500,$H$3:$H$500,"Approved",$D$3:$D$500,"&lt;="&amp;E81,$E$3:$E$500,"&gt;="&amp;D81,$A$3:$A$500,"&lt;&gt;"&amp;A81)&gt;0)),0))</f>
        <v/>
      </c>
      <c r="R81">
        <f>IF(B81="","",IFERROR(SUMPRODUCT((LEN(Employees!$A$3:$A$500)&gt;0)*(Employees!$O$3:$O$500=1)*(COUNTIFS($B$3:$B$500,Employees!$A$3:$A$500,$H$3:$H$500,"Approved",$D$3:$D$500,"&lt;="&amp;E81,$E$3:$E$500,"&gt;="&amp;D81,$A$3:$A$500,"&lt;&gt;"&amp;A81)&gt;0)),0))</f>
        <v/>
      </c>
      <c r="S81">
        <f>IF(OR(B81="",IFERROR(XLOOKUP(B81,Employees!$A$3:$A$500,Employees!$G$3:$G$500,""),"")=""),"",IFERROR(SUMPRODUCT((LEN(Employees!$A$3:$A$500)&gt;0)*(Employees!$G$3:$G$500=IFERROR(XLOOKUP(B81,Employees!$A$3:$A$500,Employees!$G$3:$G$500,""),""))*(COUNTIFS($B$3:$B$500,Employees!$A$3:$A$500,$H$3:$H$500,"Approved",$D$3:$D$500,"&lt;="&amp;E81,$E$3:$E$500,"&gt;="&amp;D81,$A$3:$A$500,"&lt;&gt;"&amp;A81)&gt;0)),0))</f>
        <v/>
      </c>
    </row>
    <row r="82">
      <c r="C82">
        <f>IFERROR(XLOOKUP(B82,Employees!$A$3:$A$500,Employees!$B$3:$B$500,""),"")</f>
        <v/>
      </c>
      <c r="I82">
        <f>IF(AND(B82&lt;&gt;"",D82&lt;&gt;"",E82&lt;&gt;""),E82-D82+1,"")</f>
        <v/>
      </c>
      <c r="J82">
        <f>IF(OR(B82="",D82="",E82=""),"",IF(OR(L82&lt;'Coverage Rules'!E7,M82&lt;'Coverage Rules'!E8,N82&lt;'Coverage Rules'!C8,O82&lt;'Coverage Rules'!E9,P82&lt;'Coverage Rules'!E10,Q82&gt;='Coverage Rules'!B16,R82&gt;='Coverage Rules'!B17,IF(S82="",FALSE,S82&gt;='Coverage Rules'!D24)),"Denied","OK"))</f>
        <v/>
      </c>
      <c r="L82">
        <f>IF(B82="","",IFERROR(SUMPRODUCT((LEN(Employees!$A$3:$A$500)&gt;0)*(Employees!$T$3:$T$500=1)*(COUNTIFS($B$3:$B$500,Employees!$A$3:$A$500,$H$3:$H$500,"Approved",$D$3:$D$500,"&lt;="&amp;E82,$E$3:$E$500,"&gt;="&amp;D82,$A$3:$A$500,"&lt;&gt;"&amp;A82)=0)),0))</f>
        <v/>
      </c>
      <c r="M82">
        <f>IF(B82="","",IFERROR(SUMPRODUCT((LEN(Employees!$A$3:$A$500)&gt;0)*(Employees!$U$3:$U$500=1)*(COUNTIFS($B$3:$B$500,Employees!$A$3:$A$500,$H$3:$H$500,"Approved",$D$3:$D$500,"&lt;="&amp;E82,$E$3:$E$500,"&gt;="&amp;D82,$A$3:$A$500,"&lt;&gt;"&amp;A82)=0)),0))</f>
        <v/>
      </c>
      <c r="N82">
        <f>IF(B82="","",IFERROR(SUMPRODUCT((LEN(Employees!$A$3:$A$500)&gt;0)*(Employees!$B$3:$B$500="Manager")*(Employees!$U$3:$U$500=1)*(COUNTIFS($B$3:$B$500,Employees!$A$3:$A$500,$H$3:$H$500,"Approved",$D$3:$D$500,"&lt;="&amp;E82,$E$3:$E$500,"&gt;="&amp;D82,$A$3:$A$500,"&lt;&gt;"&amp;A82)=0)),0))</f>
        <v/>
      </c>
      <c r="O82">
        <f>IF(B82="","",IFERROR(SUMPRODUCT((LEN(Employees!$A$3:$A$500)&gt;0)*(Employees!$V$3:$V$500=1)*(COUNTIFS($B$3:$B$500,Employees!$A$3:$A$500,$H$3:$H$500,"Approved",$D$3:$D$500,"&lt;="&amp;E82,$E$3:$E$500,"&gt;="&amp;D82,$A$3:$A$500,"&lt;&gt;"&amp;A82)=0)),0))</f>
        <v/>
      </c>
      <c r="P82">
        <f>IF(B82="","",IFERROR(SUMPRODUCT((LEN(Employees!$A$3:$A$500)&gt;0)*(Employees!$W$3:$W$500=1)*(COUNTIFS($B$3:$B$500,Employees!$A$3:$A$500,$H$3:$H$500,"Approved",$D$3:$D$500,"&lt;="&amp;E82,$E$3:$E$500,"&gt;="&amp;D82,$A$3:$A$500,"&lt;&gt;"&amp;A82)=0)),0))</f>
        <v/>
      </c>
      <c r="Q82">
        <f>IF(B82="","",IFERROR(SUMPRODUCT((LEN(Employees!$A$3:$A$500)&gt;0)*(Employees!$N$3:$N$500=1)*(COUNTIFS($B$3:$B$500,Employees!$A$3:$A$500,$H$3:$H$500,"Approved",$D$3:$D$500,"&lt;="&amp;E82,$E$3:$E$500,"&gt;="&amp;D82,$A$3:$A$500,"&lt;&gt;"&amp;A82)&gt;0)),0))</f>
        <v/>
      </c>
      <c r="R82">
        <f>IF(B82="","",IFERROR(SUMPRODUCT((LEN(Employees!$A$3:$A$500)&gt;0)*(Employees!$O$3:$O$500=1)*(COUNTIFS($B$3:$B$500,Employees!$A$3:$A$500,$H$3:$H$500,"Approved",$D$3:$D$500,"&lt;="&amp;E82,$E$3:$E$500,"&gt;="&amp;D82,$A$3:$A$500,"&lt;&gt;"&amp;A82)&gt;0)),0))</f>
        <v/>
      </c>
      <c r="S82">
        <f>IF(OR(B82="",IFERROR(XLOOKUP(B82,Employees!$A$3:$A$500,Employees!$G$3:$G$500,""),"")=""),"",IFERROR(SUMPRODUCT((LEN(Employees!$A$3:$A$500)&gt;0)*(Employees!$G$3:$G$500=IFERROR(XLOOKUP(B82,Employees!$A$3:$A$500,Employees!$G$3:$G$500,""),""))*(COUNTIFS($B$3:$B$500,Employees!$A$3:$A$500,$H$3:$H$500,"Approved",$D$3:$D$500,"&lt;="&amp;E82,$E$3:$E$500,"&gt;="&amp;D82,$A$3:$A$500,"&lt;&gt;"&amp;A82)&gt;0)),0))</f>
        <v/>
      </c>
    </row>
    <row r="83">
      <c r="C83">
        <f>IFERROR(XLOOKUP(B83,Employees!$A$3:$A$500,Employees!$B$3:$B$500,""),"")</f>
        <v/>
      </c>
      <c r="I83">
        <f>IF(AND(B83&lt;&gt;"",D83&lt;&gt;"",E83&lt;&gt;""),E83-D83+1,"")</f>
        <v/>
      </c>
      <c r="J83">
        <f>IF(OR(B83="",D83="",E83=""),"",IF(OR(L83&lt;'Coverage Rules'!E7,M83&lt;'Coverage Rules'!E8,N83&lt;'Coverage Rules'!C8,O83&lt;'Coverage Rules'!E9,P83&lt;'Coverage Rules'!E10,Q83&gt;='Coverage Rules'!B16,R83&gt;='Coverage Rules'!B17,IF(S83="",FALSE,S83&gt;='Coverage Rules'!D24)),"Denied","OK"))</f>
        <v/>
      </c>
      <c r="L83">
        <f>IF(B83="","",IFERROR(SUMPRODUCT((LEN(Employees!$A$3:$A$500)&gt;0)*(Employees!$T$3:$T$500=1)*(COUNTIFS($B$3:$B$500,Employees!$A$3:$A$500,$H$3:$H$500,"Approved",$D$3:$D$500,"&lt;="&amp;E83,$E$3:$E$500,"&gt;="&amp;D83,$A$3:$A$500,"&lt;&gt;"&amp;A83)=0)),0))</f>
        <v/>
      </c>
      <c r="M83">
        <f>IF(B83="","",IFERROR(SUMPRODUCT((LEN(Employees!$A$3:$A$500)&gt;0)*(Employees!$U$3:$U$500=1)*(COUNTIFS($B$3:$B$500,Employees!$A$3:$A$500,$H$3:$H$500,"Approved",$D$3:$D$500,"&lt;="&amp;E83,$E$3:$E$500,"&gt;="&amp;D83,$A$3:$A$500,"&lt;&gt;"&amp;A83)=0)),0))</f>
        <v/>
      </c>
      <c r="N83">
        <f>IF(B83="","",IFERROR(SUMPRODUCT((LEN(Employees!$A$3:$A$500)&gt;0)*(Employees!$B$3:$B$500="Manager")*(Employees!$U$3:$U$500=1)*(COUNTIFS($B$3:$B$500,Employees!$A$3:$A$500,$H$3:$H$500,"Approved",$D$3:$D$500,"&lt;="&amp;E83,$E$3:$E$500,"&gt;="&amp;D83,$A$3:$A$500,"&lt;&gt;"&amp;A83)=0)),0))</f>
        <v/>
      </c>
      <c r="O83">
        <f>IF(B83="","",IFERROR(SUMPRODUCT((LEN(Employees!$A$3:$A$500)&gt;0)*(Employees!$V$3:$V$500=1)*(COUNTIFS($B$3:$B$500,Employees!$A$3:$A$500,$H$3:$H$500,"Approved",$D$3:$D$500,"&lt;="&amp;E83,$E$3:$E$500,"&gt;="&amp;D83,$A$3:$A$500,"&lt;&gt;"&amp;A83)=0)),0))</f>
        <v/>
      </c>
      <c r="P83">
        <f>IF(B83="","",IFERROR(SUMPRODUCT((LEN(Employees!$A$3:$A$500)&gt;0)*(Employees!$W$3:$W$500=1)*(COUNTIFS($B$3:$B$500,Employees!$A$3:$A$500,$H$3:$H$500,"Approved",$D$3:$D$500,"&lt;="&amp;E83,$E$3:$E$500,"&gt;="&amp;D83,$A$3:$A$500,"&lt;&gt;"&amp;A83)=0)),0))</f>
        <v/>
      </c>
      <c r="Q83">
        <f>IF(B83="","",IFERROR(SUMPRODUCT((LEN(Employees!$A$3:$A$500)&gt;0)*(Employees!$N$3:$N$500=1)*(COUNTIFS($B$3:$B$500,Employees!$A$3:$A$500,$H$3:$H$500,"Approved",$D$3:$D$500,"&lt;="&amp;E83,$E$3:$E$500,"&gt;="&amp;D83,$A$3:$A$500,"&lt;&gt;"&amp;A83)&gt;0)),0))</f>
        <v/>
      </c>
      <c r="R83">
        <f>IF(B83="","",IFERROR(SUMPRODUCT((LEN(Employees!$A$3:$A$500)&gt;0)*(Employees!$O$3:$O$500=1)*(COUNTIFS($B$3:$B$500,Employees!$A$3:$A$500,$H$3:$H$500,"Approved",$D$3:$D$500,"&lt;="&amp;E83,$E$3:$E$500,"&gt;="&amp;D83,$A$3:$A$500,"&lt;&gt;"&amp;A83)&gt;0)),0))</f>
        <v/>
      </c>
      <c r="S83">
        <f>IF(OR(B83="",IFERROR(XLOOKUP(B83,Employees!$A$3:$A$500,Employees!$G$3:$G$500,""),"")=""),"",IFERROR(SUMPRODUCT((LEN(Employees!$A$3:$A$500)&gt;0)*(Employees!$G$3:$G$500=IFERROR(XLOOKUP(B83,Employees!$A$3:$A$500,Employees!$G$3:$G$500,""),""))*(COUNTIFS($B$3:$B$500,Employees!$A$3:$A$500,$H$3:$H$500,"Approved",$D$3:$D$500,"&lt;="&amp;E83,$E$3:$E$500,"&gt;="&amp;D83,$A$3:$A$500,"&lt;&gt;"&amp;A83)&gt;0)),0))</f>
        <v/>
      </c>
    </row>
    <row r="84">
      <c r="C84">
        <f>IFERROR(XLOOKUP(B84,Employees!$A$3:$A$500,Employees!$B$3:$B$500,""),"")</f>
        <v/>
      </c>
      <c r="I84">
        <f>IF(AND(B84&lt;&gt;"",D84&lt;&gt;"",E84&lt;&gt;""),E84-D84+1,"")</f>
        <v/>
      </c>
      <c r="J84">
        <f>IF(OR(B84="",D84="",E84=""),"",IF(OR(L84&lt;'Coverage Rules'!E7,M84&lt;'Coverage Rules'!E8,N84&lt;'Coverage Rules'!C8,O84&lt;'Coverage Rules'!E9,P84&lt;'Coverage Rules'!E10,Q84&gt;='Coverage Rules'!B16,R84&gt;='Coverage Rules'!B17,IF(S84="",FALSE,S84&gt;='Coverage Rules'!D24)),"Denied","OK"))</f>
        <v/>
      </c>
      <c r="L84">
        <f>IF(B84="","",IFERROR(SUMPRODUCT((LEN(Employees!$A$3:$A$500)&gt;0)*(Employees!$T$3:$T$500=1)*(COUNTIFS($B$3:$B$500,Employees!$A$3:$A$500,$H$3:$H$500,"Approved",$D$3:$D$500,"&lt;="&amp;E84,$E$3:$E$500,"&gt;="&amp;D84,$A$3:$A$500,"&lt;&gt;"&amp;A84)=0)),0))</f>
        <v/>
      </c>
      <c r="M84">
        <f>IF(B84="","",IFERROR(SUMPRODUCT((LEN(Employees!$A$3:$A$500)&gt;0)*(Employees!$U$3:$U$500=1)*(COUNTIFS($B$3:$B$500,Employees!$A$3:$A$500,$H$3:$H$500,"Approved",$D$3:$D$500,"&lt;="&amp;E84,$E$3:$E$500,"&gt;="&amp;D84,$A$3:$A$500,"&lt;&gt;"&amp;A84)=0)),0))</f>
        <v/>
      </c>
      <c r="N84">
        <f>IF(B84="","",IFERROR(SUMPRODUCT((LEN(Employees!$A$3:$A$500)&gt;0)*(Employees!$B$3:$B$500="Manager")*(Employees!$U$3:$U$500=1)*(COUNTIFS($B$3:$B$500,Employees!$A$3:$A$500,$H$3:$H$500,"Approved",$D$3:$D$500,"&lt;="&amp;E84,$E$3:$E$500,"&gt;="&amp;D84,$A$3:$A$500,"&lt;&gt;"&amp;A84)=0)),0))</f>
        <v/>
      </c>
      <c r="O84">
        <f>IF(B84="","",IFERROR(SUMPRODUCT((LEN(Employees!$A$3:$A$500)&gt;0)*(Employees!$V$3:$V$500=1)*(COUNTIFS($B$3:$B$500,Employees!$A$3:$A$500,$H$3:$H$500,"Approved",$D$3:$D$500,"&lt;="&amp;E84,$E$3:$E$500,"&gt;="&amp;D84,$A$3:$A$500,"&lt;&gt;"&amp;A84)=0)),0))</f>
        <v/>
      </c>
      <c r="P84">
        <f>IF(B84="","",IFERROR(SUMPRODUCT((LEN(Employees!$A$3:$A$500)&gt;0)*(Employees!$W$3:$W$500=1)*(COUNTIFS($B$3:$B$500,Employees!$A$3:$A$500,$H$3:$H$500,"Approved",$D$3:$D$500,"&lt;="&amp;E84,$E$3:$E$500,"&gt;="&amp;D84,$A$3:$A$500,"&lt;&gt;"&amp;A84)=0)),0))</f>
        <v/>
      </c>
      <c r="Q84">
        <f>IF(B84="","",IFERROR(SUMPRODUCT((LEN(Employees!$A$3:$A$500)&gt;0)*(Employees!$N$3:$N$500=1)*(COUNTIFS($B$3:$B$500,Employees!$A$3:$A$500,$H$3:$H$500,"Approved",$D$3:$D$500,"&lt;="&amp;E84,$E$3:$E$500,"&gt;="&amp;D84,$A$3:$A$500,"&lt;&gt;"&amp;A84)&gt;0)),0))</f>
        <v/>
      </c>
      <c r="R84">
        <f>IF(B84="","",IFERROR(SUMPRODUCT((LEN(Employees!$A$3:$A$500)&gt;0)*(Employees!$O$3:$O$500=1)*(COUNTIFS($B$3:$B$500,Employees!$A$3:$A$500,$H$3:$H$500,"Approved",$D$3:$D$500,"&lt;="&amp;E84,$E$3:$E$500,"&gt;="&amp;D84,$A$3:$A$500,"&lt;&gt;"&amp;A84)&gt;0)),0))</f>
        <v/>
      </c>
      <c r="S84">
        <f>IF(OR(B84="",IFERROR(XLOOKUP(B84,Employees!$A$3:$A$500,Employees!$G$3:$G$500,""),"")=""),"",IFERROR(SUMPRODUCT((LEN(Employees!$A$3:$A$500)&gt;0)*(Employees!$G$3:$G$500=IFERROR(XLOOKUP(B84,Employees!$A$3:$A$500,Employees!$G$3:$G$500,""),""))*(COUNTIFS($B$3:$B$500,Employees!$A$3:$A$500,$H$3:$H$500,"Approved",$D$3:$D$500,"&lt;="&amp;E84,$E$3:$E$500,"&gt;="&amp;D84,$A$3:$A$500,"&lt;&gt;"&amp;A84)&gt;0)),0))</f>
        <v/>
      </c>
    </row>
    <row r="85">
      <c r="C85">
        <f>IFERROR(XLOOKUP(B85,Employees!$A$3:$A$500,Employees!$B$3:$B$500,""),"")</f>
        <v/>
      </c>
      <c r="I85">
        <f>IF(AND(B85&lt;&gt;"",D85&lt;&gt;"",E85&lt;&gt;""),E85-D85+1,"")</f>
        <v/>
      </c>
      <c r="J85">
        <f>IF(OR(B85="",D85="",E85=""),"",IF(OR(L85&lt;'Coverage Rules'!E7,M85&lt;'Coverage Rules'!E8,N85&lt;'Coverage Rules'!C8,O85&lt;'Coverage Rules'!E9,P85&lt;'Coverage Rules'!E10,Q85&gt;='Coverage Rules'!B16,R85&gt;='Coverage Rules'!B17,IF(S85="",FALSE,S85&gt;='Coverage Rules'!D24)),"Denied","OK"))</f>
        <v/>
      </c>
      <c r="L85">
        <f>IF(B85="","",IFERROR(SUMPRODUCT((LEN(Employees!$A$3:$A$500)&gt;0)*(Employees!$T$3:$T$500=1)*(COUNTIFS($B$3:$B$500,Employees!$A$3:$A$500,$H$3:$H$500,"Approved",$D$3:$D$500,"&lt;="&amp;E85,$E$3:$E$500,"&gt;="&amp;D85,$A$3:$A$500,"&lt;&gt;"&amp;A85)=0)),0))</f>
        <v/>
      </c>
      <c r="M85">
        <f>IF(B85="","",IFERROR(SUMPRODUCT((LEN(Employees!$A$3:$A$500)&gt;0)*(Employees!$U$3:$U$500=1)*(COUNTIFS($B$3:$B$500,Employees!$A$3:$A$500,$H$3:$H$500,"Approved",$D$3:$D$500,"&lt;="&amp;E85,$E$3:$E$500,"&gt;="&amp;D85,$A$3:$A$500,"&lt;&gt;"&amp;A85)=0)),0))</f>
        <v/>
      </c>
      <c r="N85">
        <f>IF(B85="","",IFERROR(SUMPRODUCT((LEN(Employees!$A$3:$A$500)&gt;0)*(Employees!$B$3:$B$500="Manager")*(Employees!$U$3:$U$500=1)*(COUNTIFS($B$3:$B$500,Employees!$A$3:$A$500,$H$3:$H$500,"Approved",$D$3:$D$500,"&lt;="&amp;E85,$E$3:$E$500,"&gt;="&amp;D85,$A$3:$A$500,"&lt;&gt;"&amp;A85)=0)),0))</f>
        <v/>
      </c>
      <c r="O85">
        <f>IF(B85="","",IFERROR(SUMPRODUCT((LEN(Employees!$A$3:$A$500)&gt;0)*(Employees!$V$3:$V$500=1)*(COUNTIFS($B$3:$B$500,Employees!$A$3:$A$500,$H$3:$H$500,"Approved",$D$3:$D$500,"&lt;="&amp;E85,$E$3:$E$500,"&gt;="&amp;D85,$A$3:$A$500,"&lt;&gt;"&amp;A85)=0)),0))</f>
        <v/>
      </c>
      <c r="P85">
        <f>IF(B85="","",IFERROR(SUMPRODUCT((LEN(Employees!$A$3:$A$500)&gt;0)*(Employees!$W$3:$W$500=1)*(COUNTIFS($B$3:$B$500,Employees!$A$3:$A$500,$H$3:$H$500,"Approved",$D$3:$D$500,"&lt;="&amp;E85,$E$3:$E$500,"&gt;="&amp;D85,$A$3:$A$500,"&lt;&gt;"&amp;A85)=0)),0))</f>
        <v/>
      </c>
      <c r="Q85">
        <f>IF(B85="","",IFERROR(SUMPRODUCT((LEN(Employees!$A$3:$A$500)&gt;0)*(Employees!$N$3:$N$500=1)*(COUNTIFS($B$3:$B$500,Employees!$A$3:$A$500,$H$3:$H$500,"Approved",$D$3:$D$500,"&lt;="&amp;E85,$E$3:$E$500,"&gt;="&amp;D85,$A$3:$A$500,"&lt;&gt;"&amp;A85)&gt;0)),0))</f>
        <v/>
      </c>
      <c r="R85">
        <f>IF(B85="","",IFERROR(SUMPRODUCT((LEN(Employees!$A$3:$A$500)&gt;0)*(Employees!$O$3:$O$500=1)*(COUNTIFS($B$3:$B$500,Employees!$A$3:$A$500,$H$3:$H$500,"Approved",$D$3:$D$500,"&lt;="&amp;E85,$E$3:$E$500,"&gt;="&amp;D85,$A$3:$A$500,"&lt;&gt;"&amp;A85)&gt;0)),0))</f>
        <v/>
      </c>
      <c r="S85">
        <f>IF(OR(B85="",IFERROR(XLOOKUP(B85,Employees!$A$3:$A$500,Employees!$G$3:$G$500,""),"")=""),"",IFERROR(SUMPRODUCT((LEN(Employees!$A$3:$A$500)&gt;0)*(Employees!$G$3:$G$500=IFERROR(XLOOKUP(B85,Employees!$A$3:$A$500,Employees!$G$3:$G$500,""),""))*(COUNTIFS($B$3:$B$500,Employees!$A$3:$A$500,$H$3:$H$500,"Approved",$D$3:$D$500,"&lt;="&amp;E85,$E$3:$E$500,"&gt;="&amp;D85,$A$3:$A$500,"&lt;&gt;"&amp;A85)&gt;0)),0))</f>
        <v/>
      </c>
    </row>
    <row r="86">
      <c r="C86">
        <f>IFERROR(XLOOKUP(B86,Employees!$A$3:$A$500,Employees!$B$3:$B$500,""),"")</f>
        <v/>
      </c>
      <c r="I86">
        <f>IF(AND(B86&lt;&gt;"",D86&lt;&gt;"",E86&lt;&gt;""),E86-D86+1,"")</f>
        <v/>
      </c>
      <c r="J86">
        <f>IF(OR(B86="",D86="",E86=""),"",IF(OR(L86&lt;'Coverage Rules'!E7,M86&lt;'Coverage Rules'!E8,N86&lt;'Coverage Rules'!C8,O86&lt;'Coverage Rules'!E9,P86&lt;'Coverage Rules'!E10,Q86&gt;='Coverage Rules'!B16,R86&gt;='Coverage Rules'!B17,IF(S86="",FALSE,S86&gt;='Coverage Rules'!D24)),"Denied","OK"))</f>
        <v/>
      </c>
      <c r="L86">
        <f>IF(B86="","",IFERROR(SUMPRODUCT((LEN(Employees!$A$3:$A$500)&gt;0)*(Employees!$T$3:$T$500=1)*(COUNTIFS($B$3:$B$500,Employees!$A$3:$A$500,$H$3:$H$500,"Approved",$D$3:$D$500,"&lt;="&amp;E86,$E$3:$E$500,"&gt;="&amp;D86,$A$3:$A$500,"&lt;&gt;"&amp;A86)=0)),0))</f>
        <v/>
      </c>
      <c r="M86">
        <f>IF(B86="","",IFERROR(SUMPRODUCT((LEN(Employees!$A$3:$A$500)&gt;0)*(Employees!$U$3:$U$500=1)*(COUNTIFS($B$3:$B$500,Employees!$A$3:$A$500,$H$3:$H$500,"Approved",$D$3:$D$500,"&lt;="&amp;E86,$E$3:$E$500,"&gt;="&amp;D86,$A$3:$A$500,"&lt;&gt;"&amp;A86)=0)),0))</f>
        <v/>
      </c>
      <c r="N86">
        <f>IF(B86="","",IFERROR(SUMPRODUCT((LEN(Employees!$A$3:$A$500)&gt;0)*(Employees!$B$3:$B$500="Manager")*(Employees!$U$3:$U$500=1)*(COUNTIFS($B$3:$B$500,Employees!$A$3:$A$500,$H$3:$H$500,"Approved",$D$3:$D$500,"&lt;="&amp;E86,$E$3:$E$500,"&gt;="&amp;D86,$A$3:$A$500,"&lt;&gt;"&amp;A86)=0)),0))</f>
        <v/>
      </c>
      <c r="O86">
        <f>IF(B86="","",IFERROR(SUMPRODUCT((LEN(Employees!$A$3:$A$500)&gt;0)*(Employees!$V$3:$V$500=1)*(COUNTIFS($B$3:$B$500,Employees!$A$3:$A$500,$H$3:$H$500,"Approved",$D$3:$D$500,"&lt;="&amp;E86,$E$3:$E$500,"&gt;="&amp;D86,$A$3:$A$500,"&lt;&gt;"&amp;A86)=0)),0))</f>
        <v/>
      </c>
      <c r="P86">
        <f>IF(B86="","",IFERROR(SUMPRODUCT((LEN(Employees!$A$3:$A$500)&gt;0)*(Employees!$W$3:$W$500=1)*(COUNTIFS($B$3:$B$500,Employees!$A$3:$A$500,$H$3:$H$500,"Approved",$D$3:$D$500,"&lt;="&amp;E86,$E$3:$E$500,"&gt;="&amp;D86,$A$3:$A$500,"&lt;&gt;"&amp;A86)=0)),0))</f>
        <v/>
      </c>
      <c r="Q86">
        <f>IF(B86="","",IFERROR(SUMPRODUCT((LEN(Employees!$A$3:$A$500)&gt;0)*(Employees!$N$3:$N$500=1)*(COUNTIFS($B$3:$B$500,Employees!$A$3:$A$500,$H$3:$H$500,"Approved",$D$3:$D$500,"&lt;="&amp;E86,$E$3:$E$500,"&gt;="&amp;D86,$A$3:$A$500,"&lt;&gt;"&amp;A86)&gt;0)),0))</f>
        <v/>
      </c>
      <c r="R86">
        <f>IF(B86="","",IFERROR(SUMPRODUCT((LEN(Employees!$A$3:$A$500)&gt;0)*(Employees!$O$3:$O$500=1)*(COUNTIFS($B$3:$B$500,Employees!$A$3:$A$500,$H$3:$H$500,"Approved",$D$3:$D$500,"&lt;="&amp;E86,$E$3:$E$500,"&gt;="&amp;D86,$A$3:$A$500,"&lt;&gt;"&amp;A86)&gt;0)),0))</f>
        <v/>
      </c>
      <c r="S86">
        <f>IF(OR(B86="",IFERROR(XLOOKUP(B86,Employees!$A$3:$A$500,Employees!$G$3:$G$500,""),"")=""),"",IFERROR(SUMPRODUCT((LEN(Employees!$A$3:$A$500)&gt;0)*(Employees!$G$3:$G$500=IFERROR(XLOOKUP(B86,Employees!$A$3:$A$500,Employees!$G$3:$G$500,""),""))*(COUNTIFS($B$3:$B$500,Employees!$A$3:$A$500,$H$3:$H$500,"Approved",$D$3:$D$500,"&lt;="&amp;E86,$E$3:$E$500,"&gt;="&amp;D86,$A$3:$A$500,"&lt;&gt;"&amp;A86)&gt;0)),0))</f>
        <v/>
      </c>
    </row>
    <row r="87">
      <c r="C87">
        <f>IFERROR(XLOOKUP(B87,Employees!$A$3:$A$500,Employees!$B$3:$B$500,""),"")</f>
        <v/>
      </c>
      <c r="I87">
        <f>IF(AND(B87&lt;&gt;"",D87&lt;&gt;"",E87&lt;&gt;""),E87-D87+1,"")</f>
        <v/>
      </c>
      <c r="J87">
        <f>IF(OR(B87="",D87="",E87=""),"",IF(OR(L87&lt;'Coverage Rules'!E7,M87&lt;'Coverage Rules'!E8,N87&lt;'Coverage Rules'!C8,O87&lt;'Coverage Rules'!E9,P87&lt;'Coverage Rules'!E10,Q87&gt;='Coverage Rules'!B16,R87&gt;='Coverage Rules'!B17,IF(S87="",FALSE,S87&gt;='Coverage Rules'!D24)),"Denied","OK"))</f>
        <v/>
      </c>
      <c r="L87">
        <f>IF(B87="","",IFERROR(SUMPRODUCT((LEN(Employees!$A$3:$A$500)&gt;0)*(Employees!$T$3:$T$500=1)*(COUNTIFS($B$3:$B$500,Employees!$A$3:$A$500,$H$3:$H$500,"Approved",$D$3:$D$500,"&lt;="&amp;E87,$E$3:$E$500,"&gt;="&amp;D87,$A$3:$A$500,"&lt;&gt;"&amp;A87)=0)),0))</f>
        <v/>
      </c>
      <c r="M87">
        <f>IF(B87="","",IFERROR(SUMPRODUCT((LEN(Employees!$A$3:$A$500)&gt;0)*(Employees!$U$3:$U$500=1)*(COUNTIFS($B$3:$B$500,Employees!$A$3:$A$500,$H$3:$H$500,"Approved",$D$3:$D$500,"&lt;="&amp;E87,$E$3:$E$500,"&gt;="&amp;D87,$A$3:$A$500,"&lt;&gt;"&amp;A87)=0)),0))</f>
        <v/>
      </c>
      <c r="N87">
        <f>IF(B87="","",IFERROR(SUMPRODUCT((LEN(Employees!$A$3:$A$500)&gt;0)*(Employees!$B$3:$B$500="Manager")*(Employees!$U$3:$U$500=1)*(COUNTIFS($B$3:$B$500,Employees!$A$3:$A$500,$H$3:$H$500,"Approved",$D$3:$D$500,"&lt;="&amp;E87,$E$3:$E$500,"&gt;="&amp;D87,$A$3:$A$500,"&lt;&gt;"&amp;A87)=0)),0))</f>
        <v/>
      </c>
      <c r="O87">
        <f>IF(B87="","",IFERROR(SUMPRODUCT((LEN(Employees!$A$3:$A$500)&gt;0)*(Employees!$V$3:$V$500=1)*(COUNTIFS($B$3:$B$500,Employees!$A$3:$A$500,$H$3:$H$500,"Approved",$D$3:$D$500,"&lt;="&amp;E87,$E$3:$E$500,"&gt;="&amp;D87,$A$3:$A$500,"&lt;&gt;"&amp;A87)=0)),0))</f>
        <v/>
      </c>
      <c r="P87">
        <f>IF(B87="","",IFERROR(SUMPRODUCT((LEN(Employees!$A$3:$A$500)&gt;0)*(Employees!$W$3:$W$500=1)*(COUNTIFS($B$3:$B$500,Employees!$A$3:$A$500,$H$3:$H$500,"Approved",$D$3:$D$500,"&lt;="&amp;E87,$E$3:$E$500,"&gt;="&amp;D87,$A$3:$A$500,"&lt;&gt;"&amp;A87)=0)),0))</f>
        <v/>
      </c>
      <c r="Q87">
        <f>IF(B87="","",IFERROR(SUMPRODUCT((LEN(Employees!$A$3:$A$500)&gt;0)*(Employees!$N$3:$N$500=1)*(COUNTIFS($B$3:$B$500,Employees!$A$3:$A$500,$H$3:$H$500,"Approved",$D$3:$D$500,"&lt;="&amp;E87,$E$3:$E$500,"&gt;="&amp;D87,$A$3:$A$500,"&lt;&gt;"&amp;A87)&gt;0)),0))</f>
        <v/>
      </c>
      <c r="R87">
        <f>IF(B87="","",IFERROR(SUMPRODUCT((LEN(Employees!$A$3:$A$500)&gt;0)*(Employees!$O$3:$O$500=1)*(COUNTIFS($B$3:$B$500,Employees!$A$3:$A$500,$H$3:$H$500,"Approved",$D$3:$D$500,"&lt;="&amp;E87,$E$3:$E$500,"&gt;="&amp;D87,$A$3:$A$500,"&lt;&gt;"&amp;A87)&gt;0)),0))</f>
        <v/>
      </c>
      <c r="S87">
        <f>IF(OR(B87="",IFERROR(XLOOKUP(B87,Employees!$A$3:$A$500,Employees!$G$3:$G$500,""),"")=""),"",IFERROR(SUMPRODUCT((LEN(Employees!$A$3:$A$500)&gt;0)*(Employees!$G$3:$G$500=IFERROR(XLOOKUP(B87,Employees!$A$3:$A$500,Employees!$G$3:$G$500,""),""))*(COUNTIFS($B$3:$B$500,Employees!$A$3:$A$500,$H$3:$H$500,"Approved",$D$3:$D$500,"&lt;="&amp;E87,$E$3:$E$500,"&gt;="&amp;D87,$A$3:$A$500,"&lt;&gt;"&amp;A87)&gt;0)),0))</f>
        <v/>
      </c>
    </row>
    <row r="88">
      <c r="C88">
        <f>IFERROR(XLOOKUP(B88,Employees!$A$3:$A$500,Employees!$B$3:$B$500,""),"")</f>
        <v/>
      </c>
      <c r="I88">
        <f>IF(AND(B88&lt;&gt;"",D88&lt;&gt;"",E88&lt;&gt;""),E88-D88+1,"")</f>
        <v/>
      </c>
      <c r="J88">
        <f>IF(OR(B88="",D88="",E88=""),"",IF(OR(L88&lt;'Coverage Rules'!E7,M88&lt;'Coverage Rules'!E8,N88&lt;'Coverage Rules'!C8,O88&lt;'Coverage Rules'!E9,P88&lt;'Coverage Rules'!E10,Q88&gt;='Coverage Rules'!B16,R88&gt;='Coverage Rules'!B17,IF(S88="",FALSE,S88&gt;='Coverage Rules'!D24)),"Denied","OK"))</f>
        <v/>
      </c>
      <c r="L88">
        <f>IF(B88="","",IFERROR(SUMPRODUCT((LEN(Employees!$A$3:$A$500)&gt;0)*(Employees!$T$3:$T$500=1)*(COUNTIFS($B$3:$B$500,Employees!$A$3:$A$500,$H$3:$H$500,"Approved",$D$3:$D$500,"&lt;="&amp;E88,$E$3:$E$500,"&gt;="&amp;D88,$A$3:$A$500,"&lt;&gt;"&amp;A88)=0)),0))</f>
        <v/>
      </c>
      <c r="M88">
        <f>IF(B88="","",IFERROR(SUMPRODUCT((LEN(Employees!$A$3:$A$500)&gt;0)*(Employees!$U$3:$U$500=1)*(COUNTIFS($B$3:$B$500,Employees!$A$3:$A$500,$H$3:$H$500,"Approved",$D$3:$D$500,"&lt;="&amp;E88,$E$3:$E$500,"&gt;="&amp;D88,$A$3:$A$500,"&lt;&gt;"&amp;A88)=0)),0))</f>
        <v/>
      </c>
      <c r="N88">
        <f>IF(B88="","",IFERROR(SUMPRODUCT((LEN(Employees!$A$3:$A$500)&gt;0)*(Employees!$B$3:$B$500="Manager")*(Employees!$U$3:$U$500=1)*(COUNTIFS($B$3:$B$500,Employees!$A$3:$A$500,$H$3:$H$500,"Approved",$D$3:$D$500,"&lt;="&amp;E88,$E$3:$E$500,"&gt;="&amp;D88,$A$3:$A$500,"&lt;&gt;"&amp;A88)=0)),0))</f>
        <v/>
      </c>
      <c r="O88">
        <f>IF(B88="","",IFERROR(SUMPRODUCT((LEN(Employees!$A$3:$A$500)&gt;0)*(Employees!$V$3:$V$500=1)*(COUNTIFS($B$3:$B$500,Employees!$A$3:$A$500,$H$3:$H$500,"Approved",$D$3:$D$500,"&lt;="&amp;E88,$E$3:$E$500,"&gt;="&amp;D88,$A$3:$A$500,"&lt;&gt;"&amp;A88)=0)),0))</f>
        <v/>
      </c>
      <c r="P88">
        <f>IF(B88="","",IFERROR(SUMPRODUCT((LEN(Employees!$A$3:$A$500)&gt;0)*(Employees!$W$3:$W$500=1)*(COUNTIFS($B$3:$B$500,Employees!$A$3:$A$500,$H$3:$H$500,"Approved",$D$3:$D$500,"&lt;="&amp;E88,$E$3:$E$500,"&gt;="&amp;D88,$A$3:$A$500,"&lt;&gt;"&amp;A88)=0)),0))</f>
        <v/>
      </c>
      <c r="Q88">
        <f>IF(B88="","",IFERROR(SUMPRODUCT((LEN(Employees!$A$3:$A$500)&gt;0)*(Employees!$N$3:$N$500=1)*(COUNTIFS($B$3:$B$500,Employees!$A$3:$A$500,$H$3:$H$500,"Approved",$D$3:$D$500,"&lt;="&amp;E88,$E$3:$E$500,"&gt;="&amp;D88,$A$3:$A$500,"&lt;&gt;"&amp;A88)&gt;0)),0))</f>
        <v/>
      </c>
      <c r="R88">
        <f>IF(B88="","",IFERROR(SUMPRODUCT((LEN(Employees!$A$3:$A$500)&gt;0)*(Employees!$O$3:$O$500=1)*(COUNTIFS($B$3:$B$500,Employees!$A$3:$A$500,$H$3:$H$500,"Approved",$D$3:$D$500,"&lt;="&amp;E88,$E$3:$E$500,"&gt;="&amp;D88,$A$3:$A$500,"&lt;&gt;"&amp;A88)&gt;0)),0))</f>
        <v/>
      </c>
      <c r="S88">
        <f>IF(OR(B88="",IFERROR(XLOOKUP(B88,Employees!$A$3:$A$500,Employees!$G$3:$G$500,""),"")=""),"",IFERROR(SUMPRODUCT((LEN(Employees!$A$3:$A$500)&gt;0)*(Employees!$G$3:$G$500=IFERROR(XLOOKUP(B88,Employees!$A$3:$A$500,Employees!$G$3:$G$500,""),""))*(COUNTIFS($B$3:$B$500,Employees!$A$3:$A$500,$H$3:$H$500,"Approved",$D$3:$D$500,"&lt;="&amp;E88,$E$3:$E$500,"&gt;="&amp;D88,$A$3:$A$500,"&lt;&gt;"&amp;A88)&gt;0)),0))</f>
        <v/>
      </c>
    </row>
    <row r="89">
      <c r="C89">
        <f>IFERROR(XLOOKUP(B89,Employees!$A$3:$A$500,Employees!$B$3:$B$500,""),"")</f>
        <v/>
      </c>
      <c r="I89">
        <f>IF(AND(B89&lt;&gt;"",D89&lt;&gt;"",E89&lt;&gt;""),E89-D89+1,"")</f>
        <v/>
      </c>
      <c r="J89">
        <f>IF(OR(B89="",D89="",E89=""),"",IF(OR(L89&lt;'Coverage Rules'!E7,M89&lt;'Coverage Rules'!E8,N89&lt;'Coverage Rules'!C8,O89&lt;'Coverage Rules'!E9,P89&lt;'Coverage Rules'!E10,Q89&gt;='Coverage Rules'!B16,R89&gt;='Coverage Rules'!B17,IF(S89="",FALSE,S89&gt;='Coverage Rules'!D24)),"Denied","OK"))</f>
        <v/>
      </c>
      <c r="L89">
        <f>IF(B89="","",IFERROR(SUMPRODUCT((LEN(Employees!$A$3:$A$500)&gt;0)*(Employees!$T$3:$T$500=1)*(COUNTIFS($B$3:$B$500,Employees!$A$3:$A$500,$H$3:$H$500,"Approved",$D$3:$D$500,"&lt;="&amp;E89,$E$3:$E$500,"&gt;="&amp;D89,$A$3:$A$500,"&lt;&gt;"&amp;A89)=0)),0))</f>
        <v/>
      </c>
      <c r="M89">
        <f>IF(B89="","",IFERROR(SUMPRODUCT((LEN(Employees!$A$3:$A$500)&gt;0)*(Employees!$U$3:$U$500=1)*(COUNTIFS($B$3:$B$500,Employees!$A$3:$A$500,$H$3:$H$500,"Approved",$D$3:$D$500,"&lt;="&amp;E89,$E$3:$E$500,"&gt;="&amp;D89,$A$3:$A$500,"&lt;&gt;"&amp;A89)=0)),0))</f>
        <v/>
      </c>
      <c r="N89">
        <f>IF(B89="","",IFERROR(SUMPRODUCT((LEN(Employees!$A$3:$A$500)&gt;0)*(Employees!$B$3:$B$500="Manager")*(Employees!$U$3:$U$500=1)*(COUNTIFS($B$3:$B$500,Employees!$A$3:$A$500,$H$3:$H$500,"Approved",$D$3:$D$500,"&lt;="&amp;E89,$E$3:$E$500,"&gt;="&amp;D89,$A$3:$A$500,"&lt;&gt;"&amp;A89)=0)),0))</f>
        <v/>
      </c>
      <c r="O89">
        <f>IF(B89="","",IFERROR(SUMPRODUCT((LEN(Employees!$A$3:$A$500)&gt;0)*(Employees!$V$3:$V$500=1)*(COUNTIFS($B$3:$B$500,Employees!$A$3:$A$500,$H$3:$H$500,"Approved",$D$3:$D$500,"&lt;="&amp;E89,$E$3:$E$500,"&gt;="&amp;D89,$A$3:$A$500,"&lt;&gt;"&amp;A89)=0)),0))</f>
        <v/>
      </c>
      <c r="P89">
        <f>IF(B89="","",IFERROR(SUMPRODUCT((LEN(Employees!$A$3:$A$500)&gt;0)*(Employees!$W$3:$W$500=1)*(COUNTIFS($B$3:$B$500,Employees!$A$3:$A$500,$H$3:$H$500,"Approved",$D$3:$D$500,"&lt;="&amp;E89,$E$3:$E$500,"&gt;="&amp;D89,$A$3:$A$500,"&lt;&gt;"&amp;A89)=0)),0))</f>
        <v/>
      </c>
      <c r="Q89">
        <f>IF(B89="","",IFERROR(SUMPRODUCT((LEN(Employees!$A$3:$A$500)&gt;0)*(Employees!$N$3:$N$500=1)*(COUNTIFS($B$3:$B$500,Employees!$A$3:$A$500,$H$3:$H$500,"Approved",$D$3:$D$500,"&lt;="&amp;E89,$E$3:$E$500,"&gt;="&amp;D89,$A$3:$A$500,"&lt;&gt;"&amp;A89)&gt;0)),0))</f>
        <v/>
      </c>
      <c r="R89">
        <f>IF(B89="","",IFERROR(SUMPRODUCT((LEN(Employees!$A$3:$A$500)&gt;0)*(Employees!$O$3:$O$500=1)*(COUNTIFS($B$3:$B$500,Employees!$A$3:$A$500,$H$3:$H$500,"Approved",$D$3:$D$500,"&lt;="&amp;E89,$E$3:$E$500,"&gt;="&amp;D89,$A$3:$A$500,"&lt;&gt;"&amp;A89)&gt;0)),0))</f>
        <v/>
      </c>
      <c r="S89">
        <f>IF(OR(B89="",IFERROR(XLOOKUP(B89,Employees!$A$3:$A$500,Employees!$G$3:$G$500,""),"")=""),"",IFERROR(SUMPRODUCT((LEN(Employees!$A$3:$A$500)&gt;0)*(Employees!$G$3:$G$500=IFERROR(XLOOKUP(B89,Employees!$A$3:$A$500,Employees!$G$3:$G$500,""),""))*(COUNTIFS($B$3:$B$500,Employees!$A$3:$A$500,$H$3:$H$500,"Approved",$D$3:$D$500,"&lt;="&amp;E89,$E$3:$E$500,"&gt;="&amp;D89,$A$3:$A$500,"&lt;&gt;"&amp;A89)&gt;0)),0))</f>
        <v/>
      </c>
    </row>
    <row r="90">
      <c r="C90">
        <f>IFERROR(XLOOKUP(B90,Employees!$A$3:$A$500,Employees!$B$3:$B$500,""),"")</f>
        <v/>
      </c>
      <c r="I90">
        <f>IF(AND(B90&lt;&gt;"",D90&lt;&gt;"",E90&lt;&gt;""),E90-D90+1,"")</f>
        <v/>
      </c>
      <c r="J90">
        <f>IF(OR(B90="",D90="",E90=""),"",IF(OR(L90&lt;'Coverage Rules'!E7,M90&lt;'Coverage Rules'!E8,N90&lt;'Coverage Rules'!C8,O90&lt;'Coverage Rules'!E9,P90&lt;'Coverage Rules'!E10,Q90&gt;='Coverage Rules'!B16,R90&gt;='Coverage Rules'!B17,IF(S90="",FALSE,S90&gt;='Coverage Rules'!D24)),"Denied","OK"))</f>
        <v/>
      </c>
      <c r="L90">
        <f>IF(B90="","",IFERROR(SUMPRODUCT((LEN(Employees!$A$3:$A$500)&gt;0)*(Employees!$T$3:$T$500=1)*(COUNTIFS($B$3:$B$500,Employees!$A$3:$A$500,$H$3:$H$500,"Approved",$D$3:$D$500,"&lt;="&amp;E90,$E$3:$E$500,"&gt;="&amp;D90,$A$3:$A$500,"&lt;&gt;"&amp;A90)=0)),0))</f>
        <v/>
      </c>
      <c r="M90">
        <f>IF(B90="","",IFERROR(SUMPRODUCT((LEN(Employees!$A$3:$A$500)&gt;0)*(Employees!$U$3:$U$500=1)*(COUNTIFS($B$3:$B$500,Employees!$A$3:$A$500,$H$3:$H$500,"Approved",$D$3:$D$500,"&lt;="&amp;E90,$E$3:$E$500,"&gt;="&amp;D90,$A$3:$A$500,"&lt;&gt;"&amp;A90)=0)),0))</f>
        <v/>
      </c>
      <c r="N90">
        <f>IF(B90="","",IFERROR(SUMPRODUCT((LEN(Employees!$A$3:$A$500)&gt;0)*(Employees!$B$3:$B$500="Manager")*(Employees!$U$3:$U$500=1)*(COUNTIFS($B$3:$B$500,Employees!$A$3:$A$500,$H$3:$H$500,"Approved",$D$3:$D$500,"&lt;="&amp;E90,$E$3:$E$500,"&gt;="&amp;D90,$A$3:$A$500,"&lt;&gt;"&amp;A90)=0)),0))</f>
        <v/>
      </c>
      <c r="O90">
        <f>IF(B90="","",IFERROR(SUMPRODUCT((LEN(Employees!$A$3:$A$500)&gt;0)*(Employees!$V$3:$V$500=1)*(COUNTIFS($B$3:$B$500,Employees!$A$3:$A$500,$H$3:$H$500,"Approved",$D$3:$D$500,"&lt;="&amp;E90,$E$3:$E$500,"&gt;="&amp;D90,$A$3:$A$500,"&lt;&gt;"&amp;A90)=0)),0))</f>
        <v/>
      </c>
      <c r="P90">
        <f>IF(B90="","",IFERROR(SUMPRODUCT((LEN(Employees!$A$3:$A$500)&gt;0)*(Employees!$W$3:$W$500=1)*(COUNTIFS($B$3:$B$500,Employees!$A$3:$A$500,$H$3:$H$500,"Approved",$D$3:$D$500,"&lt;="&amp;E90,$E$3:$E$500,"&gt;="&amp;D90,$A$3:$A$500,"&lt;&gt;"&amp;A90)=0)),0))</f>
        <v/>
      </c>
      <c r="Q90">
        <f>IF(B90="","",IFERROR(SUMPRODUCT((LEN(Employees!$A$3:$A$500)&gt;0)*(Employees!$N$3:$N$500=1)*(COUNTIFS($B$3:$B$500,Employees!$A$3:$A$500,$H$3:$H$500,"Approved",$D$3:$D$500,"&lt;="&amp;E90,$E$3:$E$500,"&gt;="&amp;D90,$A$3:$A$500,"&lt;&gt;"&amp;A90)&gt;0)),0))</f>
        <v/>
      </c>
      <c r="R90">
        <f>IF(B90="","",IFERROR(SUMPRODUCT((LEN(Employees!$A$3:$A$500)&gt;0)*(Employees!$O$3:$O$500=1)*(COUNTIFS($B$3:$B$500,Employees!$A$3:$A$500,$H$3:$H$500,"Approved",$D$3:$D$500,"&lt;="&amp;E90,$E$3:$E$500,"&gt;="&amp;D90,$A$3:$A$500,"&lt;&gt;"&amp;A90)&gt;0)),0))</f>
        <v/>
      </c>
      <c r="S90">
        <f>IF(OR(B90="",IFERROR(XLOOKUP(B90,Employees!$A$3:$A$500,Employees!$G$3:$G$500,""),"")=""),"",IFERROR(SUMPRODUCT((LEN(Employees!$A$3:$A$500)&gt;0)*(Employees!$G$3:$G$500=IFERROR(XLOOKUP(B90,Employees!$A$3:$A$500,Employees!$G$3:$G$500,""),""))*(COUNTIFS($B$3:$B$500,Employees!$A$3:$A$500,$H$3:$H$500,"Approved",$D$3:$D$500,"&lt;="&amp;E90,$E$3:$E$500,"&gt;="&amp;D90,$A$3:$A$500,"&lt;&gt;"&amp;A90)&gt;0)),0))</f>
        <v/>
      </c>
    </row>
    <row r="91">
      <c r="C91">
        <f>IFERROR(XLOOKUP(B91,Employees!$A$3:$A$500,Employees!$B$3:$B$500,""),"")</f>
        <v/>
      </c>
      <c r="I91">
        <f>IF(AND(B91&lt;&gt;"",D91&lt;&gt;"",E91&lt;&gt;""),E91-D91+1,"")</f>
        <v/>
      </c>
      <c r="J91">
        <f>IF(OR(B91="",D91="",E91=""),"",IF(OR(L91&lt;'Coverage Rules'!E7,M91&lt;'Coverage Rules'!E8,N91&lt;'Coverage Rules'!C8,O91&lt;'Coverage Rules'!E9,P91&lt;'Coverage Rules'!E10,Q91&gt;='Coverage Rules'!B16,R91&gt;='Coverage Rules'!B17,IF(S91="",FALSE,S91&gt;='Coverage Rules'!D24)),"Denied","OK"))</f>
        <v/>
      </c>
      <c r="L91">
        <f>IF(B91="","",IFERROR(SUMPRODUCT((LEN(Employees!$A$3:$A$500)&gt;0)*(Employees!$T$3:$T$500=1)*(COUNTIFS($B$3:$B$500,Employees!$A$3:$A$500,$H$3:$H$500,"Approved",$D$3:$D$500,"&lt;="&amp;E91,$E$3:$E$500,"&gt;="&amp;D91,$A$3:$A$500,"&lt;&gt;"&amp;A91)=0)),0))</f>
        <v/>
      </c>
      <c r="M91">
        <f>IF(B91="","",IFERROR(SUMPRODUCT((LEN(Employees!$A$3:$A$500)&gt;0)*(Employees!$U$3:$U$500=1)*(COUNTIFS($B$3:$B$500,Employees!$A$3:$A$500,$H$3:$H$500,"Approved",$D$3:$D$500,"&lt;="&amp;E91,$E$3:$E$500,"&gt;="&amp;D91,$A$3:$A$500,"&lt;&gt;"&amp;A91)=0)),0))</f>
        <v/>
      </c>
      <c r="N91">
        <f>IF(B91="","",IFERROR(SUMPRODUCT((LEN(Employees!$A$3:$A$500)&gt;0)*(Employees!$B$3:$B$500="Manager")*(Employees!$U$3:$U$500=1)*(COUNTIFS($B$3:$B$500,Employees!$A$3:$A$500,$H$3:$H$500,"Approved",$D$3:$D$500,"&lt;="&amp;E91,$E$3:$E$500,"&gt;="&amp;D91,$A$3:$A$500,"&lt;&gt;"&amp;A91)=0)),0))</f>
        <v/>
      </c>
      <c r="O91">
        <f>IF(B91="","",IFERROR(SUMPRODUCT((LEN(Employees!$A$3:$A$500)&gt;0)*(Employees!$V$3:$V$500=1)*(COUNTIFS($B$3:$B$500,Employees!$A$3:$A$500,$H$3:$H$500,"Approved",$D$3:$D$500,"&lt;="&amp;E91,$E$3:$E$500,"&gt;="&amp;D91,$A$3:$A$500,"&lt;&gt;"&amp;A91)=0)),0))</f>
        <v/>
      </c>
      <c r="P91">
        <f>IF(B91="","",IFERROR(SUMPRODUCT((LEN(Employees!$A$3:$A$500)&gt;0)*(Employees!$W$3:$W$500=1)*(COUNTIFS($B$3:$B$500,Employees!$A$3:$A$500,$H$3:$H$500,"Approved",$D$3:$D$500,"&lt;="&amp;E91,$E$3:$E$500,"&gt;="&amp;D91,$A$3:$A$500,"&lt;&gt;"&amp;A91)=0)),0))</f>
        <v/>
      </c>
      <c r="Q91">
        <f>IF(B91="","",IFERROR(SUMPRODUCT((LEN(Employees!$A$3:$A$500)&gt;0)*(Employees!$N$3:$N$500=1)*(COUNTIFS($B$3:$B$500,Employees!$A$3:$A$500,$H$3:$H$500,"Approved",$D$3:$D$500,"&lt;="&amp;E91,$E$3:$E$500,"&gt;="&amp;D91,$A$3:$A$500,"&lt;&gt;"&amp;A91)&gt;0)),0))</f>
        <v/>
      </c>
      <c r="R91">
        <f>IF(B91="","",IFERROR(SUMPRODUCT((LEN(Employees!$A$3:$A$500)&gt;0)*(Employees!$O$3:$O$500=1)*(COUNTIFS($B$3:$B$500,Employees!$A$3:$A$500,$H$3:$H$500,"Approved",$D$3:$D$500,"&lt;="&amp;E91,$E$3:$E$500,"&gt;="&amp;D91,$A$3:$A$500,"&lt;&gt;"&amp;A91)&gt;0)),0))</f>
        <v/>
      </c>
      <c r="S91">
        <f>IF(OR(B91="",IFERROR(XLOOKUP(B91,Employees!$A$3:$A$500,Employees!$G$3:$G$500,""),"")=""),"",IFERROR(SUMPRODUCT((LEN(Employees!$A$3:$A$500)&gt;0)*(Employees!$G$3:$G$500=IFERROR(XLOOKUP(B91,Employees!$A$3:$A$500,Employees!$G$3:$G$500,""),""))*(COUNTIFS($B$3:$B$500,Employees!$A$3:$A$500,$H$3:$H$500,"Approved",$D$3:$D$500,"&lt;="&amp;E91,$E$3:$E$500,"&gt;="&amp;D91,$A$3:$A$500,"&lt;&gt;"&amp;A91)&gt;0)),0))</f>
        <v/>
      </c>
    </row>
    <row r="92">
      <c r="C92">
        <f>IFERROR(XLOOKUP(B92,Employees!$A$3:$A$500,Employees!$B$3:$B$500,""),"")</f>
        <v/>
      </c>
      <c r="I92">
        <f>IF(AND(B92&lt;&gt;"",D92&lt;&gt;"",E92&lt;&gt;""),E92-D92+1,"")</f>
        <v/>
      </c>
      <c r="J92">
        <f>IF(OR(B92="",D92="",E92=""),"",IF(OR(L92&lt;'Coverage Rules'!E7,M92&lt;'Coverage Rules'!E8,N92&lt;'Coverage Rules'!C8,O92&lt;'Coverage Rules'!E9,P92&lt;'Coverage Rules'!E10,Q92&gt;='Coverage Rules'!B16,R92&gt;='Coverage Rules'!B17,IF(S92="",FALSE,S92&gt;='Coverage Rules'!D24)),"Denied","OK"))</f>
        <v/>
      </c>
      <c r="L92">
        <f>IF(B92="","",IFERROR(SUMPRODUCT((LEN(Employees!$A$3:$A$500)&gt;0)*(Employees!$T$3:$T$500=1)*(COUNTIFS($B$3:$B$500,Employees!$A$3:$A$500,$H$3:$H$500,"Approved",$D$3:$D$500,"&lt;="&amp;E92,$E$3:$E$500,"&gt;="&amp;D92,$A$3:$A$500,"&lt;&gt;"&amp;A92)=0)),0))</f>
        <v/>
      </c>
      <c r="M92">
        <f>IF(B92="","",IFERROR(SUMPRODUCT((LEN(Employees!$A$3:$A$500)&gt;0)*(Employees!$U$3:$U$500=1)*(COUNTIFS($B$3:$B$500,Employees!$A$3:$A$500,$H$3:$H$500,"Approved",$D$3:$D$500,"&lt;="&amp;E92,$E$3:$E$500,"&gt;="&amp;D92,$A$3:$A$500,"&lt;&gt;"&amp;A92)=0)),0))</f>
        <v/>
      </c>
      <c r="N92">
        <f>IF(B92="","",IFERROR(SUMPRODUCT((LEN(Employees!$A$3:$A$500)&gt;0)*(Employees!$B$3:$B$500="Manager")*(Employees!$U$3:$U$500=1)*(COUNTIFS($B$3:$B$500,Employees!$A$3:$A$500,$H$3:$H$500,"Approved",$D$3:$D$500,"&lt;="&amp;E92,$E$3:$E$500,"&gt;="&amp;D92,$A$3:$A$500,"&lt;&gt;"&amp;A92)=0)),0))</f>
        <v/>
      </c>
      <c r="O92">
        <f>IF(B92="","",IFERROR(SUMPRODUCT((LEN(Employees!$A$3:$A$500)&gt;0)*(Employees!$V$3:$V$500=1)*(COUNTIFS($B$3:$B$500,Employees!$A$3:$A$500,$H$3:$H$500,"Approved",$D$3:$D$500,"&lt;="&amp;E92,$E$3:$E$500,"&gt;="&amp;D92,$A$3:$A$500,"&lt;&gt;"&amp;A92)=0)),0))</f>
        <v/>
      </c>
      <c r="P92">
        <f>IF(B92="","",IFERROR(SUMPRODUCT((LEN(Employees!$A$3:$A$500)&gt;0)*(Employees!$W$3:$W$500=1)*(COUNTIFS($B$3:$B$500,Employees!$A$3:$A$500,$H$3:$H$500,"Approved",$D$3:$D$500,"&lt;="&amp;E92,$E$3:$E$500,"&gt;="&amp;D92,$A$3:$A$500,"&lt;&gt;"&amp;A92)=0)),0))</f>
        <v/>
      </c>
      <c r="Q92">
        <f>IF(B92="","",IFERROR(SUMPRODUCT((LEN(Employees!$A$3:$A$500)&gt;0)*(Employees!$N$3:$N$500=1)*(COUNTIFS($B$3:$B$500,Employees!$A$3:$A$500,$H$3:$H$500,"Approved",$D$3:$D$500,"&lt;="&amp;E92,$E$3:$E$500,"&gt;="&amp;D92,$A$3:$A$500,"&lt;&gt;"&amp;A92)&gt;0)),0))</f>
        <v/>
      </c>
      <c r="R92">
        <f>IF(B92="","",IFERROR(SUMPRODUCT((LEN(Employees!$A$3:$A$500)&gt;0)*(Employees!$O$3:$O$500=1)*(COUNTIFS($B$3:$B$500,Employees!$A$3:$A$500,$H$3:$H$500,"Approved",$D$3:$D$500,"&lt;="&amp;E92,$E$3:$E$500,"&gt;="&amp;D92,$A$3:$A$500,"&lt;&gt;"&amp;A92)&gt;0)),0))</f>
        <v/>
      </c>
      <c r="S92">
        <f>IF(OR(B92="",IFERROR(XLOOKUP(B92,Employees!$A$3:$A$500,Employees!$G$3:$G$500,""),"")=""),"",IFERROR(SUMPRODUCT((LEN(Employees!$A$3:$A$500)&gt;0)*(Employees!$G$3:$G$500=IFERROR(XLOOKUP(B92,Employees!$A$3:$A$500,Employees!$G$3:$G$500,""),""))*(COUNTIFS($B$3:$B$500,Employees!$A$3:$A$500,$H$3:$H$500,"Approved",$D$3:$D$500,"&lt;="&amp;E92,$E$3:$E$500,"&gt;="&amp;D92,$A$3:$A$500,"&lt;&gt;"&amp;A92)&gt;0)),0))</f>
        <v/>
      </c>
    </row>
    <row r="93">
      <c r="C93">
        <f>IFERROR(XLOOKUP(B93,Employees!$A$3:$A$500,Employees!$B$3:$B$500,""),"")</f>
        <v/>
      </c>
      <c r="I93">
        <f>IF(AND(B93&lt;&gt;"",D93&lt;&gt;"",E93&lt;&gt;""),E93-D93+1,"")</f>
        <v/>
      </c>
      <c r="J93">
        <f>IF(OR(B93="",D93="",E93=""),"",IF(OR(L93&lt;'Coverage Rules'!E7,M93&lt;'Coverage Rules'!E8,N93&lt;'Coverage Rules'!C8,O93&lt;'Coverage Rules'!E9,P93&lt;'Coverage Rules'!E10,Q93&gt;='Coverage Rules'!B16,R93&gt;='Coverage Rules'!B17,IF(S93="",FALSE,S93&gt;='Coverage Rules'!D24)),"Denied","OK"))</f>
        <v/>
      </c>
      <c r="L93">
        <f>IF(B93="","",IFERROR(SUMPRODUCT((LEN(Employees!$A$3:$A$500)&gt;0)*(Employees!$T$3:$T$500=1)*(COUNTIFS($B$3:$B$500,Employees!$A$3:$A$500,$H$3:$H$500,"Approved",$D$3:$D$500,"&lt;="&amp;E93,$E$3:$E$500,"&gt;="&amp;D93,$A$3:$A$500,"&lt;&gt;"&amp;A93)=0)),0))</f>
        <v/>
      </c>
      <c r="M93">
        <f>IF(B93="","",IFERROR(SUMPRODUCT((LEN(Employees!$A$3:$A$500)&gt;0)*(Employees!$U$3:$U$500=1)*(COUNTIFS($B$3:$B$500,Employees!$A$3:$A$500,$H$3:$H$500,"Approved",$D$3:$D$500,"&lt;="&amp;E93,$E$3:$E$500,"&gt;="&amp;D93,$A$3:$A$500,"&lt;&gt;"&amp;A93)=0)),0))</f>
        <v/>
      </c>
      <c r="N93">
        <f>IF(B93="","",IFERROR(SUMPRODUCT((LEN(Employees!$A$3:$A$500)&gt;0)*(Employees!$B$3:$B$500="Manager")*(Employees!$U$3:$U$500=1)*(COUNTIFS($B$3:$B$500,Employees!$A$3:$A$500,$H$3:$H$500,"Approved",$D$3:$D$500,"&lt;="&amp;E93,$E$3:$E$500,"&gt;="&amp;D93,$A$3:$A$500,"&lt;&gt;"&amp;A93)=0)),0))</f>
        <v/>
      </c>
      <c r="O93">
        <f>IF(B93="","",IFERROR(SUMPRODUCT((LEN(Employees!$A$3:$A$500)&gt;0)*(Employees!$V$3:$V$500=1)*(COUNTIFS($B$3:$B$500,Employees!$A$3:$A$500,$H$3:$H$500,"Approved",$D$3:$D$500,"&lt;="&amp;E93,$E$3:$E$500,"&gt;="&amp;D93,$A$3:$A$500,"&lt;&gt;"&amp;A93)=0)),0))</f>
        <v/>
      </c>
      <c r="P93">
        <f>IF(B93="","",IFERROR(SUMPRODUCT((LEN(Employees!$A$3:$A$500)&gt;0)*(Employees!$W$3:$W$500=1)*(COUNTIFS($B$3:$B$500,Employees!$A$3:$A$500,$H$3:$H$500,"Approved",$D$3:$D$500,"&lt;="&amp;E93,$E$3:$E$500,"&gt;="&amp;D93,$A$3:$A$500,"&lt;&gt;"&amp;A93)=0)),0))</f>
        <v/>
      </c>
      <c r="Q93">
        <f>IF(B93="","",IFERROR(SUMPRODUCT((LEN(Employees!$A$3:$A$500)&gt;0)*(Employees!$N$3:$N$500=1)*(COUNTIFS($B$3:$B$500,Employees!$A$3:$A$500,$H$3:$H$500,"Approved",$D$3:$D$500,"&lt;="&amp;E93,$E$3:$E$500,"&gt;="&amp;D93,$A$3:$A$500,"&lt;&gt;"&amp;A93)&gt;0)),0))</f>
        <v/>
      </c>
      <c r="R93">
        <f>IF(B93="","",IFERROR(SUMPRODUCT((LEN(Employees!$A$3:$A$500)&gt;0)*(Employees!$O$3:$O$500=1)*(COUNTIFS($B$3:$B$500,Employees!$A$3:$A$500,$H$3:$H$500,"Approved",$D$3:$D$500,"&lt;="&amp;E93,$E$3:$E$500,"&gt;="&amp;D93,$A$3:$A$500,"&lt;&gt;"&amp;A93)&gt;0)),0))</f>
        <v/>
      </c>
      <c r="S93">
        <f>IF(OR(B93="",IFERROR(XLOOKUP(B93,Employees!$A$3:$A$500,Employees!$G$3:$G$500,""),"")=""),"",IFERROR(SUMPRODUCT((LEN(Employees!$A$3:$A$500)&gt;0)*(Employees!$G$3:$G$500=IFERROR(XLOOKUP(B93,Employees!$A$3:$A$500,Employees!$G$3:$G$500,""),""))*(COUNTIFS($B$3:$B$500,Employees!$A$3:$A$500,$H$3:$H$500,"Approved",$D$3:$D$500,"&lt;="&amp;E93,$E$3:$E$500,"&gt;="&amp;D93,$A$3:$A$500,"&lt;&gt;"&amp;A93)&gt;0)),0))</f>
        <v/>
      </c>
    </row>
    <row r="94">
      <c r="C94">
        <f>IFERROR(XLOOKUP(B94,Employees!$A$3:$A$500,Employees!$B$3:$B$500,""),"")</f>
        <v/>
      </c>
      <c r="I94">
        <f>IF(AND(B94&lt;&gt;"",D94&lt;&gt;"",E94&lt;&gt;""),E94-D94+1,"")</f>
        <v/>
      </c>
      <c r="J94">
        <f>IF(OR(B94="",D94="",E94=""),"",IF(OR(L94&lt;'Coverage Rules'!E7,M94&lt;'Coverage Rules'!E8,N94&lt;'Coverage Rules'!C8,O94&lt;'Coverage Rules'!E9,P94&lt;'Coverage Rules'!E10,Q94&gt;='Coverage Rules'!B16,R94&gt;='Coverage Rules'!B17,IF(S94="",FALSE,S94&gt;='Coverage Rules'!D24)),"Denied","OK"))</f>
        <v/>
      </c>
      <c r="L94">
        <f>IF(B94="","",IFERROR(SUMPRODUCT((LEN(Employees!$A$3:$A$500)&gt;0)*(Employees!$T$3:$T$500=1)*(COUNTIFS($B$3:$B$500,Employees!$A$3:$A$500,$H$3:$H$500,"Approved",$D$3:$D$500,"&lt;="&amp;E94,$E$3:$E$500,"&gt;="&amp;D94,$A$3:$A$500,"&lt;&gt;"&amp;A94)=0)),0))</f>
        <v/>
      </c>
      <c r="M94">
        <f>IF(B94="","",IFERROR(SUMPRODUCT((LEN(Employees!$A$3:$A$500)&gt;0)*(Employees!$U$3:$U$500=1)*(COUNTIFS($B$3:$B$500,Employees!$A$3:$A$500,$H$3:$H$500,"Approved",$D$3:$D$500,"&lt;="&amp;E94,$E$3:$E$500,"&gt;="&amp;D94,$A$3:$A$500,"&lt;&gt;"&amp;A94)=0)),0))</f>
        <v/>
      </c>
      <c r="N94">
        <f>IF(B94="","",IFERROR(SUMPRODUCT((LEN(Employees!$A$3:$A$500)&gt;0)*(Employees!$B$3:$B$500="Manager")*(Employees!$U$3:$U$500=1)*(COUNTIFS($B$3:$B$500,Employees!$A$3:$A$500,$H$3:$H$500,"Approved",$D$3:$D$500,"&lt;="&amp;E94,$E$3:$E$500,"&gt;="&amp;D94,$A$3:$A$500,"&lt;&gt;"&amp;A94)=0)),0))</f>
        <v/>
      </c>
      <c r="O94">
        <f>IF(B94="","",IFERROR(SUMPRODUCT((LEN(Employees!$A$3:$A$500)&gt;0)*(Employees!$V$3:$V$500=1)*(COUNTIFS($B$3:$B$500,Employees!$A$3:$A$500,$H$3:$H$500,"Approved",$D$3:$D$500,"&lt;="&amp;E94,$E$3:$E$500,"&gt;="&amp;D94,$A$3:$A$500,"&lt;&gt;"&amp;A94)=0)),0))</f>
        <v/>
      </c>
      <c r="P94">
        <f>IF(B94="","",IFERROR(SUMPRODUCT((LEN(Employees!$A$3:$A$500)&gt;0)*(Employees!$W$3:$W$500=1)*(COUNTIFS($B$3:$B$500,Employees!$A$3:$A$500,$H$3:$H$500,"Approved",$D$3:$D$500,"&lt;="&amp;E94,$E$3:$E$500,"&gt;="&amp;D94,$A$3:$A$500,"&lt;&gt;"&amp;A94)=0)),0))</f>
        <v/>
      </c>
      <c r="Q94">
        <f>IF(B94="","",IFERROR(SUMPRODUCT((LEN(Employees!$A$3:$A$500)&gt;0)*(Employees!$N$3:$N$500=1)*(COUNTIFS($B$3:$B$500,Employees!$A$3:$A$500,$H$3:$H$500,"Approved",$D$3:$D$500,"&lt;="&amp;E94,$E$3:$E$500,"&gt;="&amp;D94,$A$3:$A$500,"&lt;&gt;"&amp;A94)&gt;0)),0))</f>
        <v/>
      </c>
      <c r="R94">
        <f>IF(B94="","",IFERROR(SUMPRODUCT((LEN(Employees!$A$3:$A$500)&gt;0)*(Employees!$O$3:$O$500=1)*(COUNTIFS($B$3:$B$500,Employees!$A$3:$A$500,$H$3:$H$500,"Approved",$D$3:$D$500,"&lt;="&amp;E94,$E$3:$E$500,"&gt;="&amp;D94,$A$3:$A$500,"&lt;&gt;"&amp;A94)&gt;0)),0))</f>
        <v/>
      </c>
      <c r="S94">
        <f>IF(OR(B94="",IFERROR(XLOOKUP(B94,Employees!$A$3:$A$500,Employees!$G$3:$G$500,""),"")=""),"",IFERROR(SUMPRODUCT((LEN(Employees!$A$3:$A$500)&gt;0)*(Employees!$G$3:$G$500=IFERROR(XLOOKUP(B94,Employees!$A$3:$A$500,Employees!$G$3:$G$500,""),""))*(COUNTIFS($B$3:$B$500,Employees!$A$3:$A$500,$H$3:$H$500,"Approved",$D$3:$D$500,"&lt;="&amp;E94,$E$3:$E$500,"&gt;="&amp;D94,$A$3:$A$500,"&lt;&gt;"&amp;A94)&gt;0)),0))</f>
        <v/>
      </c>
    </row>
    <row r="95">
      <c r="C95">
        <f>IFERROR(XLOOKUP(B95,Employees!$A$3:$A$500,Employees!$B$3:$B$500,""),"")</f>
        <v/>
      </c>
      <c r="I95">
        <f>IF(AND(B95&lt;&gt;"",D95&lt;&gt;"",E95&lt;&gt;""),E95-D95+1,"")</f>
        <v/>
      </c>
      <c r="J95">
        <f>IF(OR(B95="",D95="",E95=""),"",IF(OR(L95&lt;'Coverage Rules'!E7,M95&lt;'Coverage Rules'!E8,N95&lt;'Coverage Rules'!C8,O95&lt;'Coverage Rules'!E9,P95&lt;'Coverage Rules'!E10,Q95&gt;='Coverage Rules'!B16,R95&gt;='Coverage Rules'!B17,IF(S95="",FALSE,S95&gt;='Coverage Rules'!D24)),"Denied","OK"))</f>
        <v/>
      </c>
      <c r="L95">
        <f>IF(B95="","",IFERROR(SUMPRODUCT((LEN(Employees!$A$3:$A$500)&gt;0)*(Employees!$T$3:$T$500=1)*(COUNTIFS($B$3:$B$500,Employees!$A$3:$A$500,$H$3:$H$500,"Approved",$D$3:$D$500,"&lt;="&amp;E95,$E$3:$E$500,"&gt;="&amp;D95,$A$3:$A$500,"&lt;&gt;"&amp;A95)=0)),0))</f>
        <v/>
      </c>
      <c r="M95">
        <f>IF(B95="","",IFERROR(SUMPRODUCT((LEN(Employees!$A$3:$A$500)&gt;0)*(Employees!$U$3:$U$500=1)*(COUNTIFS($B$3:$B$500,Employees!$A$3:$A$500,$H$3:$H$500,"Approved",$D$3:$D$500,"&lt;="&amp;E95,$E$3:$E$500,"&gt;="&amp;D95,$A$3:$A$500,"&lt;&gt;"&amp;A95)=0)),0))</f>
        <v/>
      </c>
      <c r="N95">
        <f>IF(B95="","",IFERROR(SUMPRODUCT((LEN(Employees!$A$3:$A$500)&gt;0)*(Employees!$B$3:$B$500="Manager")*(Employees!$U$3:$U$500=1)*(COUNTIFS($B$3:$B$500,Employees!$A$3:$A$500,$H$3:$H$500,"Approved",$D$3:$D$500,"&lt;="&amp;E95,$E$3:$E$500,"&gt;="&amp;D95,$A$3:$A$500,"&lt;&gt;"&amp;A95)=0)),0))</f>
        <v/>
      </c>
      <c r="O95">
        <f>IF(B95="","",IFERROR(SUMPRODUCT((LEN(Employees!$A$3:$A$500)&gt;0)*(Employees!$V$3:$V$500=1)*(COUNTIFS($B$3:$B$500,Employees!$A$3:$A$500,$H$3:$H$500,"Approved",$D$3:$D$500,"&lt;="&amp;E95,$E$3:$E$500,"&gt;="&amp;D95,$A$3:$A$500,"&lt;&gt;"&amp;A95)=0)),0))</f>
        <v/>
      </c>
      <c r="P95">
        <f>IF(B95="","",IFERROR(SUMPRODUCT((LEN(Employees!$A$3:$A$500)&gt;0)*(Employees!$W$3:$W$500=1)*(COUNTIFS($B$3:$B$500,Employees!$A$3:$A$500,$H$3:$H$500,"Approved",$D$3:$D$500,"&lt;="&amp;E95,$E$3:$E$500,"&gt;="&amp;D95,$A$3:$A$500,"&lt;&gt;"&amp;A95)=0)),0))</f>
        <v/>
      </c>
      <c r="Q95">
        <f>IF(B95="","",IFERROR(SUMPRODUCT((LEN(Employees!$A$3:$A$500)&gt;0)*(Employees!$N$3:$N$500=1)*(COUNTIFS($B$3:$B$500,Employees!$A$3:$A$500,$H$3:$H$500,"Approved",$D$3:$D$500,"&lt;="&amp;E95,$E$3:$E$500,"&gt;="&amp;D95,$A$3:$A$500,"&lt;&gt;"&amp;A95)&gt;0)),0))</f>
        <v/>
      </c>
      <c r="R95">
        <f>IF(B95="","",IFERROR(SUMPRODUCT((LEN(Employees!$A$3:$A$500)&gt;0)*(Employees!$O$3:$O$500=1)*(COUNTIFS($B$3:$B$500,Employees!$A$3:$A$500,$H$3:$H$500,"Approved",$D$3:$D$500,"&lt;="&amp;E95,$E$3:$E$500,"&gt;="&amp;D95,$A$3:$A$500,"&lt;&gt;"&amp;A95)&gt;0)),0))</f>
        <v/>
      </c>
      <c r="S95">
        <f>IF(OR(B95="",IFERROR(XLOOKUP(B95,Employees!$A$3:$A$500,Employees!$G$3:$G$500,""),"")=""),"",IFERROR(SUMPRODUCT((LEN(Employees!$A$3:$A$500)&gt;0)*(Employees!$G$3:$G$500=IFERROR(XLOOKUP(B95,Employees!$A$3:$A$500,Employees!$G$3:$G$500,""),""))*(COUNTIFS($B$3:$B$500,Employees!$A$3:$A$500,$H$3:$H$500,"Approved",$D$3:$D$500,"&lt;="&amp;E95,$E$3:$E$500,"&gt;="&amp;D95,$A$3:$A$500,"&lt;&gt;"&amp;A95)&gt;0)),0))</f>
        <v/>
      </c>
    </row>
    <row r="96">
      <c r="C96">
        <f>IFERROR(XLOOKUP(B96,Employees!$A$3:$A$500,Employees!$B$3:$B$500,""),"")</f>
        <v/>
      </c>
      <c r="I96">
        <f>IF(AND(B96&lt;&gt;"",D96&lt;&gt;"",E96&lt;&gt;""),E96-D96+1,"")</f>
        <v/>
      </c>
      <c r="J96">
        <f>IF(OR(B96="",D96="",E96=""),"",IF(OR(L96&lt;'Coverage Rules'!E7,M96&lt;'Coverage Rules'!E8,N96&lt;'Coverage Rules'!C8,O96&lt;'Coverage Rules'!E9,P96&lt;'Coverage Rules'!E10,Q96&gt;='Coverage Rules'!B16,R96&gt;='Coverage Rules'!B17,IF(S96="",FALSE,S96&gt;='Coverage Rules'!D24)),"Denied","OK"))</f>
        <v/>
      </c>
      <c r="L96">
        <f>IF(B96="","",IFERROR(SUMPRODUCT((LEN(Employees!$A$3:$A$500)&gt;0)*(Employees!$T$3:$T$500=1)*(COUNTIFS($B$3:$B$500,Employees!$A$3:$A$500,$H$3:$H$500,"Approved",$D$3:$D$500,"&lt;="&amp;E96,$E$3:$E$500,"&gt;="&amp;D96,$A$3:$A$500,"&lt;&gt;"&amp;A96)=0)),0))</f>
        <v/>
      </c>
      <c r="M96">
        <f>IF(B96="","",IFERROR(SUMPRODUCT((LEN(Employees!$A$3:$A$500)&gt;0)*(Employees!$U$3:$U$500=1)*(COUNTIFS($B$3:$B$500,Employees!$A$3:$A$500,$H$3:$H$500,"Approved",$D$3:$D$500,"&lt;="&amp;E96,$E$3:$E$500,"&gt;="&amp;D96,$A$3:$A$500,"&lt;&gt;"&amp;A96)=0)),0))</f>
        <v/>
      </c>
      <c r="N96">
        <f>IF(B96="","",IFERROR(SUMPRODUCT((LEN(Employees!$A$3:$A$500)&gt;0)*(Employees!$B$3:$B$500="Manager")*(Employees!$U$3:$U$500=1)*(COUNTIFS($B$3:$B$500,Employees!$A$3:$A$500,$H$3:$H$500,"Approved",$D$3:$D$500,"&lt;="&amp;E96,$E$3:$E$500,"&gt;="&amp;D96,$A$3:$A$500,"&lt;&gt;"&amp;A96)=0)),0))</f>
        <v/>
      </c>
      <c r="O96">
        <f>IF(B96="","",IFERROR(SUMPRODUCT((LEN(Employees!$A$3:$A$500)&gt;0)*(Employees!$V$3:$V$500=1)*(COUNTIFS($B$3:$B$500,Employees!$A$3:$A$500,$H$3:$H$500,"Approved",$D$3:$D$500,"&lt;="&amp;E96,$E$3:$E$500,"&gt;="&amp;D96,$A$3:$A$500,"&lt;&gt;"&amp;A96)=0)),0))</f>
        <v/>
      </c>
      <c r="P96">
        <f>IF(B96="","",IFERROR(SUMPRODUCT((LEN(Employees!$A$3:$A$500)&gt;0)*(Employees!$W$3:$W$500=1)*(COUNTIFS($B$3:$B$500,Employees!$A$3:$A$500,$H$3:$H$500,"Approved",$D$3:$D$500,"&lt;="&amp;E96,$E$3:$E$500,"&gt;="&amp;D96,$A$3:$A$500,"&lt;&gt;"&amp;A96)=0)),0))</f>
        <v/>
      </c>
      <c r="Q96">
        <f>IF(B96="","",IFERROR(SUMPRODUCT((LEN(Employees!$A$3:$A$500)&gt;0)*(Employees!$N$3:$N$500=1)*(COUNTIFS($B$3:$B$500,Employees!$A$3:$A$500,$H$3:$H$500,"Approved",$D$3:$D$500,"&lt;="&amp;E96,$E$3:$E$500,"&gt;="&amp;D96,$A$3:$A$500,"&lt;&gt;"&amp;A96)&gt;0)),0))</f>
        <v/>
      </c>
      <c r="R96">
        <f>IF(B96="","",IFERROR(SUMPRODUCT((LEN(Employees!$A$3:$A$500)&gt;0)*(Employees!$O$3:$O$500=1)*(COUNTIFS($B$3:$B$500,Employees!$A$3:$A$500,$H$3:$H$500,"Approved",$D$3:$D$500,"&lt;="&amp;E96,$E$3:$E$500,"&gt;="&amp;D96,$A$3:$A$500,"&lt;&gt;"&amp;A96)&gt;0)),0))</f>
        <v/>
      </c>
      <c r="S96">
        <f>IF(OR(B96="",IFERROR(XLOOKUP(B96,Employees!$A$3:$A$500,Employees!$G$3:$G$500,""),"")=""),"",IFERROR(SUMPRODUCT((LEN(Employees!$A$3:$A$500)&gt;0)*(Employees!$G$3:$G$500=IFERROR(XLOOKUP(B96,Employees!$A$3:$A$500,Employees!$G$3:$G$500,""),""))*(COUNTIFS($B$3:$B$500,Employees!$A$3:$A$500,$H$3:$H$500,"Approved",$D$3:$D$500,"&lt;="&amp;E96,$E$3:$E$500,"&gt;="&amp;D96,$A$3:$A$500,"&lt;&gt;"&amp;A96)&gt;0)),0))</f>
        <v/>
      </c>
    </row>
    <row r="97">
      <c r="C97">
        <f>IFERROR(XLOOKUP(B97,Employees!$A$3:$A$500,Employees!$B$3:$B$500,""),"")</f>
        <v/>
      </c>
      <c r="I97">
        <f>IF(AND(B97&lt;&gt;"",D97&lt;&gt;"",E97&lt;&gt;""),E97-D97+1,"")</f>
        <v/>
      </c>
      <c r="J97">
        <f>IF(OR(B97="",D97="",E97=""),"",IF(OR(L97&lt;'Coverage Rules'!E7,M97&lt;'Coverage Rules'!E8,N97&lt;'Coverage Rules'!C8,O97&lt;'Coverage Rules'!E9,P97&lt;'Coverage Rules'!E10,Q97&gt;='Coverage Rules'!B16,R97&gt;='Coverage Rules'!B17,IF(S97="",FALSE,S97&gt;='Coverage Rules'!D24)),"Denied","OK"))</f>
        <v/>
      </c>
      <c r="L97">
        <f>IF(B97="","",IFERROR(SUMPRODUCT((LEN(Employees!$A$3:$A$500)&gt;0)*(Employees!$T$3:$T$500=1)*(COUNTIFS($B$3:$B$500,Employees!$A$3:$A$500,$H$3:$H$500,"Approved",$D$3:$D$500,"&lt;="&amp;E97,$E$3:$E$500,"&gt;="&amp;D97,$A$3:$A$500,"&lt;&gt;"&amp;A97)=0)),0))</f>
        <v/>
      </c>
      <c r="M97">
        <f>IF(B97="","",IFERROR(SUMPRODUCT((LEN(Employees!$A$3:$A$500)&gt;0)*(Employees!$U$3:$U$500=1)*(COUNTIFS($B$3:$B$500,Employees!$A$3:$A$500,$H$3:$H$500,"Approved",$D$3:$D$500,"&lt;="&amp;E97,$E$3:$E$500,"&gt;="&amp;D97,$A$3:$A$500,"&lt;&gt;"&amp;A97)=0)),0))</f>
        <v/>
      </c>
      <c r="N97">
        <f>IF(B97="","",IFERROR(SUMPRODUCT((LEN(Employees!$A$3:$A$500)&gt;0)*(Employees!$B$3:$B$500="Manager")*(Employees!$U$3:$U$500=1)*(COUNTIFS($B$3:$B$500,Employees!$A$3:$A$500,$H$3:$H$500,"Approved",$D$3:$D$500,"&lt;="&amp;E97,$E$3:$E$500,"&gt;="&amp;D97,$A$3:$A$500,"&lt;&gt;"&amp;A97)=0)),0))</f>
        <v/>
      </c>
      <c r="O97">
        <f>IF(B97="","",IFERROR(SUMPRODUCT((LEN(Employees!$A$3:$A$500)&gt;0)*(Employees!$V$3:$V$500=1)*(COUNTIFS($B$3:$B$500,Employees!$A$3:$A$500,$H$3:$H$500,"Approved",$D$3:$D$500,"&lt;="&amp;E97,$E$3:$E$500,"&gt;="&amp;D97,$A$3:$A$500,"&lt;&gt;"&amp;A97)=0)),0))</f>
        <v/>
      </c>
      <c r="P97">
        <f>IF(B97="","",IFERROR(SUMPRODUCT((LEN(Employees!$A$3:$A$500)&gt;0)*(Employees!$W$3:$W$500=1)*(COUNTIFS($B$3:$B$500,Employees!$A$3:$A$500,$H$3:$H$500,"Approved",$D$3:$D$500,"&lt;="&amp;E97,$E$3:$E$500,"&gt;="&amp;D97,$A$3:$A$500,"&lt;&gt;"&amp;A97)=0)),0))</f>
        <v/>
      </c>
      <c r="Q97">
        <f>IF(B97="","",IFERROR(SUMPRODUCT((LEN(Employees!$A$3:$A$500)&gt;0)*(Employees!$N$3:$N$500=1)*(COUNTIFS($B$3:$B$500,Employees!$A$3:$A$500,$H$3:$H$500,"Approved",$D$3:$D$500,"&lt;="&amp;E97,$E$3:$E$500,"&gt;="&amp;D97,$A$3:$A$500,"&lt;&gt;"&amp;A97)&gt;0)),0))</f>
        <v/>
      </c>
      <c r="R97">
        <f>IF(B97="","",IFERROR(SUMPRODUCT((LEN(Employees!$A$3:$A$500)&gt;0)*(Employees!$O$3:$O$500=1)*(COUNTIFS($B$3:$B$500,Employees!$A$3:$A$500,$H$3:$H$500,"Approved",$D$3:$D$500,"&lt;="&amp;E97,$E$3:$E$500,"&gt;="&amp;D97,$A$3:$A$500,"&lt;&gt;"&amp;A97)&gt;0)),0))</f>
        <v/>
      </c>
      <c r="S97">
        <f>IF(OR(B97="",IFERROR(XLOOKUP(B97,Employees!$A$3:$A$500,Employees!$G$3:$G$500,""),"")=""),"",IFERROR(SUMPRODUCT((LEN(Employees!$A$3:$A$500)&gt;0)*(Employees!$G$3:$G$500=IFERROR(XLOOKUP(B97,Employees!$A$3:$A$500,Employees!$G$3:$G$500,""),""))*(COUNTIFS($B$3:$B$500,Employees!$A$3:$A$500,$H$3:$H$500,"Approved",$D$3:$D$500,"&lt;="&amp;E97,$E$3:$E$500,"&gt;="&amp;D97,$A$3:$A$500,"&lt;&gt;"&amp;A97)&gt;0)),0))</f>
        <v/>
      </c>
    </row>
    <row r="98">
      <c r="C98">
        <f>IFERROR(XLOOKUP(B98,Employees!$A$3:$A$500,Employees!$B$3:$B$500,""),"")</f>
        <v/>
      </c>
      <c r="I98">
        <f>IF(AND(B98&lt;&gt;"",D98&lt;&gt;"",E98&lt;&gt;""),E98-D98+1,"")</f>
        <v/>
      </c>
      <c r="J98">
        <f>IF(OR(B98="",D98="",E98=""),"",IF(OR(L98&lt;'Coverage Rules'!E7,M98&lt;'Coverage Rules'!E8,N98&lt;'Coverage Rules'!C8,O98&lt;'Coverage Rules'!E9,P98&lt;'Coverage Rules'!E10,Q98&gt;='Coverage Rules'!B16,R98&gt;='Coverage Rules'!B17,IF(S98="",FALSE,S98&gt;='Coverage Rules'!D24)),"Denied","OK"))</f>
        <v/>
      </c>
      <c r="L98">
        <f>IF(B98="","",IFERROR(SUMPRODUCT((LEN(Employees!$A$3:$A$500)&gt;0)*(Employees!$T$3:$T$500=1)*(COUNTIFS($B$3:$B$500,Employees!$A$3:$A$500,$H$3:$H$500,"Approved",$D$3:$D$500,"&lt;="&amp;E98,$E$3:$E$500,"&gt;="&amp;D98,$A$3:$A$500,"&lt;&gt;"&amp;A98)=0)),0))</f>
        <v/>
      </c>
      <c r="M98">
        <f>IF(B98="","",IFERROR(SUMPRODUCT((LEN(Employees!$A$3:$A$500)&gt;0)*(Employees!$U$3:$U$500=1)*(COUNTIFS($B$3:$B$500,Employees!$A$3:$A$500,$H$3:$H$500,"Approved",$D$3:$D$500,"&lt;="&amp;E98,$E$3:$E$500,"&gt;="&amp;D98,$A$3:$A$500,"&lt;&gt;"&amp;A98)=0)),0))</f>
        <v/>
      </c>
      <c r="N98">
        <f>IF(B98="","",IFERROR(SUMPRODUCT((LEN(Employees!$A$3:$A$500)&gt;0)*(Employees!$B$3:$B$500="Manager")*(Employees!$U$3:$U$500=1)*(COUNTIFS($B$3:$B$500,Employees!$A$3:$A$500,$H$3:$H$500,"Approved",$D$3:$D$500,"&lt;="&amp;E98,$E$3:$E$500,"&gt;="&amp;D98,$A$3:$A$500,"&lt;&gt;"&amp;A98)=0)),0))</f>
        <v/>
      </c>
      <c r="O98">
        <f>IF(B98="","",IFERROR(SUMPRODUCT((LEN(Employees!$A$3:$A$500)&gt;0)*(Employees!$V$3:$V$500=1)*(COUNTIFS($B$3:$B$500,Employees!$A$3:$A$500,$H$3:$H$500,"Approved",$D$3:$D$500,"&lt;="&amp;E98,$E$3:$E$500,"&gt;="&amp;D98,$A$3:$A$500,"&lt;&gt;"&amp;A98)=0)),0))</f>
        <v/>
      </c>
      <c r="P98">
        <f>IF(B98="","",IFERROR(SUMPRODUCT((LEN(Employees!$A$3:$A$500)&gt;0)*(Employees!$W$3:$W$500=1)*(COUNTIFS($B$3:$B$500,Employees!$A$3:$A$500,$H$3:$H$500,"Approved",$D$3:$D$500,"&lt;="&amp;E98,$E$3:$E$500,"&gt;="&amp;D98,$A$3:$A$500,"&lt;&gt;"&amp;A98)=0)),0))</f>
        <v/>
      </c>
      <c r="Q98">
        <f>IF(B98="","",IFERROR(SUMPRODUCT((LEN(Employees!$A$3:$A$500)&gt;0)*(Employees!$N$3:$N$500=1)*(COUNTIFS($B$3:$B$500,Employees!$A$3:$A$500,$H$3:$H$500,"Approved",$D$3:$D$500,"&lt;="&amp;E98,$E$3:$E$500,"&gt;="&amp;D98,$A$3:$A$500,"&lt;&gt;"&amp;A98)&gt;0)),0))</f>
        <v/>
      </c>
      <c r="R98">
        <f>IF(B98="","",IFERROR(SUMPRODUCT((LEN(Employees!$A$3:$A$500)&gt;0)*(Employees!$O$3:$O$500=1)*(COUNTIFS($B$3:$B$500,Employees!$A$3:$A$500,$H$3:$H$500,"Approved",$D$3:$D$500,"&lt;="&amp;E98,$E$3:$E$500,"&gt;="&amp;D98,$A$3:$A$500,"&lt;&gt;"&amp;A98)&gt;0)),0))</f>
        <v/>
      </c>
      <c r="S98">
        <f>IF(OR(B98="",IFERROR(XLOOKUP(B98,Employees!$A$3:$A$500,Employees!$G$3:$G$500,""),"")=""),"",IFERROR(SUMPRODUCT((LEN(Employees!$A$3:$A$500)&gt;0)*(Employees!$G$3:$G$500=IFERROR(XLOOKUP(B98,Employees!$A$3:$A$500,Employees!$G$3:$G$500,""),""))*(COUNTIFS($B$3:$B$500,Employees!$A$3:$A$500,$H$3:$H$500,"Approved",$D$3:$D$500,"&lt;="&amp;E98,$E$3:$E$500,"&gt;="&amp;D98,$A$3:$A$500,"&lt;&gt;"&amp;A98)&gt;0)),0))</f>
        <v/>
      </c>
    </row>
    <row r="99">
      <c r="C99">
        <f>IFERROR(XLOOKUP(B99,Employees!$A$3:$A$500,Employees!$B$3:$B$500,""),"")</f>
        <v/>
      </c>
      <c r="I99">
        <f>IF(AND(B99&lt;&gt;"",D99&lt;&gt;"",E99&lt;&gt;""),E99-D99+1,"")</f>
        <v/>
      </c>
      <c r="J99">
        <f>IF(OR(B99="",D99="",E99=""),"",IF(OR(L99&lt;'Coverage Rules'!E7,M99&lt;'Coverage Rules'!E8,N99&lt;'Coverage Rules'!C8,O99&lt;'Coverage Rules'!E9,P99&lt;'Coverage Rules'!E10,Q99&gt;='Coverage Rules'!B16,R99&gt;='Coverage Rules'!B17,IF(S99="",FALSE,S99&gt;='Coverage Rules'!D24)),"Denied","OK"))</f>
        <v/>
      </c>
      <c r="L99">
        <f>IF(B99="","",IFERROR(SUMPRODUCT((LEN(Employees!$A$3:$A$500)&gt;0)*(Employees!$T$3:$T$500=1)*(COUNTIFS($B$3:$B$500,Employees!$A$3:$A$500,$H$3:$H$500,"Approved",$D$3:$D$500,"&lt;="&amp;E99,$E$3:$E$500,"&gt;="&amp;D99,$A$3:$A$500,"&lt;&gt;"&amp;A99)=0)),0))</f>
        <v/>
      </c>
      <c r="M99">
        <f>IF(B99="","",IFERROR(SUMPRODUCT((LEN(Employees!$A$3:$A$500)&gt;0)*(Employees!$U$3:$U$500=1)*(COUNTIFS($B$3:$B$500,Employees!$A$3:$A$500,$H$3:$H$500,"Approved",$D$3:$D$500,"&lt;="&amp;E99,$E$3:$E$500,"&gt;="&amp;D99,$A$3:$A$500,"&lt;&gt;"&amp;A99)=0)),0))</f>
        <v/>
      </c>
      <c r="N99">
        <f>IF(B99="","",IFERROR(SUMPRODUCT((LEN(Employees!$A$3:$A$500)&gt;0)*(Employees!$B$3:$B$500="Manager")*(Employees!$U$3:$U$500=1)*(COUNTIFS($B$3:$B$500,Employees!$A$3:$A$500,$H$3:$H$500,"Approved",$D$3:$D$500,"&lt;="&amp;E99,$E$3:$E$500,"&gt;="&amp;D99,$A$3:$A$500,"&lt;&gt;"&amp;A99)=0)),0))</f>
        <v/>
      </c>
      <c r="O99">
        <f>IF(B99="","",IFERROR(SUMPRODUCT((LEN(Employees!$A$3:$A$500)&gt;0)*(Employees!$V$3:$V$500=1)*(COUNTIFS($B$3:$B$500,Employees!$A$3:$A$500,$H$3:$H$500,"Approved",$D$3:$D$500,"&lt;="&amp;E99,$E$3:$E$500,"&gt;="&amp;D99,$A$3:$A$500,"&lt;&gt;"&amp;A99)=0)),0))</f>
        <v/>
      </c>
      <c r="P99">
        <f>IF(B99="","",IFERROR(SUMPRODUCT((LEN(Employees!$A$3:$A$500)&gt;0)*(Employees!$W$3:$W$500=1)*(COUNTIFS($B$3:$B$500,Employees!$A$3:$A$500,$H$3:$H$500,"Approved",$D$3:$D$500,"&lt;="&amp;E99,$E$3:$E$500,"&gt;="&amp;D99,$A$3:$A$500,"&lt;&gt;"&amp;A99)=0)),0))</f>
        <v/>
      </c>
      <c r="Q99">
        <f>IF(B99="","",IFERROR(SUMPRODUCT((LEN(Employees!$A$3:$A$500)&gt;0)*(Employees!$N$3:$N$500=1)*(COUNTIFS($B$3:$B$500,Employees!$A$3:$A$500,$H$3:$H$500,"Approved",$D$3:$D$500,"&lt;="&amp;E99,$E$3:$E$500,"&gt;="&amp;D99,$A$3:$A$500,"&lt;&gt;"&amp;A99)&gt;0)),0))</f>
        <v/>
      </c>
      <c r="R99">
        <f>IF(B99="","",IFERROR(SUMPRODUCT((LEN(Employees!$A$3:$A$500)&gt;0)*(Employees!$O$3:$O$500=1)*(COUNTIFS($B$3:$B$500,Employees!$A$3:$A$500,$H$3:$H$500,"Approved",$D$3:$D$500,"&lt;="&amp;E99,$E$3:$E$500,"&gt;="&amp;D99,$A$3:$A$500,"&lt;&gt;"&amp;A99)&gt;0)),0))</f>
        <v/>
      </c>
      <c r="S99">
        <f>IF(OR(B99="",IFERROR(XLOOKUP(B99,Employees!$A$3:$A$500,Employees!$G$3:$G$500,""),"")=""),"",IFERROR(SUMPRODUCT((LEN(Employees!$A$3:$A$500)&gt;0)*(Employees!$G$3:$G$500=IFERROR(XLOOKUP(B99,Employees!$A$3:$A$500,Employees!$G$3:$G$500,""),""))*(COUNTIFS($B$3:$B$500,Employees!$A$3:$A$500,$H$3:$H$500,"Approved",$D$3:$D$500,"&lt;="&amp;E99,$E$3:$E$500,"&gt;="&amp;D99,$A$3:$A$500,"&lt;&gt;"&amp;A99)&gt;0)),0))</f>
        <v/>
      </c>
    </row>
    <row r="100">
      <c r="C100">
        <f>IFERROR(XLOOKUP(B100,Employees!$A$3:$A$500,Employees!$B$3:$B$500,""),"")</f>
        <v/>
      </c>
      <c r="I100">
        <f>IF(AND(B100&lt;&gt;"",D100&lt;&gt;"",E100&lt;&gt;""),E100-D100+1,"")</f>
        <v/>
      </c>
      <c r="J100">
        <f>IF(OR(B100="",D100="",E100=""),"",IF(OR(L100&lt;'Coverage Rules'!E7,M100&lt;'Coverage Rules'!E8,N100&lt;'Coverage Rules'!C8,O100&lt;'Coverage Rules'!E9,P100&lt;'Coverage Rules'!E10,Q100&gt;='Coverage Rules'!B16,R100&gt;='Coverage Rules'!B17,IF(S100="",FALSE,S100&gt;='Coverage Rules'!D24)),"Denied","OK"))</f>
        <v/>
      </c>
      <c r="L100">
        <f>IF(B100="","",IFERROR(SUMPRODUCT((LEN(Employees!$A$3:$A$500)&gt;0)*(Employees!$T$3:$T$500=1)*(COUNTIFS($B$3:$B$500,Employees!$A$3:$A$500,$H$3:$H$500,"Approved",$D$3:$D$500,"&lt;="&amp;E100,$E$3:$E$500,"&gt;="&amp;D100,$A$3:$A$500,"&lt;&gt;"&amp;A100)=0)),0))</f>
        <v/>
      </c>
      <c r="M100">
        <f>IF(B100="","",IFERROR(SUMPRODUCT((LEN(Employees!$A$3:$A$500)&gt;0)*(Employees!$U$3:$U$500=1)*(COUNTIFS($B$3:$B$500,Employees!$A$3:$A$500,$H$3:$H$500,"Approved",$D$3:$D$500,"&lt;="&amp;E100,$E$3:$E$500,"&gt;="&amp;D100,$A$3:$A$500,"&lt;&gt;"&amp;A100)=0)),0))</f>
        <v/>
      </c>
      <c r="N100">
        <f>IF(B100="","",IFERROR(SUMPRODUCT((LEN(Employees!$A$3:$A$500)&gt;0)*(Employees!$B$3:$B$500="Manager")*(Employees!$U$3:$U$500=1)*(COUNTIFS($B$3:$B$500,Employees!$A$3:$A$500,$H$3:$H$500,"Approved",$D$3:$D$500,"&lt;="&amp;E100,$E$3:$E$500,"&gt;="&amp;D100,$A$3:$A$500,"&lt;&gt;"&amp;A100)=0)),0))</f>
        <v/>
      </c>
      <c r="O100">
        <f>IF(B100="","",IFERROR(SUMPRODUCT((LEN(Employees!$A$3:$A$500)&gt;0)*(Employees!$V$3:$V$500=1)*(COUNTIFS($B$3:$B$500,Employees!$A$3:$A$500,$H$3:$H$500,"Approved",$D$3:$D$500,"&lt;="&amp;E100,$E$3:$E$500,"&gt;="&amp;D100,$A$3:$A$500,"&lt;&gt;"&amp;A100)=0)),0))</f>
        <v/>
      </c>
      <c r="P100">
        <f>IF(B100="","",IFERROR(SUMPRODUCT((LEN(Employees!$A$3:$A$500)&gt;0)*(Employees!$W$3:$W$500=1)*(COUNTIFS($B$3:$B$500,Employees!$A$3:$A$500,$H$3:$H$500,"Approved",$D$3:$D$500,"&lt;="&amp;E100,$E$3:$E$500,"&gt;="&amp;D100,$A$3:$A$500,"&lt;&gt;"&amp;A100)=0)),0))</f>
        <v/>
      </c>
      <c r="Q100">
        <f>IF(B100="","",IFERROR(SUMPRODUCT((LEN(Employees!$A$3:$A$500)&gt;0)*(Employees!$N$3:$N$500=1)*(COUNTIFS($B$3:$B$500,Employees!$A$3:$A$500,$H$3:$H$500,"Approved",$D$3:$D$500,"&lt;="&amp;E100,$E$3:$E$500,"&gt;="&amp;D100,$A$3:$A$500,"&lt;&gt;"&amp;A100)&gt;0)),0))</f>
        <v/>
      </c>
      <c r="R100">
        <f>IF(B100="","",IFERROR(SUMPRODUCT((LEN(Employees!$A$3:$A$500)&gt;0)*(Employees!$O$3:$O$500=1)*(COUNTIFS($B$3:$B$500,Employees!$A$3:$A$500,$H$3:$H$500,"Approved",$D$3:$D$500,"&lt;="&amp;E100,$E$3:$E$500,"&gt;="&amp;D100,$A$3:$A$500,"&lt;&gt;"&amp;A100)&gt;0)),0))</f>
        <v/>
      </c>
      <c r="S100">
        <f>IF(OR(B100="",IFERROR(XLOOKUP(B100,Employees!$A$3:$A$500,Employees!$G$3:$G$500,""),"")=""),"",IFERROR(SUMPRODUCT((LEN(Employees!$A$3:$A$500)&gt;0)*(Employees!$G$3:$G$500=IFERROR(XLOOKUP(B100,Employees!$A$3:$A$500,Employees!$G$3:$G$500,""),""))*(COUNTIFS($B$3:$B$500,Employees!$A$3:$A$500,$H$3:$H$500,"Approved",$D$3:$D$500,"&lt;="&amp;E100,$E$3:$E$500,"&gt;="&amp;D100,$A$3:$A$500,"&lt;&gt;"&amp;A100)&gt;0)),0))</f>
        <v/>
      </c>
    </row>
    <row r="101">
      <c r="C101">
        <f>IFERROR(XLOOKUP(B101,Employees!$A$3:$A$500,Employees!$B$3:$B$500,""),"")</f>
        <v/>
      </c>
      <c r="I101">
        <f>IF(AND(B101&lt;&gt;"",D101&lt;&gt;"",E101&lt;&gt;""),E101-D101+1,"")</f>
        <v/>
      </c>
      <c r="J101">
        <f>IF(OR(B101="",D101="",E101=""),"",IF(OR(L101&lt;'Coverage Rules'!E7,M101&lt;'Coverage Rules'!E8,N101&lt;'Coverage Rules'!C8,O101&lt;'Coverage Rules'!E9,P101&lt;'Coverage Rules'!E10,Q101&gt;='Coverage Rules'!B16,R101&gt;='Coverage Rules'!B17,IF(S101="",FALSE,S101&gt;='Coverage Rules'!D24)),"Denied","OK"))</f>
        <v/>
      </c>
      <c r="L101">
        <f>IF(B101="","",IFERROR(SUMPRODUCT((LEN(Employees!$A$3:$A$500)&gt;0)*(Employees!$T$3:$T$500=1)*(COUNTIFS($B$3:$B$500,Employees!$A$3:$A$500,$H$3:$H$500,"Approved",$D$3:$D$500,"&lt;="&amp;E101,$E$3:$E$500,"&gt;="&amp;D101,$A$3:$A$500,"&lt;&gt;"&amp;A101)=0)),0))</f>
        <v/>
      </c>
      <c r="M101">
        <f>IF(B101="","",IFERROR(SUMPRODUCT((LEN(Employees!$A$3:$A$500)&gt;0)*(Employees!$U$3:$U$500=1)*(COUNTIFS($B$3:$B$500,Employees!$A$3:$A$500,$H$3:$H$500,"Approved",$D$3:$D$500,"&lt;="&amp;E101,$E$3:$E$500,"&gt;="&amp;D101,$A$3:$A$500,"&lt;&gt;"&amp;A101)=0)),0))</f>
        <v/>
      </c>
      <c r="N101">
        <f>IF(B101="","",IFERROR(SUMPRODUCT((LEN(Employees!$A$3:$A$500)&gt;0)*(Employees!$B$3:$B$500="Manager")*(Employees!$U$3:$U$500=1)*(COUNTIFS($B$3:$B$500,Employees!$A$3:$A$500,$H$3:$H$500,"Approved",$D$3:$D$500,"&lt;="&amp;E101,$E$3:$E$500,"&gt;="&amp;D101,$A$3:$A$500,"&lt;&gt;"&amp;A101)=0)),0))</f>
        <v/>
      </c>
      <c r="O101">
        <f>IF(B101="","",IFERROR(SUMPRODUCT((LEN(Employees!$A$3:$A$500)&gt;0)*(Employees!$V$3:$V$500=1)*(COUNTIFS($B$3:$B$500,Employees!$A$3:$A$500,$H$3:$H$500,"Approved",$D$3:$D$500,"&lt;="&amp;E101,$E$3:$E$500,"&gt;="&amp;D101,$A$3:$A$500,"&lt;&gt;"&amp;A101)=0)),0))</f>
        <v/>
      </c>
      <c r="P101">
        <f>IF(B101="","",IFERROR(SUMPRODUCT((LEN(Employees!$A$3:$A$500)&gt;0)*(Employees!$W$3:$W$500=1)*(COUNTIFS($B$3:$B$500,Employees!$A$3:$A$500,$H$3:$H$500,"Approved",$D$3:$D$500,"&lt;="&amp;E101,$E$3:$E$500,"&gt;="&amp;D101,$A$3:$A$500,"&lt;&gt;"&amp;A101)=0)),0))</f>
        <v/>
      </c>
      <c r="Q101">
        <f>IF(B101="","",IFERROR(SUMPRODUCT((LEN(Employees!$A$3:$A$500)&gt;0)*(Employees!$N$3:$N$500=1)*(COUNTIFS($B$3:$B$500,Employees!$A$3:$A$500,$H$3:$H$500,"Approved",$D$3:$D$500,"&lt;="&amp;E101,$E$3:$E$500,"&gt;="&amp;D101,$A$3:$A$500,"&lt;&gt;"&amp;A101)&gt;0)),0))</f>
        <v/>
      </c>
      <c r="R101">
        <f>IF(B101="","",IFERROR(SUMPRODUCT((LEN(Employees!$A$3:$A$500)&gt;0)*(Employees!$O$3:$O$500=1)*(COUNTIFS($B$3:$B$500,Employees!$A$3:$A$500,$H$3:$H$500,"Approved",$D$3:$D$500,"&lt;="&amp;E101,$E$3:$E$500,"&gt;="&amp;D101,$A$3:$A$500,"&lt;&gt;"&amp;A101)&gt;0)),0))</f>
        <v/>
      </c>
      <c r="S101">
        <f>IF(OR(B101="",IFERROR(XLOOKUP(B101,Employees!$A$3:$A$500,Employees!$G$3:$G$500,""),"")=""),"",IFERROR(SUMPRODUCT((LEN(Employees!$A$3:$A$500)&gt;0)*(Employees!$G$3:$G$500=IFERROR(XLOOKUP(B101,Employees!$A$3:$A$500,Employees!$G$3:$G$500,""),""))*(COUNTIFS($B$3:$B$500,Employees!$A$3:$A$500,$H$3:$H$500,"Approved",$D$3:$D$500,"&lt;="&amp;E101,$E$3:$E$500,"&gt;="&amp;D101,$A$3:$A$500,"&lt;&gt;"&amp;A101)&gt;0)),0))</f>
        <v/>
      </c>
    </row>
    <row r="102">
      <c r="C102">
        <f>IFERROR(XLOOKUP(B102,Employees!$A$3:$A$500,Employees!$B$3:$B$500,""),"")</f>
        <v/>
      </c>
      <c r="I102">
        <f>IF(AND(B102&lt;&gt;"",D102&lt;&gt;"",E102&lt;&gt;""),E102-D102+1,"")</f>
        <v/>
      </c>
      <c r="J102">
        <f>IF(OR(B102="",D102="",E102=""),"",IF(OR(L102&lt;'Coverage Rules'!E7,M102&lt;'Coverage Rules'!E8,N102&lt;'Coverage Rules'!C8,O102&lt;'Coverage Rules'!E9,P102&lt;'Coverage Rules'!E10,Q102&gt;='Coverage Rules'!B16,R102&gt;='Coverage Rules'!B17,IF(S102="",FALSE,S102&gt;='Coverage Rules'!D24)),"Denied","OK"))</f>
        <v/>
      </c>
      <c r="L102">
        <f>IF(B102="","",IFERROR(SUMPRODUCT((LEN(Employees!$A$3:$A$500)&gt;0)*(Employees!$T$3:$T$500=1)*(COUNTIFS($B$3:$B$500,Employees!$A$3:$A$500,$H$3:$H$500,"Approved",$D$3:$D$500,"&lt;="&amp;E102,$E$3:$E$500,"&gt;="&amp;D102,$A$3:$A$500,"&lt;&gt;"&amp;A102)=0)),0))</f>
        <v/>
      </c>
      <c r="M102">
        <f>IF(B102="","",IFERROR(SUMPRODUCT((LEN(Employees!$A$3:$A$500)&gt;0)*(Employees!$U$3:$U$500=1)*(COUNTIFS($B$3:$B$500,Employees!$A$3:$A$500,$H$3:$H$500,"Approved",$D$3:$D$500,"&lt;="&amp;E102,$E$3:$E$500,"&gt;="&amp;D102,$A$3:$A$500,"&lt;&gt;"&amp;A102)=0)),0))</f>
        <v/>
      </c>
      <c r="N102">
        <f>IF(B102="","",IFERROR(SUMPRODUCT((LEN(Employees!$A$3:$A$500)&gt;0)*(Employees!$B$3:$B$500="Manager")*(Employees!$U$3:$U$500=1)*(COUNTIFS($B$3:$B$500,Employees!$A$3:$A$500,$H$3:$H$500,"Approved",$D$3:$D$500,"&lt;="&amp;E102,$E$3:$E$500,"&gt;="&amp;D102,$A$3:$A$500,"&lt;&gt;"&amp;A102)=0)),0))</f>
        <v/>
      </c>
      <c r="O102">
        <f>IF(B102="","",IFERROR(SUMPRODUCT((LEN(Employees!$A$3:$A$500)&gt;0)*(Employees!$V$3:$V$500=1)*(COUNTIFS($B$3:$B$500,Employees!$A$3:$A$500,$H$3:$H$500,"Approved",$D$3:$D$500,"&lt;="&amp;E102,$E$3:$E$500,"&gt;="&amp;D102,$A$3:$A$500,"&lt;&gt;"&amp;A102)=0)),0))</f>
        <v/>
      </c>
      <c r="P102">
        <f>IF(B102="","",IFERROR(SUMPRODUCT((LEN(Employees!$A$3:$A$500)&gt;0)*(Employees!$W$3:$W$500=1)*(COUNTIFS($B$3:$B$500,Employees!$A$3:$A$500,$H$3:$H$500,"Approved",$D$3:$D$500,"&lt;="&amp;E102,$E$3:$E$500,"&gt;="&amp;D102,$A$3:$A$500,"&lt;&gt;"&amp;A102)=0)),0))</f>
        <v/>
      </c>
      <c r="Q102">
        <f>IF(B102="","",IFERROR(SUMPRODUCT((LEN(Employees!$A$3:$A$500)&gt;0)*(Employees!$N$3:$N$500=1)*(COUNTIFS($B$3:$B$500,Employees!$A$3:$A$500,$H$3:$H$500,"Approved",$D$3:$D$500,"&lt;="&amp;E102,$E$3:$E$500,"&gt;="&amp;D102,$A$3:$A$500,"&lt;&gt;"&amp;A102)&gt;0)),0))</f>
        <v/>
      </c>
      <c r="R102">
        <f>IF(B102="","",IFERROR(SUMPRODUCT((LEN(Employees!$A$3:$A$500)&gt;0)*(Employees!$O$3:$O$500=1)*(COUNTIFS($B$3:$B$500,Employees!$A$3:$A$500,$H$3:$H$500,"Approved",$D$3:$D$500,"&lt;="&amp;E102,$E$3:$E$500,"&gt;="&amp;D102,$A$3:$A$500,"&lt;&gt;"&amp;A102)&gt;0)),0))</f>
        <v/>
      </c>
      <c r="S102">
        <f>IF(OR(B102="",IFERROR(XLOOKUP(B102,Employees!$A$3:$A$500,Employees!$G$3:$G$500,""),"")=""),"",IFERROR(SUMPRODUCT((LEN(Employees!$A$3:$A$500)&gt;0)*(Employees!$G$3:$G$500=IFERROR(XLOOKUP(B102,Employees!$A$3:$A$500,Employees!$G$3:$G$500,""),""))*(COUNTIFS($B$3:$B$500,Employees!$A$3:$A$500,$H$3:$H$500,"Approved",$D$3:$D$500,"&lt;="&amp;E102,$E$3:$E$500,"&gt;="&amp;D102,$A$3:$A$500,"&lt;&gt;"&amp;A102)&gt;0)),0))</f>
        <v/>
      </c>
    </row>
    <row r="103">
      <c r="C103">
        <f>IFERROR(XLOOKUP(B103,Employees!$A$3:$A$500,Employees!$B$3:$B$500,""),"")</f>
        <v/>
      </c>
      <c r="I103">
        <f>IF(AND(B103&lt;&gt;"",D103&lt;&gt;"",E103&lt;&gt;""),E103-D103+1,"")</f>
        <v/>
      </c>
      <c r="J103">
        <f>IF(OR(B103="",D103="",E103=""),"",IF(OR(L103&lt;'Coverage Rules'!E7,M103&lt;'Coverage Rules'!E8,N103&lt;'Coverage Rules'!C8,O103&lt;'Coverage Rules'!E9,P103&lt;'Coverage Rules'!E10,Q103&gt;='Coverage Rules'!B16,R103&gt;='Coverage Rules'!B17,IF(S103="",FALSE,S103&gt;='Coverage Rules'!D24)),"Denied","OK"))</f>
        <v/>
      </c>
      <c r="L103">
        <f>IF(B103="","",IFERROR(SUMPRODUCT((LEN(Employees!$A$3:$A$500)&gt;0)*(Employees!$T$3:$T$500=1)*(COUNTIFS($B$3:$B$500,Employees!$A$3:$A$500,$H$3:$H$500,"Approved",$D$3:$D$500,"&lt;="&amp;E103,$E$3:$E$500,"&gt;="&amp;D103,$A$3:$A$500,"&lt;&gt;"&amp;A103)=0)),0))</f>
        <v/>
      </c>
      <c r="M103">
        <f>IF(B103="","",IFERROR(SUMPRODUCT((LEN(Employees!$A$3:$A$500)&gt;0)*(Employees!$U$3:$U$500=1)*(COUNTIFS($B$3:$B$500,Employees!$A$3:$A$500,$H$3:$H$500,"Approved",$D$3:$D$500,"&lt;="&amp;E103,$E$3:$E$500,"&gt;="&amp;D103,$A$3:$A$500,"&lt;&gt;"&amp;A103)=0)),0))</f>
        <v/>
      </c>
      <c r="N103">
        <f>IF(B103="","",IFERROR(SUMPRODUCT((LEN(Employees!$A$3:$A$500)&gt;0)*(Employees!$B$3:$B$500="Manager")*(Employees!$U$3:$U$500=1)*(COUNTIFS($B$3:$B$500,Employees!$A$3:$A$500,$H$3:$H$500,"Approved",$D$3:$D$500,"&lt;="&amp;E103,$E$3:$E$500,"&gt;="&amp;D103,$A$3:$A$500,"&lt;&gt;"&amp;A103)=0)),0))</f>
        <v/>
      </c>
      <c r="O103">
        <f>IF(B103="","",IFERROR(SUMPRODUCT((LEN(Employees!$A$3:$A$500)&gt;0)*(Employees!$V$3:$V$500=1)*(COUNTIFS($B$3:$B$500,Employees!$A$3:$A$500,$H$3:$H$500,"Approved",$D$3:$D$500,"&lt;="&amp;E103,$E$3:$E$500,"&gt;="&amp;D103,$A$3:$A$500,"&lt;&gt;"&amp;A103)=0)),0))</f>
        <v/>
      </c>
      <c r="P103">
        <f>IF(B103="","",IFERROR(SUMPRODUCT((LEN(Employees!$A$3:$A$500)&gt;0)*(Employees!$W$3:$W$500=1)*(COUNTIFS($B$3:$B$500,Employees!$A$3:$A$500,$H$3:$H$500,"Approved",$D$3:$D$500,"&lt;="&amp;E103,$E$3:$E$500,"&gt;="&amp;D103,$A$3:$A$500,"&lt;&gt;"&amp;A103)=0)),0))</f>
        <v/>
      </c>
      <c r="Q103">
        <f>IF(B103="","",IFERROR(SUMPRODUCT((LEN(Employees!$A$3:$A$500)&gt;0)*(Employees!$N$3:$N$500=1)*(COUNTIFS($B$3:$B$500,Employees!$A$3:$A$500,$H$3:$H$500,"Approved",$D$3:$D$500,"&lt;="&amp;E103,$E$3:$E$500,"&gt;="&amp;D103,$A$3:$A$500,"&lt;&gt;"&amp;A103)&gt;0)),0))</f>
        <v/>
      </c>
      <c r="R103">
        <f>IF(B103="","",IFERROR(SUMPRODUCT((LEN(Employees!$A$3:$A$500)&gt;0)*(Employees!$O$3:$O$500=1)*(COUNTIFS($B$3:$B$500,Employees!$A$3:$A$500,$H$3:$H$500,"Approved",$D$3:$D$500,"&lt;="&amp;E103,$E$3:$E$500,"&gt;="&amp;D103,$A$3:$A$500,"&lt;&gt;"&amp;A103)&gt;0)),0))</f>
        <v/>
      </c>
      <c r="S103">
        <f>IF(OR(B103="",IFERROR(XLOOKUP(B103,Employees!$A$3:$A$500,Employees!$G$3:$G$500,""),"")=""),"",IFERROR(SUMPRODUCT((LEN(Employees!$A$3:$A$500)&gt;0)*(Employees!$G$3:$G$500=IFERROR(XLOOKUP(B103,Employees!$A$3:$A$500,Employees!$G$3:$G$500,""),""))*(COUNTIFS($B$3:$B$500,Employees!$A$3:$A$500,$H$3:$H$500,"Approved",$D$3:$D$500,"&lt;="&amp;E103,$E$3:$E$500,"&gt;="&amp;D103,$A$3:$A$500,"&lt;&gt;"&amp;A103)&gt;0)),0))</f>
        <v/>
      </c>
    </row>
    <row r="104">
      <c r="C104">
        <f>IFERROR(XLOOKUP(B104,Employees!$A$3:$A$500,Employees!$B$3:$B$500,""),"")</f>
        <v/>
      </c>
      <c r="I104">
        <f>IF(AND(B104&lt;&gt;"",D104&lt;&gt;"",E104&lt;&gt;""),E104-D104+1,"")</f>
        <v/>
      </c>
      <c r="J104">
        <f>IF(OR(B104="",D104="",E104=""),"",IF(OR(L104&lt;'Coverage Rules'!E7,M104&lt;'Coverage Rules'!E8,N104&lt;'Coverage Rules'!C8,O104&lt;'Coverage Rules'!E9,P104&lt;'Coverage Rules'!E10,Q104&gt;='Coverage Rules'!B16,R104&gt;='Coverage Rules'!B17,IF(S104="",FALSE,S104&gt;='Coverage Rules'!D24)),"Denied","OK"))</f>
        <v/>
      </c>
      <c r="L104">
        <f>IF(B104="","",IFERROR(SUMPRODUCT((LEN(Employees!$A$3:$A$500)&gt;0)*(Employees!$T$3:$T$500=1)*(COUNTIFS($B$3:$B$500,Employees!$A$3:$A$500,$H$3:$H$500,"Approved",$D$3:$D$500,"&lt;="&amp;E104,$E$3:$E$500,"&gt;="&amp;D104,$A$3:$A$500,"&lt;&gt;"&amp;A104)=0)),0))</f>
        <v/>
      </c>
      <c r="M104">
        <f>IF(B104="","",IFERROR(SUMPRODUCT((LEN(Employees!$A$3:$A$500)&gt;0)*(Employees!$U$3:$U$500=1)*(COUNTIFS($B$3:$B$500,Employees!$A$3:$A$500,$H$3:$H$500,"Approved",$D$3:$D$500,"&lt;="&amp;E104,$E$3:$E$500,"&gt;="&amp;D104,$A$3:$A$500,"&lt;&gt;"&amp;A104)=0)),0))</f>
        <v/>
      </c>
      <c r="N104">
        <f>IF(B104="","",IFERROR(SUMPRODUCT((LEN(Employees!$A$3:$A$500)&gt;0)*(Employees!$B$3:$B$500="Manager")*(Employees!$U$3:$U$500=1)*(COUNTIFS($B$3:$B$500,Employees!$A$3:$A$500,$H$3:$H$500,"Approved",$D$3:$D$500,"&lt;="&amp;E104,$E$3:$E$500,"&gt;="&amp;D104,$A$3:$A$500,"&lt;&gt;"&amp;A104)=0)),0))</f>
        <v/>
      </c>
      <c r="O104">
        <f>IF(B104="","",IFERROR(SUMPRODUCT((LEN(Employees!$A$3:$A$500)&gt;0)*(Employees!$V$3:$V$500=1)*(COUNTIFS($B$3:$B$500,Employees!$A$3:$A$500,$H$3:$H$500,"Approved",$D$3:$D$500,"&lt;="&amp;E104,$E$3:$E$500,"&gt;="&amp;D104,$A$3:$A$500,"&lt;&gt;"&amp;A104)=0)),0))</f>
        <v/>
      </c>
      <c r="P104">
        <f>IF(B104="","",IFERROR(SUMPRODUCT((LEN(Employees!$A$3:$A$500)&gt;0)*(Employees!$W$3:$W$500=1)*(COUNTIFS($B$3:$B$500,Employees!$A$3:$A$500,$H$3:$H$500,"Approved",$D$3:$D$500,"&lt;="&amp;E104,$E$3:$E$500,"&gt;="&amp;D104,$A$3:$A$500,"&lt;&gt;"&amp;A104)=0)),0))</f>
        <v/>
      </c>
      <c r="Q104">
        <f>IF(B104="","",IFERROR(SUMPRODUCT((LEN(Employees!$A$3:$A$500)&gt;0)*(Employees!$N$3:$N$500=1)*(COUNTIFS($B$3:$B$500,Employees!$A$3:$A$500,$H$3:$H$500,"Approved",$D$3:$D$500,"&lt;="&amp;E104,$E$3:$E$500,"&gt;="&amp;D104,$A$3:$A$500,"&lt;&gt;"&amp;A104)&gt;0)),0))</f>
        <v/>
      </c>
      <c r="R104">
        <f>IF(B104="","",IFERROR(SUMPRODUCT((LEN(Employees!$A$3:$A$500)&gt;0)*(Employees!$O$3:$O$500=1)*(COUNTIFS($B$3:$B$500,Employees!$A$3:$A$500,$H$3:$H$500,"Approved",$D$3:$D$500,"&lt;="&amp;E104,$E$3:$E$500,"&gt;="&amp;D104,$A$3:$A$500,"&lt;&gt;"&amp;A104)&gt;0)),0))</f>
        <v/>
      </c>
      <c r="S104">
        <f>IF(OR(B104="",IFERROR(XLOOKUP(B104,Employees!$A$3:$A$500,Employees!$G$3:$G$500,""),"")=""),"",IFERROR(SUMPRODUCT((LEN(Employees!$A$3:$A$500)&gt;0)*(Employees!$G$3:$G$500=IFERROR(XLOOKUP(B104,Employees!$A$3:$A$500,Employees!$G$3:$G$500,""),""))*(COUNTIFS($B$3:$B$500,Employees!$A$3:$A$500,$H$3:$H$500,"Approved",$D$3:$D$500,"&lt;="&amp;E104,$E$3:$E$500,"&gt;="&amp;D104,$A$3:$A$500,"&lt;&gt;"&amp;A104)&gt;0)),0))</f>
        <v/>
      </c>
    </row>
    <row r="105">
      <c r="C105">
        <f>IFERROR(XLOOKUP(B105,Employees!$A$3:$A$500,Employees!$B$3:$B$500,""),"")</f>
        <v/>
      </c>
      <c r="I105">
        <f>IF(AND(B105&lt;&gt;"",D105&lt;&gt;"",E105&lt;&gt;""),E105-D105+1,"")</f>
        <v/>
      </c>
      <c r="J105">
        <f>IF(OR(B105="",D105="",E105=""),"",IF(OR(L105&lt;'Coverage Rules'!E7,M105&lt;'Coverage Rules'!E8,N105&lt;'Coverage Rules'!C8,O105&lt;'Coverage Rules'!E9,P105&lt;'Coverage Rules'!E10,Q105&gt;='Coverage Rules'!B16,R105&gt;='Coverage Rules'!B17,IF(S105="",FALSE,S105&gt;='Coverage Rules'!D24)),"Denied","OK"))</f>
        <v/>
      </c>
      <c r="L105">
        <f>IF(B105="","",IFERROR(SUMPRODUCT((LEN(Employees!$A$3:$A$500)&gt;0)*(Employees!$T$3:$T$500=1)*(COUNTIFS($B$3:$B$500,Employees!$A$3:$A$500,$H$3:$H$500,"Approved",$D$3:$D$500,"&lt;="&amp;E105,$E$3:$E$500,"&gt;="&amp;D105,$A$3:$A$500,"&lt;&gt;"&amp;A105)=0)),0))</f>
        <v/>
      </c>
      <c r="M105">
        <f>IF(B105="","",IFERROR(SUMPRODUCT((LEN(Employees!$A$3:$A$500)&gt;0)*(Employees!$U$3:$U$500=1)*(COUNTIFS($B$3:$B$500,Employees!$A$3:$A$500,$H$3:$H$500,"Approved",$D$3:$D$500,"&lt;="&amp;E105,$E$3:$E$500,"&gt;="&amp;D105,$A$3:$A$500,"&lt;&gt;"&amp;A105)=0)),0))</f>
        <v/>
      </c>
      <c r="N105">
        <f>IF(B105="","",IFERROR(SUMPRODUCT((LEN(Employees!$A$3:$A$500)&gt;0)*(Employees!$B$3:$B$500="Manager")*(Employees!$U$3:$U$500=1)*(COUNTIFS($B$3:$B$500,Employees!$A$3:$A$500,$H$3:$H$500,"Approved",$D$3:$D$500,"&lt;="&amp;E105,$E$3:$E$500,"&gt;="&amp;D105,$A$3:$A$500,"&lt;&gt;"&amp;A105)=0)),0))</f>
        <v/>
      </c>
      <c r="O105">
        <f>IF(B105="","",IFERROR(SUMPRODUCT((LEN(Employees!$A$3:$A$500)&gt;0)*(Employees!$V$3:$V$500=1)*(COUNTIFS($B$3:$B$500,Employees!$A$3:$A$500,$H$3:$H$500,"Approved",$D$3:$D$500,"&lt;="&amp;E105,$E$3:$E$500,"&gt;="&amp;D105,$A$3:$A$500,"&lt;&gt;"&amp;A105)=0)),0))</f>
        <v/>
      </c>
      <c r="P105">
        <f>IF(B105="","",IFERROR(SUMPRODUCT((LEN(Employees!$A$3:$A$500)&gt;0)*(Employees!$W$3:$W$500=1)*(COUNTIFS($B$3:$B$500,Employees!$A$3:$A$500,$H$3:$H$500,"Approved",$D$3:$D$500,"&lt;="&amp;E105,$E$3:$E$500,"&gt;="&amp;D105,$A$3:$A$500,"&lt;&gt;"&amp;A105)=0)),0))</f>
        <v/>
      </c>
      <c r="Q105">
        <f>IF(B105="","",IFERROR(SUMPRODUCT((LEN(Employees!$A$3:$A$500)&gt;0)*(Employees!$N$3:$N$500=1)*(COUNTIFS($B$3:$B$500,Employees!$A$3:$A$500,$H$3:$H$500,"Approved",$D$3:$D$500,"&lt;="&amp;E105,$E$3:$E$500,"&gt;="&amp;D105,$A$3:$A$500,"&lt;&gt;"&amp;A105)&gt;0)),0))</f>
        <v/>
      </c>
      <c r="R105">
        <f>IF(B105="","",IFERROR(SUMPRODUCT((LEN(Employees!$A$3:$A$500)&gt;0)*(Employees!$O$3:$O$500=1)*(COUNTIFS($B$3:$B$500,Employees!$A$3:$A$500,$H$3:$H$500,"Approved",$D$3:$D$500,"&lt;="&amp;E105,$E$3:$E$500,"&gt;="&amp;D105,$A$3:$A$500,"&lt;&gt;"&amp;A105)&gt;0)),0))</f>
        <v/>
      </c>
      <c r="S105">
        <f>IF(OR(B105="",IFERROR(XLOOKUP(B105,Employees!$A$3:$A$500,Employees!$G$3:$G$500,""),"")=""),"",IFERROR(SUMPRODUCT((LEN(Employees!$A$3:$A$500)&gt;0)*(Employees!$G$3:$G$500=IFERROR(XLOOKUP(B105,Employees!$A$3:$A$500,Employees!$G$3:$G$500,""),""))*(COUNTIFS($B$3:$B$500,Employees!$A$3:$A$500,$H$3:$H$500,"Approved",$D$3:$D$500,"&lt;="&amp;E105,$E$3:$E$500,"&gt;="&amp;D105,$A$3:$A$500,"&lt;&gt;"&amp;A105)&gt;0)),0))</f>
        <v/>
      </c>
    </row>
    <row r="106">
      <c r="C106">
        <f>IFERROR(XLOOKUP(B106,Employees!$A$3:$A$500,Employees!$B$3:$B$500,""),"")</f>
        <v/>
      </c>
      <c r="I106">
        <f>IF(AND(B106&lt;&gt;"",D106&lt;&gt;"",E106&lt;&gt;""),E106-D106+1,"")</f>
        <v/>
      </c>
      <c r="J106">
        <f>IF(OR(B106="",D106="",E106=""),"",IF(OR(L106&lt;'Coverage Rules'!E7,M106&lt;'Coverage Rules'!E8,N106&lt;'Coverage Rules'!C8,O106&lt;'Coverage Rules'!E9,P106&lt;'Coverage Rules'!E10,Q106&gt;='Coverage Rules'!B16,R106&gt;='Coverage Rules'!B17,IF(S106="",FALSE,S106&gt;='Coverage Rules'!D24)),"Denied","OK"))</f>
        <v/>
      </c>
      <c r="L106">
        <f>IF(B106="","",IFERROR(SUMPRODUCT((LEN(Employees!$A$3:$A$500)&gt;0)*(Employees!$T$3:$T$500=1)*(COUNTIFS($B$3:$B$500,Employees!$A$3:$A$500,$H$3:$H$500,"Approved",$D$3:$D$500,"&lt;="&amp;E106,$E$3:$E$500,"&gt;="&amp;D106,$A$3:$A$500,"&lt;&gt;"&amp;A106)=0)),0))</f>
        <v/>
      </c>
      <c r="M106">
        <f>IF(B106="","",IFERROR(SUMPRODUCT((LEN(Employees!$A$3:$A$500)&gt;0)*(Employees!$U$3:$U$500=1)*(COUNTIFS($B$3:$B$500,Employees!$A$3:$A$500,$H$3:$H$500,"Approved",$D$3:$D$500,"&lt;="&amp;E106,$E$3:$E$500,"&gt;="&amp;D106,$A$3:$A$500,"&lt;&gt;"&amp;A106)=0)),0))</f>
        <v/>
      </c>
      <c r="N106">
        <f>IF(B106="","",IFERROR(SUMPRODUCT((LEN(Employees!$A$3:$A$500)&gt;0)*(Employees!$B$3:$B$500="Manager")*(Employees!$U$3:$U$500=1)*(COUNTIFS($B$3:$B$500,Employees!$A$3:$A$500,$H$3:$H$500,"Approved",$D$3:$D$500,"&lt;="&amp;E106,$E$3:$E$500,"&gt;="&amp;D106,$A$3:$A$500,"&lt;&gt;"&amp;A106)=0)),0))</f>
        <v/>
      </c>
      <c r="O106">
        <f>IF(B106="","",IFERROR(SUMPRODUCT((LEN(Employees!$A$3:$A$500)&gt;0)*(Employees!$V$3:$V$500=1)*(COUNTIFS($B$3:$B$500,Employees!$A$3:$A$500,$H$3:$H$500,"Approved",$D$3:$D$500,"&lt;="&amp;E106,$E$3:$E$500,"&gt;="&amp;D106,$A$3:$A$500,"&lt;&gt;"&amp;A106)=0)),0))</f>
        <v/>
      </c>
      <c r="P106">
        <f>IF(B106="","",IFERROR(SUMPRODUCT((LEN(Employees!$A$3:$A$500)&gt;0)*(Employees!$W$3:$W$500=1)*(COUNTIFS($B$3:$B$500,Employees!$A$3:$A$500,$H$3:$H$500,"Approved",$D$3:$D$500,"&lt;="&amp;E106,$E$3:$E$500,"&gt;="&amp;D106,$A$3:$A$500,"&lt;&gt;"&amp;A106)=0)),0))</f>
        <v/>
      </c>
      <c r="Q106">
        <f>IF(B106="","",IFERROR(SUMPRODUCT((LEN(Employees!$A$3:$A$500)&gt;0)*(Employees!$N$3:$N$500=1)*(COUNTIFS($B$3:$B$500,Employees!$A$3:$A$500,$H$3:$H$500,"Approved",$D$3:$D$500,"&lt;="&amp;E106,$E$3:$E$500,"&gt;="&amp;D106,$A$3:$A$500,"&lt;&gt;"&amp;A106)&gt;0)),0))</f>
        <v/>
      </c>
      <c r="R106">
        <f>IF(B106="","",IFERROR(SUMPRODUCT((LEN(Employees!$A$3:$A$500)&gt;0)*(Employees!$O$3:$O$500=1)*(COUNTIFS($B$3:$B$500,Employees!$A$3:$A$500,$H$3:$H$500,"Approved",$D$3:$D$500,"&lt;="&amp;E106,$E$3:$E$500,"&gt;="&amp;D106,$A$3:$A$500,"&lt;&gt;"&amp;A106)&gt;0)),0))</f>
        <v/>
      </c>
      <c r="S106">
        <f>IF(OR(B106="",IFERROR(XLOOKUP(B106,Employees!$A$3:$A$500,Employees!$G$3:$G$500,""),"")=""),"",IFERROR(SUMPRODUCT((LEN(Employees!$A$3:$A$500)&gt;0)*(Employees!$G$3:$G$500=IFERROR(XLOOKUP(B106,Employees!$A$3:$A$500,Employees!$G$3:$G$500,""),""))*(COUNTIFS($B$3:$B$500,Employees!$A$3:$A$500,$H$3:$H$500,"Approved",$D$3:$D$500,"&lt;="&amp;E106,$E$3:$E$500,"&gt;="&amp;D106,$A$3:$A$500,"&lt;&gt;"&amp;A106)&gt;0)),0))</f>
        <v/>
      </c>
    </row>
    <row r="107">
      <c r="C107">
        <f>IFERROR(XLOOKUP(B107,Employees!$A$3:$A$500,Employees!$B$3:$B$500,""),"")</f>
        <v/>
      </c>
      <c r="I107">
        <f>IF(AND(B107&lt;&gt;"",D107&lt;&gt;"",E107&lt;&gt;""),E107-D107+1,"")</f>
        <v/>
      </c>
      <c r="J107">
        <f>IF(OR(B107="",D107="",E107=""),"",IF(OR(L107&lt;'Coverage Rules'!E7,M107&lt;'Coverage Rules'!E8,N107&lt;'Coverage Rules'!C8,O107&lt;'Coverage Rules'!E9,P107&lt;'Coverage Rules'!E10,Q107&gt;='Coverage Rules'!B16,R107&gt;='Coverage Rules'!B17,IF(S107="",FALSE,S107&gt;='Coverage Rules'!D24)),"Denied","OK"))</f>
        <v/>
      </c>
      <c r="L107">
        <f>IF(B107="","",IFERROR(SUMPRODUCT((LEN(Employees!$A$3:$A$500)&gt;0)*(Employees!$T$3:$T$500=1)*(COUNTIFS($B$3:$B$500,Employees!$A$3:$A$500,$H$3:$H$500,"Approved",$D$3:$D$500,"&lt;="&amp;E107,$E$3:$E$500,"&gt;="&amp;D107,$A$3:$A$500,"&lt;&gt;"&amp;A107)=0)),0))</f>
        <v/>
      </c>
      <c r="M107">
        <f>IF(B107="","",IFERROR(SUMPRODUCT((LEN(Employees!$A$3:$A$500)&gt;0)*(Employees!$U$3:$U$500=1)*(COUNTIFS($B$3:$B$500,Employees!$A$3:$A$500,$H$3:$H$500,"Approved",$D$3:$D$500,"&lt;="&amp;E107,$E$3:$E$500,"&gt;="&amp;D107,$A$3:$A$500,"&lt;&gt;"&amp;A107)=0)),0))</f>
        <v/>
      </c>
      <c r="N107">
        <f>IF(B107="","",IFERROR(SUMPRODUCT((LEN(Employees!$A$3:$A$500)&gt;0)*(Employees!$B$3:$B$500="Manager")*(Employees!$U$3:$U$500=1)*(COUNTIFS($B$3:$B$500,Employees!$A$3:$A$500,$H$3:$H$500,"Approved",$D$3:$D$500,"&lt;="&amp;E107,$E$3:$E$500,"&gt;="&amp;D107,$A$3:$A$500,"&lt;&gt;"&amp;A107)=0)),0))</f>
        <v/>
      </c>
      <c r="O107">
        <f>IF(B107="","",IFERROR(SUMPRODUCT((LEN(Employees!$A$3:$A$500)&gt;0)*(Employees!$V$3:$V$500=1)*(COUNTIFS($B$3:$B$500,Employees!$A$3:$A$500,$H$3:$H$500,"Approved",$D$3:$D$500,"&lt;="&amp;E107,$E$3:$E$500,"&gt;="&amp;D107,$A$3:$A$500,"&lt;&gt;"&amp;A107)=0)),0))</f>
        <v/>
      </c>
      <c r="P107">
        <f>IF(B107="","",IFERROR(SUMPRODUCT((LEN(Employees!$A$3:$A$500)&gt;0)*(Employees!$W$3:$W$500=1)*(COUNTIFS($B$3:$B$500,Employees!$A$3:$A$500,$H$3:$H$500,"Approved",$D$3:$D$500,"&lt;="&amp;E107,$E$3:$E$500,"&gt;="&amp;D107,$A$3:$A$500,"&lt;&gt;"&amp;A107)=0)),0))</f>
        <v/>
      </c>
      <c r="Q107">
        <f>IF(B107="","",IFERROR(SUMPRODUCT((LEN(Employees!$A$3:$A$500)&gt;0)*(Employees!$N$3:$N$500=1)*(COUNTIFS($B$3:$B$500,Employees!$A$3:$A$500,$H$3:$H$500,"Approved",$D$3:$D$500,"&lt;="&amp;E107,$E$3:$E$500,"&gt;="&amp;D107,$A$3:$A$500,"&lt;&gt;"&amp;A107)&gt;0)),0))</f>
        <v/>
      </c>
      <c r="R107">
        <f>IF(B107="","",IFERROR(SUMPRODUCT((LEN(Employees!$A$3:$A$500)&gt;0)*(Employees!$O$3:$O$500=1)*(COUNTIFS($B$3:$B$500,Employees!$A$3:$A$500,$H$3:$H$500,"Approved",$D$3:$D$500,"&lt;="&amp;E107,$E$3:$E$500,"&gt;="&amp;D107,$A$3:$A$500,"&lt;&gt;"&amp;A107)&gt;0)),0))</f>
        <v/>
      </c>
      <c r="S107">
        <f>IF(OR(B107="",IFERROR(XLOOKUP(B107,Employees!$A$3:$A$500,Employees!$G$3:$G$500,""),"")=""),"",IFERROR(SUMPRODUCT((LEN(Employees!$A$3:$A$500)&gt;0)*(Employees!$G$3:$G$500=IFERROR(XLOOKUP(B107,Employees!$A$3:$A$500,Employees!$G$3:$G$500,""),""))*(COUNTIFS($B$3:$B$500,Employees!$A$3:$A$500,$H$3:$H$500,"Approved",$D$3:$D$500,"&lt;="&amp;E107,$E$3:$E$500,"&gt;="&amp;D107,$A$3:$A$500,"&lt;&gt;"&amp;A107)&gt;0)),0))</f>
        <v/>
      </c>
    </row>
    <row r="108">
      <c r="C108">
        <f>IFERROR(XLOOKUP(B108,Employees!$A$3:$A$500,Employees!$B$3:$B$500,""),"")</f>
        <v/>
      </c>
      <c r="I108">
        <f>IF(AND(B108&lt;&gt;"",D108&lt;&gt;"",E108&lt;&gt;""),E108-D108+1,"")</f>
        <v/>
      </c>
      <c r="J108">
        <f>IF(OR(B108="",D108="",E108=""),"",IF(OR(L108&lt;'Coverage Rules'!E7,M108&lt;'Coverage Rules'!E8,N108&lt;'Coverage Rules'!C8,O108&lt;'Coverage Rules'!E9,P108&lt;'Coverage Rules'!E10,Q108&gt;='Coverage Rules'!B16,R108&gt;='Coverage Rules'!B17,IF(S108="",FALSE,S108&gt;='Coverage Rules'!D24)),"Denied","OK"))</f>
        <v/>
      </c>
      <c r="L108">
        <f>IF(B108="","",IFERROR(SUMPRODUCT((LEN(Employees!$A$3:$A$500)&gt;0)*(Employees!$T$3:$T$500=1)*(COUNTIFS($B$3:$B$500,Employees!$A$3:$A$500,$H$3:$H$500,"Approved",$D$3:$D$500,"&lt;="&amp;E108,$E$3:$E$500,"&gt;="&amp;D108,$A$3:$A$500,"&lt;&gt;"&amp;A108)=0)),0))</f>
        <v/>
      </c>
      <c r="M108">
        <f>IF(B108="","",IFERROR(SUMPRODUCT((LEN(Employees!$A$3:$A$500)&gt;0)*(Employees!$U$3:$U$500=1)*(COUNTIFS($B$3:$B$500,Employees!$A$3:$A$500,$H$3:$H$500,"Approved",$D$3:$D$500,"&lt;="&amp;E108,$E$3:$E$500,"&gt;="&amp;D108,$A$3:$A$500,"&lt;&gt;"&amp;A108)=0)),0))</f>
        <v/>
      </c>
      <c r="N108">
        <f>IF(B108="","",IFERROR(SUMPRODUCT((LEN(Employees!$A$3:$A$500)&gt;0)*(Employees!$B$3:$B$500="Manager")*(Employees!$U$3:$U$500=1)*(COUNTIFS($B$3:$B$500,Employees!$A$3:$A$500,$H$3:$H$500,"Approved",$D$3:$D$500,"&lt;="&amp;E108,$E$3:$E$500,"&gt;="&amp;D108,$A$3:$A$500,"&lt;&gt;"&amp;A108)=0)),0))</f>
        <v/>
      </c>
      <c r="O108">
        <f>IF(B108="","",IFERROR(SUMPRODUCT((LEN(Employees!$A$3:$A$500)&gt;0)*(Employees!$V$3:$V$500=1)*(COUNTIFS($B$3:$B$500,Employees!$A$3:$A$500,$H$3:$H$500,"Approved",$D$3:$D$500,"&lt;="&amp;E108,$E$3:$E$500,"&gt;="&amp;D108,$A$3:$A$500,"&lt;&gt;"&amp;A108)=0)),0))</f>
        <v/>
      </c>
      <c r="P108">
        <f>IF(B108="","",IFERROR(SUMPRODUCT((LEN(Employees!$A$3:$A$500)&gt;0)*(Employees!$W$3:$W$500=1)*(COUNTIFS($B$3:$B$500,Employees!$A$3:$A$500,$H$3:$H$500,"Approved",$D$3:$D$500,"&lt;="&amp;E108,$E$3:$E$500,"&gt;="&amp;D108,$A$3:$A$500,"&lt;&gt;"&amp;A108)=0)),0))</f>
        <v/>
      </c>
      <c r="Q108">
        <f>IF(B108="","",IFERROR(SUMPRODUCT((LEN(Employees!$A$3:$A$500)&gt;0)*(Employees!$N$3:$N$500=1)*(COUNTIFS($B$3:$B$500,Employees!$A$3:$A$500,$H$3:$H$500,"Approved",$D$3:$D$500,"&lt;="&amp;E108,$E$3:$E$500,"&gt;="&amp;D108,$A$3:$A$500,"&lt;&gt;"&amp;A108)&gt;0)),0))</f>
        <v/>
      </c>
      <c r="R108">
        <f>IF(B108="","",IFERROR(SUMPRODUCT((LEN(Employees!$A$3:$A$500)&gt;0)*(Employees!$O$3:$O$500=1)*(COUNTIFS($B$3:$B$500,Employees!$A$3:$A$500,$H$3:$H$500,"Approved",$D$3:$D$500,"&lt;="&amp;E108,$E$3:$E$500,"&gt;="&amp;D108,$A$3:$A$500,"&lt;&gt;"&amp;A108)&gt;0)),0))</f>
        <v/>
      </c>
      <c r="S108">
        <f>IF(OR(B108="",IFERROR(XLOOKUP(B108,Employees!$A$3:$A$500,Employees!$G$3:$G$500,""),"")=""),"",IFERROR(SUMPRODUCT((LEN(Employees!$A$3:$A$500)&gt;0)*(Employees!$G$3:$G$500=IFERROR(XLOOKUP(B108,Employees!$A$3:$A$500,Employees!$G$3:$G$500,""),""))*(COUNTIFS($B$3:$B$500,Employees!$A$3:$A$500,$H$3:$H$500,"Approved",$D$3:$D$500,"&lt;="&amp;E108,$E$3:$E$500,"&gt;="&amp;D108,$A$3:$A$500,"&lt;&gt;"&amp;A108)&gt;0)),0))</f>
        <v/>
      </c>
    </row>
    <row r="109">
      <c r="C109">
        <f>IFERROR(XLOOKUP(B109,Employees!$A$3:$A$500,Employees!$B$3:$B$500,""),"")</f>
        <v/>
      </c>
      <c r="I109">
        <f>IF(AND(B109&lt;&gt;"",D109&lt;&gt;"",E109&lt;&gt;""),E109-D109+1,"")</f>
        <v/>
      </c>
      <c r="J109">
        <f>IF(OR(B109="",D109="",E109=""),"",IF(OR(L109&lt;'Coverage Rules'!E7,M109&lt;'Coverage Rules'!E8,N109&lt;'Coverage Rules'!C8,O109&lt;'Coverage Rules'!E9,P109&lt;'Coverage Rules'!E10,Q109&gt;='Coverage Rules'!B16,R109&gt;='Coverage Rules'!B17,IF(S109="",FALSE,S109&gt;='Coverage Rules'!D24)),"Denied","OK"))</f>
        <v/>
      </c>
      <c r="L109">
        <f>IF(B109="","",IFERROR(SUMPRODUCT((LEN(Employees!$A$3:$A$500)&gt;0)*(Employees!$T$3:$T$500=1)*(COUNTIFS($B$3:$B$500,Employees!$A$3:$A$500,$H$3:$H$500,"Approved",$D$3:$D$500,"&lt;="&amp;E109,$E$3:$E$500,"&gt;="&amp;D109,$A$3:$A$500,"&lt;&gt;"&amp;A109)=0)),0))</f>
        <v/>
      </c>
      <c r="M109">
        <f>IF(B109="","",IFERROR(SUMPRODUCT((LEN(Employees!$A$3:$A$500)&gt;0)*(Employees!$U$3:$U$500=1)*(COUNTIFS($B$3:$B$500,Employees!$A$3:$A$500,$H$3:$H$500,"Approved",$D$3:$D$500,"&lt;="&amp;E109,$E$3:$E$500,"&gt;="&amp;D109,$A$3:$A$500,"&lt;&gt;"&amp;A109)=0)),0))</f>
        <v/>
      </c>
      <c r="N109">
        <f>IF(B109="","",IFERROR(SUMPRODUCT((LEN(Employees!$A$3:$A$500)&gt;0)*(Employees!$B$3:$B$500="Manager")*(Employees!$U$3:$U$500=1)*(COUNTIFS($B$3:$B$500,Employees!$A$3:$A$500,$H$3:$H$500,"Approved",$D$3:$D$500,"&lt;="&amp;E109,$E$3:$E$500,"&gt;="&amp;D109,$A$3:$A$500,"&lt;&gt;"&amp;A109)=0)),0))</f>
        <v/>
      </c>
      <c r="O109">
        <f>IF(B109="","",IFERROR(SUMPRODUCT((LEN(Employees!$A$3:$A$500)&gt;0)*(Employees!$V$3:$V$500=1)*(COUNTIFS($B$3:$B$500,Employees!$A$3:$A$500,$H$3:$H$500,"Approved",$D$3:$D$500,"&lt;="&amp;E109,$E$3:$E$500,"&gt;="&amp;D109,$A$3:$A$500,"&lt;&gt;"&amp;A109)=0)),0))</f>
        <v/>
      </c>
      <c r="P109">
        <f>IF(B109="","",IFERROR(SUMPRODUCT((LEN(Employees!$A$3:$A$500)&gt;0)*(Employees!$W$3:$W$500=1)*(COUNTIFS($B$3:$B$500,Employees!$A$3:$A$500,$H$3:$H$500,"Approved",$D$3:$D$500,"&lt;="&amp;E109,$E$3:$E$500,"&gt;="&amp;D109,$A$3:$A$500,"&lt;&gt;"&amp;A109)=0)),0))</f>
        <v/>
      </c>
      <c r="Q109">
        <f>IF(B109="","",IFERROR(SUMPRODUCT((LEN(Employees!$A$3:$A$500)&gt;0)*(Employees!$N$3:$N$500=1)*(COUNTIFS($B$3:$B$500,Employees!$A$3:$A$500,$H$3:$H$500,"Approved",$D$3:$D$500,"&lt;="&amp;E109,$E$3:$E$500,"&gt;="&amp;D109,$A$3:$A$500,"&lt;&gt;"&amp;A109)&gt;0)),0))</f>
        <v/>
      </c>
      <c r="R109">
        <f>IF(B109="","",IFERROR(SUMPRODUCT((LEN(Employees!$A$3:$A$500)&gt;0)*(Employees!$O$3:$O$500=1)*(COUNTIFS($B$3:$B$500,Employees!$A$3:$A$500,$H$3:$H$500,"Approved",$D$3:$D$500,"&lt;="&amp;E109,$E$3:$E$500,"&gt;="&amp;D109,$A$3:$A$500,"&lt;&gt;"&amp;A109)&gt;0)),0))</f>
        <v/>
      </c>
      <c r="S109">
        <f>IF(OR(B109="",IFERROR(XLOOKUP(B109,Employees!$A$3:$A$500,Employees!$G$3:$G$500,""),"")=""),"",IFERROR(SUMPRODUCT((LEN(Employees!$A$3:$A$500)&gt;0)*(Employees!$G$3:$G$500=IFERROR(XLOOKUP(B109,Employees!$A$3:$A$500,Employees!$G$3:$G$500,""),""))*(COUNTIFS($B$3:$B$500,Employees!$A$3:$A$500,$H$3:$H$500,"Approved",$D$3:$D$500,"&lt;="&amp;E109,$E$3:$E$500,"&gt;="&amp;D109,$A$3:$A$500,"&lt;&gt;"&amp;A109)&gt;0)),0))</f>
        <v/>
      </c>
    </row>
    <row r="110">
      <c r="C110">
        <f>IFERROR(XLOOKUP(B110,Employees!$A$3:$A$500,Employees!$B$3:$B$500,""),"")</f>
        <v/>
      </c>
      <c r="I110">
        <f>IF(AND(B110&lt;&gt;"",D110&lt;&gt;"",E110&lt;&gt;""),E110-D110+1,"")</f>
        <v/>
      </c>
      <c r="J110">
        <f>IF(OR(B110="",D110="",E110=""),"",IF(OR(L110&lt;'Coverage Rules'!E7,M110&lt;'Coverage Rules'!E8,N110&lt;'Coverage Rules'!C8,O110&lt;'Coverage Rules'!E9,P110&lt;'Coverage Rules'!E10,Q110&gt;='Coverage Rules'!B16,R110&gt;='Coverage Rules'!B17,IF(S110="",FALSE,S110&gt;='Coverage Rules'!D24)),"Denied","OK"))</f>
        <v/>
      </c>
      <c r="L110">
        <f>IF(B110="","",IFERROR(SUMPRODUCT((LEN(Employees!$A$3:$A$500)&gt;0)*(Employees!$T$3:$T$500=1)*(COUNTIFS($B$3:$B$500,Employees!$A$3:$A$500,$H$3:$H$500,"Approved",$D$3:$D$500,"&lt;="&amp;E110,$E$3:$E$500,"&gt;="&amp;D110,$A$3:$A$500,"&lt;&gt;"&amp;A110)=0)),0))</f>
        <v/>
      </c>
      <c r="M110">
        <f>IF(B110="","",IFERROR(SUMPRODUCT((LEN(Employees!$A$3:$A$500)&gt;0)*(Employees!$U$3:$U$500=1)*(COUNTIFS($B$3:$B$500,Employees!$A$3:$A$500,$H$3:$H$500,"Approved",$D$3:$D$500,"&lt;="&amp;E110,$E$3:$E$500,"&gt;="&amp;D110,$A$3:$A$500,"&lt;&gt;"&amp;A110)=0)),0))</f>
        <v/>
      </c>
      <c r="N110">
        <f>IF(B110="","",IFERROR(SUMPRODUCT((LEN(Employees!$A$3:$A$500)&gt;0)*(Employees!$B$3:$B$500="Manager")*(Employees!$U$3:$U$500=1)*(COUNTIFS($B$3:$B$500,Employees!$A$3:$A$500,$H$3:$H$500,"Approved",$D$3:$D$500,"&lt;="&amp;E110,$E$3:$E$500,"&gt;="&amp;D110,$A$3:$A$500,"&lt;&gt;"&amp;A110)=0)),0))</f>
        <v/>
      </c>
      <c r="O110">
        <f>IF(B110="","",IFERROR(SUMPRODUCT((LEN(Employees!$A$3:$A$500)&gt;0)*(Employees!$V$3:$V$500=1)*(COUNTIFS($B$3:$B$500,Employees!$A$3:$A$500,$H$3:$H$500,"Approved",$D$3:$D$500,"&lt;="&amp;E110,$E$3:$E$500,"&gt;="&amp;D110,$A$3:$A$500,"&lt;&gt;"&amp;A110)=0)),0))</f>
        <v/>
      </c>
      <c r="P110">
        <f>IF(B110="","",IFERROR(SUMPRODUCT((LEN(Employees!$A$3:$A$500)&gt;0)*(Employees!$W$3:$W$500=1)*(COUNTIFS($B$3:$B$500,Employees!$A$3:$A$500,$H$3:$H$500,"Approved",$D$3:$D$500,"&lt;="&amp;E110,$E$3:$E$500,"&gt;="&amp;D110,$A$3:$A$500,"&lt;&gt;"&amp;A110)=0)),0))</f>
        <v/>
      </c>
      <c r="Q110">
        <f>IF(B110="","",IFERROR(SUMPRODUCT((LEN(Employees!$A$3:$A$500)&gt;0)*(Employees!$N$3:$N$500=1)*(COUNTIFS($B$3:$B$500,Employees!$A$3:$A$500,$H$3:$H$500,"Approved",$D$3:$D$500,"&lt;="&amp;E110,$E$3:$E$500,"&gt;="&amp;D110,$A$3:$A$500,"&lt;&gt;"&amp;A110)&gt;0)),0))</f>
        <v/>
      </c>
      <c r="R110">
        <f>IF(B110="","",IFERROR(SUMPRODUCT((LEN(Employees!$A$3:$A$500)&gt;0)*(Employees!$O$3:$O$500=1)*(COUNTIFS($B$3:$B$500,Employees!$A$3:$A$500,$H$3:$H$500,"Approved",$D$3:$D$500,"&lt;="&amp;E110,$E$3:$E$500,"&gt;="&amp;D110,$A$3:$A$500,"&lt;&gt;"&amp;A110)&gt;0)),0))</f>
        <v/>
      </c>
      <c r="S110">
        <f>IF(OR(B110="",IFERROR(XLOOKUP(B110,Employees!$A$3:$A$500,Employees!$G$3:$G$500,""),"")=""),"",IFERROR(SUMPRODUCT((LEN(Employees!$A$3:$A$500)&gt;0)*(Employees!$G$3:$G$500=IFERROR(XLOOKUP(B110,Employees!$A$3:$A$500,Employees!$G$3:$G$500,""),""))*(COUNTIFS($B$3:$B$500,Employees!$A$3:$A$500,$H$3:$H$500,"Approved",$D$3:$D$500,"&lt;="&amp;E110,$E$3:$E$500,"&gt;="&amp;D110,$A$3:$A$500,"&lt;&gt;"&amp;A110)&gt;0)),0))</f>
        <v/>
      </c>
    </row>
    <row r="111">
      <c r="C111">
        <f>IFERROR(XLOOKUP(B111,Employees!$A$3:$A$500,Employees!$B$3:$B$500,""),"")</f>
        <v/>
      </c>
      <c r="I111">
        <f>IF(AND(B111&lt;&gt;"",D111&lt;&gt;"",E111&lt;&gt;""),E111-D111+1,"")</f>
        <v/>
      </c>
      <c r="J111">
        <f>IF(OR(B111="",D111="",E111=""),"",IF(OR(L111&lt;'Coverage Rules'!E7,M111&lt;'Coverage Rules'!E8,N111&lt;'Coverage Rules'!C8,O111&lt;'Coverage Rules'!E9,P111&lt;'Coverage Rules'!E10,Q111&gt;='Coverage Rules'!B16,R111&gt;='Coverage Rules'!B17,IF(S111="",FALSE,S111&gt;='Coverage Rules'!D24)),"Denied","OK"))</f>
        <v/>
      </c>
      <c r="L111">
        <f>IF(B111="","",IFERROR(SUMPRODUCT((LEN(Employees!$A$3:$A$500)&gt;0)*(Employees!$T$3:$T$500=1)*(COUNTIFS($B$3:$B$500,Employees!$A$3:$A$500,$H$3:$H$500,"Approved",$D$3:$D$500,"&lt;="&amp;E111,$E$3:$E$500,"&gt;="&amp;D111,$A$3:$A$500,"&lt;&gt;"&amp;A111)=0)),0))</f>
        <v/>
      </c>
      <c r="M111">
        <f>IF(B111="","",IFERROR(SUMPRODUCT((LEN(Employees!$A$3:$A$500)&gt;0)*(Employees!$U$3:$U$500=1)*(COUNTIFS($B$3:$B$500,Employees!$A$3:$A$500,$H$3:$H$500,"Approved",$D$3:$D$500,"&lt;="&amp;E111,$E$3:$E$500,"&gt;="&amp;D111,$A$3:$A$500,"&lt;&gt;"&amp;A111)=0)),0))</f>
        <v/>
      </c>
      <c r="N111">
        <f>IF(B111="","",IFERROR(SUMPRODUCT((LEN(Employees!$A$3:$A$500)&gt;0)*(Employees!$B$3:$B$500="Manager")*(Employees!$U$3:$U$500=1)*(COUNTIFS($B$3:$B$500,Employees!$A$3:$A$500,$H$3:$H$500,"Approved",$D$3:$D$500,"&lt;="&amp;E111,$E$3:$E$500,"&gt;="&amp;D111,$A$3:$A$500,"&lt;&gt;"&amp;A111)=0)),0))</f>
        <v/>
      </c>
      <c r="O111">
        <f>IF(B111="","",IFERROR(SUMPRODUCT((LEN(Employees!$A$3:$A$500)&gt;0)*(Employees!$V$3:$V$500=1)*(COUNTIFS($B$3:$B$500,Employees!$A$3:$A$500,$H$3:$H$500,"Approved",$D$3:$D$500,"&lt;="&amp;E111,$E$3:$E$500,"&gt;="&amp;D111,$A$3:$A$500,"&lt;&gt;"&amp;A111)=0)),0))</f>
        <v/>
      </c>
      <c r="P111">
        <f>IF(B111="","",IFERROR(SUMPRODUCT((LEN(Employees!$A$3:$A$500)&gt;0)*(Employees!$W$3:$W$500=1)*(COUNTIFS($B$3:$B$500,Employees!$A$3:$A$500,$H$3:$H$500,"Approved",$D$3:$D$500,"&lt;="&amp;E111,$E$3:$E$500,"&gt;="&amp;D111,$A$3:$A$500,"&lt;&gt;"&amp;A111)=0)),0))</f>
        <v/>
      </c>
      <c r="Q111">
        <f>IF(B111="","",IFERROR(SUMPRODUCT((LEN(Employees!$A$3:$A$500)&gt;0)*(Employees!$N$3:$N$500=1)*(COUNTIFS($B$3:$B$500,Employees!$A$3:$A$500,$H$3:$H$500,"Approved",$D$3:$D$500,"&lt;="&amp;E111,$E$3:$E$500,"&gt;="&amp;D111,$A$3:$A$500,"&lt;&gt;"&amp;A111)&gt;0)),0))</f>
        <v/>
      </c>
      <c r="R111">
        <f>IF(B111="","",IFERROR(SUMPRODUCT((LEN(Employees!$A$3:$A$500)&gt;0)*(Employees!$O$3:$O$500=1)*(COUNTIFS($B$3:$B$500,Employees!$A$3:$A$500,$H$3:$H$500,"Approved",$D$3:$D$500,"&lt;="&amp;E111,$E$3:$E$500,"&gt;="&amp;D111,$A$3:$A$500,"&lt;&gt;"&amp;A111)&gt;0)),0))</f>
        <v/>
      </c>
      <c r="S111">
        <f>IF(OR(B111="",IFERROR(XLOOKUP(B111,Employees!$A$3:$A$500,Employees!$G$3:$G$500,""),"")=""),"",IFERROR(SUMPRODUCT((LEN(Employees!$A$3:$A$500)&gt;0)*(Employees!$G$3:$G$500=IFERROR(XLOOKUP(B111,Employees!$A$3:$A$500,Employees!$G$3:$G$500,""),""))*(COUNTIFS($B$3:$B$500,Employees!$A$3:$A$500,$H$3:$H$500,"Approved",$D$3:$D$500,"&lt;="&amp;E111,$E$3:$E$500,"&gt;="&amp;D111,$A$3:$A$500,"&lt;&gt;"&amp;A111)&gt;0)),0))</f>
        <v/>
      </c>
    </row>
    <row r="112">
      <c r="C112">
        <f>IFERROR(XLOOKUP(B112,Employees!$A$3:$A$500,Employees!$B$3:$B$500,""),"")</f>
        <v/>
      </c>
      <c r="I112">
        <f>IF(AND(B112&lt;&gt;"",D112&lt;&gt;"",E112&lt;&gt;""),E112-D112+1,"")</f>
        <v/>
      </c>
      <c r="J112">
        <f>IF(OR(B112="",D112="",E112=""),"",IF(OR(L112&lt;'Coverage Rules'!E7,M112&lt;'Coverage Rules'!E8,N112&lt;'Coverage Rules'!C8,O112&lt;'Coverage Rules'!E9,P112&lt;'Coverage Rules'!E10,Q112&gt;='Coverage Rules'!B16,R112&gt;='Coverage Rules'!B17,IF(S112="",FALSE,S112&gt;='Coverage Rules'!D24)),"Denied","OK"))</f>
        <v/>
      </c>
      <c r="L112">
        <f>IF(B112="","",IFERROR(SUMPRODUCT((LEN(Employees!$A$3:$A$500)&gt;0)*(Employees!$T$3:$T$500=1)*(COUNTIFS($B$3:$B$500,Employees!$A$3:$A$500,$H$3:$H$500,"Approved",$D$3:$D$500,"&lt;="&amp;E112,$E$3:$E$500,"&gt;="&amp;D112,$A$3:$A$500,"&lt;&gt;"&amp;A112)=0)),0))</f>
        <v/>
      </c>
      <c r="M112">
        <f>IF(B112="","",IFERROR(SUMPRODUCT((LEN(Employees!$A$3:$A$500)&gt;0)*(Employees!$U$3:$U$500=1)*(COUNTIFS($B$3:$B$500,Employees!$A$3:$A$500,$H$3:$H$500,"Approved",$D$3:$D$500,"&lt;="&amp;E112,$E$3:$E$500,"&gt;="&amp;D112,$A$3:$A$500,"&lt;&gt;"&amp;A112)=0)),0))</f>
        <v/>
      </c>
      <c r="N112">
        <f>IF(B112="","",IFERROR(SUMPRODUCT((LEN(Employees!$A$3:$A$500)&gt;0)*(Employees!$B$3:$B$500="Manager")*(Employees!$U$3:$U$500=1)*(COUNTIFS($B$3:$B$500,Employees!$A$3:$A$500,$H$3:$H$500,"Approved",$D$3:$D$500,"&lt;="&amp;E112,$E$3:$E$500,"&gt;="&amp;D112,$A$3:$A$500,"&lt;&gt;"&amp;A112)=0)),0))</f>
        <v/>
      </c>
      <c r="O112">
        <f>IF(B112="","",IFERROR(SUMPRODUCT((LEN(Employees!$A$3:$A$500)&gt;0)*(Employees!$V$3:$V$500=1)*(COUNTIFS($B$3:$B$500,Employees!$A$3:$A$500,$H$3:$H$500,"Approved",$D$3:$D$500,"&lt;="&amp;E112,$E$3:$E$500,"&gt;="&amp;D112,$A$3:$A$500,"&lt;&gt;"&amp;A112)=0)),0))</f>
        <v/>
      </c>
      <c r="P112">
        <f>IF(B112="","",IFERROR(SUMPRODUCT((LEN(Employees!$A$3:$A$500)&gt;0)*(Employees!$W$3:$W$500=1)*(COUNTIFS($B$3:$B$500,Employees!$A$3:$A$500,$H$3:$H$500,"Approved",$D$3:$D$500,"&lt;="&amp;E112,$E$3:$E$500,"&gt;="&amp;D112,$A$3:$A$500,"&lt;&gt;"&amp;A112)=0)),0))</f>
        <v/>
      </c>
      <c r="Q112">
        <f>IF(B112="","",IFERROR(SUMPRODUCT((LEN(Employees!$A$3:$A$500)&gt;0)*(Employees!$N$3:$N$500=1)*(COUNTIFS($B$3:$B$500,Employees!$A$3:$A$500,$H$3:$H$500,"Approved",$D$3:$D$500,"&lt;="&amp;E112,$E$3:$E$500,"&gt;="&amp;D112,$A$3:$A$500,"&lt;&gt;"&amp;A112)&gt;0)),0))</f>
        <v/>
      </c>
      <c r="R112">
        <f>IF(B112="","",IFERROR(SUMPRODUCT((LEN(Employees!$A$3:$A$500)&gt;0)*(Employees!$O$3:$O$500=1)*(COUNTIFS($B$3:$B$500,Employees!$A$3:$A$500,$H$3:$H$500,"Approved",$D$3:$D$500,"&lt;="&amp;E112,$E$3:$E$500,"&gt;="&amp;D112,$A$3:$A$500,"&lt;&gt;"&amp;A112)&gt;0)),0))</f>
        <v/>
      </c>
      <c r="S112">
        <f>IF(OR(B112="",IFERROR(XLOOKUP(B112,Employees!$A$3:$A$500,Employees!$G$3:$G$500,""),"")=""),"",IFERROR(SUMPRODUCT((LEN(Employees!$A$3:$A$500)&gt;0)*(Employees!$G$3:$G$500=IFERROR(XLOOKUP(B112,Employees!$A$3:$A$500,Employees!$G$3:$G$500,""),""))*(COUNTIFS($B$3:$B$500,Employees!$A$3:$A$500,$H$3:$H$500,"Approved",$D$3:$D$500,"&lt;="&amp;E112,$E$3:$E$500,"&gt;="&amp;D112,$A$3:$A$500,"&lt;&gt;"&amp;A112)&gt;0)),0))</f>
        <v/>
      </c>
    </row>
    <row r="113">
      <c r="C113">
        <f>IFERROR(XLOOKUP(B113,Employees!$A$3:$A$500,Employees!$B$3:$B$500,""),"")</f>
        <v/>
      </c>
      <c r="I113">
        <f>IF(AND(B113&lt;&gt;"",D113&lt;&gt;"",E113&lt;&gt;""),E113-D113+1,"")</f>
        <v/>
      </c>
      <c r="J113">
        <f>IF(OR(B113="",D113="",E113=""),"",IF(OR(L113&lt;'Coverage Rules'!E7,M113&lt;'Coverage Rules'!E8,N113&lt;'Coverage Rules'!C8,O113&lt;'Coverage Rules'!E9,P113&lt;'Coverage Rules'!E10,Q113&gt;='Coverage Rules'!B16,R113&gt;='Coverage Rules'!B17,IF(S113="",FALSE,S113&gt;='Coverage Rules'!D24)),"Denied","OK"))</f>
        <v/>
      </c>
      <c r="L113">
        <f>IF(B113="","",IFERROR(SUMPRODUCT((LEN(Employees!$A$3:$A$500)&gt;0)*(Employees!$T$3:$T$500=1)*(COUNTIFS($B$3:$B$500,Employees!$A$3:$A$500,$H$3:$H$500,"Approved",$D$3:$D$500,"&lt;="&amp;E113,$E$3:$E$500,"&gt;="&amp;D113,$A$3:$A$500,"&lt;&gt;"&amp;A113)=0)),0))</f>
        <v/>
      </c>
      <c r="M113">
        <f>IF(B113="","",IFERROR(SUMPRODUCT((LEN(Employees!$A$3:$A$500)&gt;0)*(Employees!$U$3:$U$500=1)*(COUNTIFS($B$3:$B$500,Employees!$A$3:$A$500,$H$3:$H$500,"Approved",$D$3:$D$500,"&lt;="&amp;E113,$E$3:$E$500,"&gt;="&amp;D113,$A$3:$A$500,"&lt;&gt;"&amp;A113)=0)),0))</f>
        <v/>
      </c>
      <c r="N113">
        <f>IF(B113="","",IFERROR(SUMPRODUCT((LEN(Employees!$A$3:$A$500)&gt;0)*(Employees!$B$3:$B$500="Manager")*(Employees!$U$3:$U$500=1)*(COUNTIFS($B$3:$B$500,Employees!$A$3:$A$500,$H$3:$H$500,"Approved",$D$3:$D$500,"&lt;="&amp;E113,$E$3:$E$500,"&gt;="&amp;D113,$A$3:$A$500,"&lt;&gt;"&amp;A113)=0)),0))</f>
        <v/>
      </c>
      <c r="O113">
        <f>IF(B113="","",IFERROR(SUMPRODUCT((LEN(Employees!$A$3:$A$500)&gt;0)*(Employees!$V$3:$V$500=1)*(COUNTIFS($B$3:$B$500,Employees!$A$3:$A$500,$H$3:$H$500,"Approved",$D$3:$D$500,"&lt;="&amp;E113,$E$3:$E$500,"&gt;="&amp;D113,$A$3:$A$500,"&lt;&gt;"&amp;A113)=0)),0))</f>
        <v/>
      </c>
      <c r="P113">
        <f>IF(B113="","",IFERROR(SUMPRODUCT((LEN(Employees!$A$3:$A$500)&gt;0)*(Employees!$W$3:$W$500=1)*(COUNTIFS($B$3:$B$500,Employees!$A$3:$A$500,$H$3:$H$500,"Approved",$D$3:$D$500,"&lt;="&amp;E113,$E$3:$E$500,"&gt;="&amp;D113,$A$3:$A$500,"&lt;&gt;"&amp;A113)=0)),0))</f>
        <v/>
      </c>
      <c r="Q113">
        <f>IF(B113="","",IFERROR(SUMPRODUCT((LEN(Employees!$A$3:$A$500)&gt;0)*(Employees!$N$3:$N$500=1)*(COUNTIFS($B$3:$B$500,Employees!$A$3:$A$500,$H$3:$H$500,"Approved",$D$3:$D$500,"&lt;="&amp;E113,$E$3:$E$500,"&gt;="&amp;D113,$A$3:$A$500,"&lt;&gt;"&amp;A113)&gt;0)),0))</f>
        <v/>
      </c>
      <c r="R113">
        <f>IF(B113="","",IFERROR(SUMPRODUCT((LEN(Employees!$A$3:$A$500)&gt;0)*(Employees!$O$3:$O$500=1)*(COUNTIFS($B$3:$B$500,Employees!$A$3:$A$500,$H$3:$H$500,"Approved",$D$3:$D$500,"&lt;="&amp;E113,$E$3:$E$500,"&gt;="&amp;D113,$A$3:$A$500,"&lt;&gt;"&amp;A113)&gt;0)),0))</f>
        <v/>
      </c>
      <c r="S113">
        <f>IF(OR(B113="",IFERROR(XLOOKUP(B113,Employees!$A$3:$A$500,Employees!$G$3:$G$500,""),"")=""),"",IFERROR(SUMPRODUCT((LEN(Employees!$A$3:$A$500)&gt;0)*(Employees!$G$3:$G$500=IFERROR(XLOOKUP(B113,Employees!$A$3:$A$500,Employees!$G$3:$G$500,""),""))*(COUNTIFS($B$3:$B$500,Employees!$A$3:$A$500,$H$3:$H$500,"Approved",$D$3:$D$500,"&lt;="&amp;E113,$E$3:$E$500,"&gt;="&amp;D113,$A$3:$A$500,"&lt;&gt;"&amp;A113)&gt;0)),0))</f>
        <v/>
      </c>
    </row>
    <row r="114">
      <c r="C114">
        <f>IFERROR(XLOOKUP(B114,Employees!$A$3:$A$500,Employees!$B$3:$B$500,""),"")</f>
        <v/>
      </c>
      <c r="I114">
        <f>IF(AND(B114&lt;&gt;"",D114&lt;&gt;"",E114&lt;&gt;""),E114-D114+1,"")</f>
        <v/>
      </c>
      <c r="J114">
        <f>IF(OR(B114="",D114="",E114=""),"",IF(OR(L114&lt;'Coverage Rules'!E7,M114&lt;'Coverage Rules'!E8,N114&lt;'Coverage Rules'!C8,O114&lt;'Coverage Rules'!E9,P114&lt;'Coverage Rules'!E10,Q114&gt;='Coverage Rules'!B16,R114&gt;='Coverage Rules'!B17,IF(S114="",FALSE,S114&gt;='Coverage Rules'!D24)),"Denied","OK"))</f>
        <v/>
      </c>
      <c r="L114">
        <f>IF(B114="","",IFERROR(SUMPRODUCT((LEN(Employees!$A$3:$A$500)&gt;0)*(Employees!$T$3:$T$500=1)*(COUNTIFS($B$3:$B$500,Employees!$A$3:$A$500,$H$3:$H$500,"Approved",$D$3:$D$500,"&lt;="&amp;E114,$E$3:$E$500,"&gt;="&amp;D114,$A$3:$A$500,"&lt;&gt;"&amp;A114)=0)),0))</f>
        <v/>
      </c>
      <c r="M114">
        <f>IF(B114="","",IFERROR(SUMPRODUCT((LEN(Employees!$A$3:$A$500)&gt;0)*(Employees!$U$3:$U$500=1)*(COUNTIFS($B$3:$B$500,Employees!$A$3:$A$500,$H$3:$H$500,"Approved",$D$3:$D$500,"&lt;="&amp;E114,$E$3:$E$500,"&gt;="&amp;D114,$A$3:$A$500,"&lt;&gt;"&amp;A114)=0)),0))</f>
        <v/>
      </c>
      <c r="N114">
        <f>IF(B114="","",IFERROR(SUMPRODUCT((LEN(Employees!$A$3:$A$500)&gt;0)*(Employees!$B$3:$B$500="Manager")*(Employees!$U$3:$U$500=1)*(COUNTIFS($B$3:$B$500,Employees!$A$3:$A$500,$H$3:$H$500,"Approved",$D$3:$D$500,"&lt;="&amp;E114,$E$3:$E$500,"&gt;="&amp;D114,$A$3:$A$500,"&lt;&gt;"&amp;A114)=0)),0))</f>
        <v/>
      </c>
      <c r="O114">
        <f>IF(B114="","",IFERROR(SUMPRODUCT((LEN(Employees!$A$3:$A$500)&gt;0)*(Employees!$V$3:$V$500=1)*(COUNTIFS($B$3:$B$500,Employees!$A$3:$A$500,$H$3:$H$500,"Approved",$D$3:$D$500,"&lt;="&amp;E114,$E$3:$E$500,"&gt;="&amp;D114,$A$3:$A$500,"&lt;&gt;"&amp;A114)=0)),0))</f>
        <v/>
      </c>
      <c r="P114">
        <f>IF(B114="","",IFERROR(SUMPRODUCT((LEN(Employees!$A$3:$A$500)&gt;0)*(Employees!$W$3:$W$500=1)*(COUNTIFS($B$3:$B$500,Employees!$A$3:$A$500,$H$3:$H$500,"Approved",$D$3:$D$500,"&lt;="&amp;E114,$E$3:$E$500,"&gt;="&amp;D114,$A$3:$A$500,"&lt;&gt;"&amp;A114)=0)),0))</f>
        <v/>
      </c>
      <c r="Q114">
        <f>IF(B114="","",IFERROR(SUMPRODUCT((LEN(Employees!$A$3:$A$500)&gt;0)*(Employees!$N$3:$N$500=1)*(COUNTIFS($B$3:$B$500,Employees!$A$3:$A$500,$H$3:$H$500,"Approved",$D$3:$D$500,"&lt;="&amp;E114,$E$3:$E$500,"&gt;="&amp;D114,$A$3:$A$500,"&lt;&gt;"&amp;A114)&gt;0)),0))</f>
        <v/>
      </c>
      <c r="R114">
        <f>IF(B114="","",IFERROR(SUMPRODUCT((LEN(Employees!$A$3:$A$500)&gt;0)*(Employees!$O$3:$O$500=1)*(COUNTIFS($B$3:$B$500,Employees!$A$3:$A$500,$H$3:$H$500,"Approved",$D$3:$D$500,"&lt;="&amp;E114,$E$3:$E$500,"&gt;="&amp;D114,$A$3:$A$500,"&lt;&gt;"&amp;A114)&gt;0)),0))</f>
        <v/>
      </c>
      <c r="S114">
        <f>IF(OR(B114="",IFERROR(XLOOKUP(B114,Employees!$A$3:$A$500,Employees!$G$3:$G$500,""),"")=""),"",IFERROR(SUMPRODUCT((LEN(Employees!$A$3:$A$500)&gt;0)*(Employees!$G$3:$G$500=IFERROR(XLOOKUP(B114,Employees!$A$3:$A$500,Employees!$G$3:$G$500,""),""))*(COUNTIFS($B$3:$B$500,Employees!$A$3:$A$500,$H$3:$H$500,"Approved",$D$3:$D$500,"&lt;="&amp;E114,$E$3:$E$500,"&gt;="&amp;D114,$A$3:$A$500,"&lt;&gt;"&amp;A114)&gt;0)),0))</f>
        <v/>
      </c>
    </row>
    <row r="115">
      <c r="C115">
        <f>IFERROR(XLOOKUP(B115,Employees!$A$3:$A$500,Employees!$B$3:$B$500,""),"")</f>
        <v/>
      </c>
      <c r="I115">
        <f>IF(AND(B115&lt;&gt;"",D115&lt;&gt;"",E115&lt;&gt;""),E115-D115+1,"")</f>
        <v/>
      </c>
      <c r="J115">
        <f>IF(OR(B115="",D115="",E115=""),"",IF(OR(L115&lt;'Coverage Rules'!E7,M115&lt;'Coverage Rules'!E8,N115&lt;'Coverage Rules'!C8,O115&lt;'Coverage Rules'!E9,P115&lt;'Coverage Rules'!E10,Q115&gt;='Coverage Rules'!B16,R115&gt;='Coverage Rules'!B17,IF(S115="",FALSE,S115&gt;='Coverage Rules'!D24)),"Denied","OK"))</f>
        <v/>
      </c>
      <c r="L115">
        <f>IF(B115="","",IFERROR(SUMPRODUCT((LEN(Employees!$A$3:$A$500)&gt;0)*(Employees!$T$3:$T$500=1)*(COUNTIFS($B$3:$B$500,Employees!$A$3:$A$500,$H$3:$H$500,"Approved",$D$3:$D$500,"&lt;="&amp;E115,$E$3:$E$500,"&gt;="&amp;D115,$A$3:$A$500,"&lt;&gt;"&amp;A115)=0)),0))</f>
        <v/>
      </c>
      <c r="M115">
        <f>IF(B115="","",IFERROR(SUMPRODUCT((LEN(Employees!$A$3:$A$500)&gt;0)*(Employees!$U$3:$U$500=1)*(COUNTIFS($B$3:$B$500,Employees!$A$3:$A$500,$H$3:$H$500,"Approved",$D$3:$D$500,"&lt;="&amp;E115,$E$3:$E$500,"&gt;="&amp;D115,$A$3:$A$500,"&lt;&gt;"&amp;A115)=0)),0))</f>
        <v/>
      </c>
      <c r="N115">
        <f>IF(B115="","",IFERROR(SUMPRODUCT((LEN(Employees!$A$3:$A$500)&gt;0)*(Employees!$B$3:$B$500="Manager")*(Employees!$U$3:$U$500=1)*(COUNTIFS($B$3:$B$500,Employees!$A$3:$A$500,$H$3:$H$500,"Approved",$D$3:$D$500,"&lt;="&amp;E115,$E$3:$E$500,"&gt;="&amp;D115,$A$3:$A$500,"&lt;&gt;"&amp;A115)=0)),0))</f>
        <v/>
      </c>
      <c r="O115">
        <f>IF(B115="","",IFERROR(SUMPRODUCT((LEN(Employees!$A$3:$A$500)&gt;0)*(Employees!$V$3:$V$500=1)*(COUNTIFS($B$3:$B$500,Employees!$A$3:$A$500,$H$3:$H$500,"Approved",$D$3:$D$500,"&lt;="&amp;E115,$E$3:$E$500,"&gt;="&amp;D115,$A$3:$A$500,"&lt;&gt;"&amp;A115)=0)),0))</f>
        <v/>
      </c>
      <c r="P115">
        <f>IF(B115="","",IFERROR(SUMPRODUCT((LEN(Employees!$A$3:$A$500)&gt;0)*(Employees!$W$3:$W$500=1)*(COUNTIFS($B$3:$B$500,Employees!$A$3:$A$500,$H$3:$H$500,"Approved",$D$3:$D$500,"&lt;="&amp;E115,$E$3:$E$500,"&gt;="&amp;D115,$A$3:$A$500,"&lt;&gt;"&amp;A115)=0)),0))</f>
        <v/>
      </c>
      <c r="Q115">
        <f>IF(B115="","",IFERROR(SUMPRODUCT((LEN(Employees!$A$3:$A$500)&gt;0)*(Employees!$N$3:$N$500=1)*(COUNTIFS($B$3:$B$500,Employees!$A$3:$A$500,$H$3:$H$500,"Approved",$D$3:$D$500,"&lt;="&amp;E115,$E$3:$E$500,"&gt;="&amp;D115,$A$3:$A$500,"&lt;&gt;"&amp;A115)&gt;0)),0))</f>
        <v/>
      </c>
      <c r="R115">
        <f>IF(B115="","",IFERROR(SUMPRODUCT((LEN(Employees!$A$3:$A$500)&gt;0)*(Employees!$O$3:$O$500=1)*(COUNTIFS($B$3:$B$500,Employees!$A$3:$A$500,$H$3:$H$500,"Approved",$D$3:$D$500,"&lt;="&amp;E115,$E$3:$E$500,"&gt;="&amp;D115,$A$3:$A$500,"&lt;&gt;"&amp;A115)&gt;0)),0))</f>
        <v/>
      </c>
      <c r="S115">
        <f>IF(OR(B115="",IFERROR(XLOOKUP(B115,Employees!$A$3:$A$500,Employees!$G$3:$G$500,""),"")=""),"",IFERROR(SUMPRODUCT((LEN(Employees!$A$3:$A$500)&gt;0)*(Employees!$G$3:$G$500=IFERROR(XLOOKUP(B115,Employees!$A$3:$A$500,Employees!$G$3:$G$500,""),""))*(COUNTIFS($B$3:$B$500,Employees!$A$3:$A$500,$H$3:$H$500,"Approved",$D$3:$D$500,"&lt;="&amp;E115,$E$3:$E$500,"&gt;="&amp;D115,$A$3:$A$500,"&lt;&gt;"&amp;A115)&gt;0)),0))</f>
        <v/>
      </c>
    </row>
    <row r="116">
      <c r="C116">
        <f>IFERROR(XLOOKUP(B116,Employees!$A$3:$A$500,Employees!$B$3:$B$500,""),"")</f>
        <v/>
      </c>
      <c r="I116">
        <f>IF(AND(B116&lt;&gt;"",D116&lt;&gt;"",E116&lt;&gt;""),E116-D116+1,"")</f>
        <v/>
      </c>
      <c r="J116">
        <f>IF(OR(B116="",D116="",E116=""),"",IF(OR(L116&lt;'Coverage Rules'!E7,M116&lt;'Coverage Rules'!E8,N116&lt;'Coverage Rules'!C8,O116&lt;'Coverage Rules'!E9,P116&lt;'Coverage Rules'!E10,Q116&gt;='Coverage Rules'!B16,R116&gt;='Coverage Rules'!B17,IF(S116="",FALSE,S116&gt;='Coverage Rules'!D24)),"Denied","OK"))</f>
        <v/>
      </c>
      <c r="L116">
        <f>IF(B116="","",IFERROR(SUMPRODUCT((LEN(Employees!$A$3:$A$500)&gt;0)*(Employees!$T$3:$T$500=1)*(COUNTIFS($B$3:$B$500,Employees!$A$3:$A$500,$H$3:$H$500,"Approved",$D$3:$D$500,"&lt;="&amp;E116,$E$3:$E$500,"&gt;="&amp;D116,$A$3:$A$500,"&lt;&gt;"&amp;A116)=0)),0))</f>
        <v/>
      </c>
      <c r="M116">
        <f>IF(B116="","",IFERROR(SUMPRODUCT((LEN(Employees!$A$3:$A$500)&gt;0)*(Employees!$U$3:$U$500=1)*(COUNTIFS($B$3:$B$500,Employees!$A$3:$A$500,$H$3:$H$500,"Approved",$D$3:$D$500,"&lt;="&amp;E116,$E$3:$E$500,"&gt;="&amp;D116,$A$3:$A$500,"&lt;&gt;"&amp;A116)=0)),0))</f>
        <v/>
      </c>
      <c r="N116">
        <f>IF(B116="","",IFERROR(SUMPRODUCT((LEN(Employees!$A$3:$A$500)&gt;0)*(Employees!$B$3:$B$500="Manager")*(Employees!$U$3:$U$500=1)*(COUNTIFS($B$3:$B$500,Employees!$A$3:$A$500,$H$3:$H$500,"Approved",$D$3:$D$500,"&lt;="&amp;E116,$E$3:$E$500,"&gt;="&amp;D116,$A$3:$A$500,"&lt;&gt;"&amp;A116)=0)),0))</f>
        <v/>
      </c>
      <c r="O116">
        <f>IF(B116="","",IFERROR(SUMPRODUCT((LEN(Employees!$A$3:$A$500)&gt;0)*(Employees!$V$3:$V$500=1)*(COUNTIFS($B$3:$B$500,Employees!$A$3:$A$500,$H$3:$H$500,"Approved",$D$3:$D$500,"&lt;="&amp;E116,$E$3:$E$500,"&gt;="&amp;D116,$A$3:$A$500,"&lt;&gt;"&amp;A116)=0)),0))</f>
        <v/>
      </c>
      <c r="P116">
        <f>IF(B116="","",IFERROR(SUMPRODUCT((LEN(Employees!$A$3:$A$500)&gt;0)*(Employees!$W$3:$W$500=1)*(COUNTIFS($B$3:$B$500,Employees!$A$3:$A$500,$H$3:$H$500,"Approved",$D$3:$D$500,"&lt;="&amp;E116,$E$3:$E$500,"&gt;="&amp;D116,$A$3:$A$500,"&lt;&gt;"&amp;A116)=0)),0))</f>
        <v/>
      </c>
      <c r="Q116">
        <f>IF(B116="","",IFERROR(SUMPRODUCT((LEN(Employees!$A$3:$A$500)&gt;0)*(Employees!$N$3:$N$500=1)*(COUNTIFS($B$3:$B$500,Employees!$A$3:$A$500,$H$3:$H$500,"Approved",$D$3:$D$500,"&lt;="&amp;E116,$E$3:$E$500,"&gt;="&amp;D116,$A$3:$A$500,"&lt;&gt;"&amp;A116)&gt;0)),0))</f>
        <v/>
      </c>
      <c r="R116">
        <f>IF(B116="","",IFERROR(SUMPRODUCT((LEN(Employees!$A$3:$A$500)&gt;0)*(Employees!$O$3:$O$500=1)*(COUNTIFS($B$3:$B$500,Employees!$A$3:$A$500,$H$3:$H$500,"Approved",$D$3:$D$500,"&lt;="&amp;E116,$E$3:$E$500,"&gt;="&amp;D116,$A$3:$A$500,"&lt;&gt;"&amp;A116)&gt;0)),0))</f>
        <v/>
      </c>
      <c r="S116">
        <f>IF(OR(B116="",IFERROR(XLOOKUP(B116,Employees!$A$3:$A$500,Employees!$G$3:$G$500,""),"")=""),"",IFERROR(SUMPRODUCT((LEN(Employees!$A$3:$A$500)&gt;0)*(Employees!$G$3:$G$500=IFERROR(XLOOKUP(B116,Employees!$A$3:$A$500,Employees!$G$3:$G$500,""),""))*(COUNTIFS($B$3:$B$500,Employees!$A$3:$A$500,$H$3:$H$500,"Approved",$D$3:$D$500,"&lt;="&amp;E116,$E$3:$E$500,"&gt;="&amp;D116,$A$3:$A$500,"&lt;&gt;"&amp;A116)&gt;0)),0))</f>
        <v/>
      </c>
    </row>
    <row r="117">
      <c r="C117">
        <f>IFERROR(XLOOKUP(B117,Employees!$A$3:$A$500,Employees!$B$3:$B$500,""),"")</f>
        <v/>
      </c>
      <c r="I117">
        <f>IF(AND(B117&lt;&gt;"",D117&lt;&gt;"",E117&lt;&gt;""),E117-D117+1,"")</f>
        <v/>
      </c>
      <c r="J117">
        <f>IF(OR(B117="",D117="",E117=""),"",IF(OR(L117&lt;'Coverage Rules'!E7,M117&lt;'Coverage Rules'!E8,N117&lt;'Coverage Rules'!C8,O117&lt;'Coverage Rules'!E9,P117&lt;'Coverage Rules'!E10,Q117&gt;='Coverage Rules'!B16,R117&gt;='Coverage Rules'!B17,IF(S117="",FALSE,S117&gt;='Coverage Rules'!D24)),"Denied","OK"))</f>
        <v/>
      </c>
      <c r="L117">
        <f>IF(B117="","",IFERROR(SUMPRODUCT((LEN(Employees!$A$3:$A$500)&gt;0)*(Employees!$T$3:$T$500=1)*(COUNTIFS($B$3:$B$500,Employees!$A$3:$A$500,$H$3:$H$500,"Approved",$D$3:$D$500,"&lt;="&amp;E117,$E$3:$E$500,"&gt;="&amp;D117,$A$3:$A$500,"&lt;&gt;"&amp;A117)=0)),0))</f>
        <v/>
      </c>
      <c r="M117">
        <f>IF(B117="","",IFERROR(SUMPRODUCT((LEN(Employees!$A$3:$A$500)&gt;0)*(Employees!$U$3:$U$500=1)*(COUNTIFS($B$3:$B$500,Employees!$A$3:$A$500,$H$3:$H$500,"Approved",$D$3:$D$500,"&lt;="&amp;E117,$E$3:$E$500,"&gt;="&amp;D117,$A$3:$A$500,"&lt;&gt;"&amp;A117)=0)),0))</f>
        <v/>
      </c>
      <c r="N117">
        <f>IF(B117="","",IFERROR(SUMPRODUCT((LEN(Employees!$A$3:$A$500)&gt;0)*(Employees!$B$3:$B$500="Manager")*(Employees!$U$3:$U$500=1)*(COUNTIFS($B$3:$B$500,Employees!$A$3:$A$500,$H$3:$H$500,"Approved",$D$3:$D$500,"&lt;="&amp;E117,$E$3:$E$500,"&gt;="&amp;D117,$A$3:$A$500,"&lt;&gt;"&amp;A117)=0)),0))</f>
        <v/>
      </c>
      <c r="O117">
        <f>IF(B117="","",IFERROR(SUMPRODUCT((LEN(Employees!$A$3:$A$500)&gt;0)*(Employees!$V$3:$V$500=1)*(COUNTIFS($B$3:$B$500,Employees!$A$3:$A$500,$H$3:$H$500,"Approved",$D$3:$D$500,"&lt;="&amp;E117,$E$3:$E$500,"&gt;="&amp;D117,$A$3:$A$500,"&lt;&gt;"&amp;A117)=0)),0))</f>
        <v/>
      </c>
      <c r="P117">
        <f>IF(B117="","",IFERROR(SUMPRODUCT((LEN(Employees!$A$3:$A$500)&gt;0)*(Employees!$W$3:$W$500=1)*(COUNTIFS($B$3:$B$500,Employees!$A$3:$A$500,$H$3:$H$500,"Approved",$D$3:$D$500,"&lt;="&amp;E117,$E$3:$E$500,"&gt;="&amp;D117,$A$3:$A$500,"&lt;&gt;"&amp;A117)=0)),0))</f>
        <v/>
      </c>
      <c r="Q117">
        <f>IF(B117="","",IFERROR(SUMPRODUCT((LEN(Employees!$A$3:$A$500)&gt;0)*(Employees!$N$3:$N$500=1)*(COUNTIFS($B$3:$B$500,Employees!$A$3:$A$500,$H$3:$H$500,"Approved",$D$3:$D$500,"&lt;="&amp;E117,$E$3:$E$500,"&gt;="&amp;D117,$A$3:$A$500,"&lt;&gt;"&amp;A117)&gt;0)),0))</f>
        <v/>
      </c>
      <c r="R117">
        <f>IF(B117="","",IFERROR(SUMPRODUCT((LEN(Employees!$A$3:$A$500)&gt;0)*(Employees!$O$3:$O$500=1)*(COUNTIFS($B$3:$B$500,Employees!$A$3:$A$500,$H$3:$H$500,"Approved",$D$3:$D$500,"&lt;="&amp;E117,$E$3:$E$500,"&gt;="&amp;D117,$A$3:$A$500,"&lt;&gt;"&amp;A117)&gt;0)),0))</f>
        <v/>
      </c>
      <c r="S117">
        <f>IF(OR(B117="",IFERROR(XLOOKUP(B117,Employees!$A$3:$A$500,Employees!$G$3:$G$500,""),"")=""),"",IFERROR(SUMPRODUCT((LEN(Employees!$A$3:$A$500)&gt;0)*(Employees!$G$3:$G$500=IFERROR(XLOOKUP(B117,Employees!$A$3:$A$500,Employees!$G$3:$G$500,""),""))*(COUNTIFS($B$3:$B$500,Employees!$A$3:$A$500,$H$3:$H$500,"Approved",$D$3:$D$500,"&lt;="&amp;E117,$E$3:$E$500,"&gt;="&amp;D117,$A$3:$A$500,"&lt;&gt;"&amp;A117)&gt;0)),0))</f>
        <v/>
      </c>
    </row>
    <row r="118">
      <c r="C118">
        <f>IFERROR(XLOOKUP(B118,Employees!$A$3:$A$500,Employees!$B$3:$B$500,""),"")</f>
        <v/>
      </c>
      <c r="I118">
        <f>IF(AND(B118&lt;&gt;"",D118&lt;&gt;"",E118&lt;&gt;""),E118-D118+1,"")</f>
        <v/>
      </c>
      <c r="J118">
        <f>IF(OR(B118="",D118="",E118=""),"",IF(OR(L118&lt;'Coverage Rules'!E7,M118&lt;'Coverage Rules'!E8,N118&lt;'Coverage Rules'!C8,O118&lt;'Coverage Rules'!E9,P118&lt;'Coverage Rules'!E10,Q118&gt;='Coverage Rules'!B16,R118&gt;='Coverage Rules'!B17,IF(S118="",FALSE,S118&gt;='Coverage Rules'!D24)),"Denied","OK"))</f>
        <v/>
      </c>
      <c r="L118">
        <f>IF(B118="","",IFERROR(SUMPRODUCT((LEN(Employees!$A$3:$A$500)&gt;0)*(Employees!$T$3:$T$500=1)*(COUNTIFS($B$3:$B$500,Employees!$A$3:$A$500,$H$3:$H$500,"Approved",$D$3:$D$500,"&lt;="&amp;E118,$E$3:$E$500,"&gt;="&amp;D118,$A$3:$A$500,"&lt;&gt;"&amp;A118)=0)),0))</f>
        <v/>
      </c>
      <c r="M118">
        <f>IF(B118="","",IFERROR(SUMPRODUCT((LEN(Employees!$A$3:$A$500)&gt;0)*(Employees!$U$3:$U$500=1)*(COUNTIFS($B$3:$B$500,Employees!$A$3:$A$500,$H$3:$H$500,"Approved",$D$3:$D$500,"&lt;="&amp;E118,$E$3:$E$500,"&gt;="&amp;D118,$A$3:$A$500,"&lt;&gt;"&amp;A118)=0)),0))</f>
        <v/>
      </c>
      <c r="N118">
        <f>IF(B118="","",IFERROR(SUMPRODUCT((LEN(Employees!$A$3:$A$500)&gt;0)*(Employees!$B$3:$B$500="Manager")*(Employees!$U$3:$U$500=1)*(COUNTIFS($B$3:$B$500,Employees!$A$3:$A$500,$H$3:$H$500,"Approved",$D$3:$D$500,"&lt;="&amp;E118,$E$3:$E$500,"&gt;="&amp;D118,$A$3:$A$500,"&lt;&gt;"&amp;A118)=0)),0))</f>
        <v/>
      </c>
      <c r="O118">
        <f>IF(B118="","",IFERROR(SUMPRODUCT((LEN(Employees!$A$3:$A$500)&gt;0)*(Employees!$V$3:$V$500=1)*(COUNTIFS($B$3:$B$500,Employees!$A$3:$A$500,$H$3:$H$500,"Approved",$D$3:$D$500,"&lt;="&amp;E118,$E$3:$E$500,"&gt;="&amp;D118,$A$3:$A$500,"&lt;&gt;"&amp;A118)=0)),0))</f>
        <v/>
      </c>
      <c r="P118">
        <f>IF(B118="","",IFERROR(SUMPRODUCT((LEN(Employees!$A$3:$A$500)&gt;0)*(Employees!$W$3:$W$500=1)*(COUNTIFS($B$3:$B$500,Employees!$A$3:$A$500,$H$3:$H$500,"Approved",$D$3:$D$500,"&lt;="&amp;E118,$E$3:$E$500,"&gt;="&amp;D118,$A$3:$A$500,"&lt;&gt;"&amp;A118)=0)),0))</f>
        <v/>
      </c>
      <c r="Q118">
        <f>IF(B118="","",IFERROR(SUMPRODUCT((LEN(Employees!$A$3:$A$500)&gt;0)*(Employees!$N$3:$N$500=1)*(COUNTIFS($B$3:$B$500,Employees!$A$3:$A$500,$H$3:$H$500,"Approved",$D$3:$D$500,"&lt;="&amp;E118,$E$3:$E$500,"&gt;="&amp;D118,$A$3:$A$500,"&lt;&gt;"&amp;A118)&gt;0)),0))</f>
        <v/>
      </c>
      <c r="R118">
        <f>IF(B118="","",IFERROR(SUMPRODUCT((LEN(Employees!$A$3:$A$500)&gt;0)*(Employees!$O$3:$O$500=1)*(COUNTIFS($B$3:$B$500,Employees!$A$3:$A$500,$H$3:$H$500,"Approved",$D$3:$D$500,"&lt;="&amp;E118,$E$3:$E$500,"&gt;="&amp;D118,$A$3:$A$500,"&lt;&gt;"&amp;A118)&gt;0)),0))</f>
        <v/>
      </c>
      <c r="S118">
        <f>IF(OR(B118="",IFERROR(XLOOKUP(B118,Employees!$A$3:$A$500,Employees!$G$3:$G$500,""),"")=""),"",IFERROR(SUMPRODUCT((LEN(Employees!$A$3:$A$500)&gt;0)*(Employees!$G$3:$G$500=IFERROR(XLOOKUP(B118,Employees!$A$3:$A$500,Employees!$G$3:$G$500,""),""))*(COUNTIFS($B$3:$B$500,Employees!$A$3:$A$500,$H$3:$H$500,"Approved",$D$3:$D$500,"&lt;="&amp;E118,$E$3:$E$500,"&gt;="&amp;D118,$A$3:$A$500,"&lt;&gt;"&amp;A118)&gt;0)),0))</f>
        <v/>
      </c>
    </row>
    <row r="119">
      <c r="C119">
        <f>IFERROR(XLOOKUP(B119,Employees!$A$3:$A$500,Employees!$B$3:$B$500,""),"")</f>
        <v/>
      </c>
      <c r="I119">
        <f>IF(AND(B119&lt;&gt;"",D119&lt;&gt;"",E119&lt;&gt;""),E119-D119+1,"")</f>
        <v/>
      </c>
      <c r="J119">
        <f>IF(OR(B119="",D119="",E119=""),"",IF(OR(L119&lt;'Coverage Rules'!E7,M119&lt;'Coverage Rules'!E8,N119&lt;'Coverage Rules'!C8,O119&lt;'Coverage Rules'!E9,P119&lt;'Coverage Rules'!E10,Q119&gt;='Coverage Rules'!B16,R119&gt;='Coverage Rules'!B17,IF(S119="",FALSE,S119&gt;='Coverage Rules'!D24)),"Denied","OK"))</f>
        <v/>
      </c>
      <c r="L119">
        <f>IF(B119="","",IFERROR(SUMPRODUCT((LEN(Employees!$A$3:$A$500)&gt;0)*(Employees!$T$3:$T$500=1)*(COUNTIFS($B$3:$B$500,Employees!$A$3:$A$500,$H$3:$H$500,"Approved",$D$3:$D$500,"&lt;="&amp;E119,$E$3:$E$500,"&gt;="&amp;D119,$A$3:$A$500,"&lt;&gt;"&amp;A119)=0)),0))</f>
        <v/>
      </c>
      <c r="M119">
        <f>IF(B119="","",IFERROR(SUMPRODUCT((LEN(Employees!$A$3:$A$500)&gt;0)*(Employees!$U$3:$U$500=1)*(COUNTIFS($B$3:$B$500,Employees!$A$3:$A$500,$H$3:$H$500,"Approved",$D$3:$D$500,"&lt;="&amp;E119,$E$3:$E$500,"&gt;="&amp;D119,$A$3:$A$500,"&lt;&gt;"&amp;A119)=0)),0))</f>
        <v/>
      </c>
      <c r="N119">
        <f>IF(B119="","",IFERROR(SUMPRODUCT((LEN(Employees!$A$3:$A$500)&gt;0)*(Employees!$B$3:$B$500="Manager")*(Employees!$U$3:$U$500=1)*(COUNTIFS($B$3:$B$500,Employees!$A$3:$A$500,$H$3:$H$500,"Approved",$D$3:$D$500,"&lt;="&amp;E119,$E$3:$E$500,"&gt;="&amp;D119,$A$3:$A$500,"&lt;&gt;"&amp;A119)=0)),0))</f>
        <v/>
      </c>
      <c r="O119">
        <f>IF(B119="","",IFERROR(SUMPRODUCT((LEN(Employees!$A$3:$A$500)&gt;0)*(Employees!$V$3:$V$500=1)*(COUNTIFS($B$3:$B$500,Employees!$A$3:$A$500,$H$3:$H$500,"Approved",$D$3:$D$500,"&lt;="&amp;E119,$E$3:$E$500,"&gt;="&amp;D119,$A$3:$A$500,"&lt;&gt;"&amp;A119)=0)),0))</f>
        <v/>
      </c>
      <c r="P119">
        <f>IF(B119="","",IFERROR(SUMPRODUCT((LEN(Employees!$A$3:$A$500)&gt;0)*(Employees!$W$3:$W$500=1)*(COUNTIFS($B$3:$B$500,Employees!$A$3:$A$500,$H$3:$H$500,"Approved",$D$3:$D$500,"&lt;="&amp;E119,$E$3:$E$500,"&gt;="&amp;D119,$A$3:$A$500,"&lt;&gt;"&amp;A119)=0)),0))</f>
        <v/>
      </c>
      <c r="Q119">
        <f>IF(B119="","",IFERROR(SUMPRODUCT((LEN(Employees!$A$3:$A$500)&gt;0)*(Employees!$N$3:$N$500=1)*(COUNTIFS($B$3:$B$500,Employees!$A$3:$A$500,$H$3:$H$500,"Approved",$D$3:$D$500,"&lt;="&amp;E119,$E$3:$E$500,"&gt;="&amp;D119,$A$3:$A$500,"&lt;&gt;"&amp;A119)&gt;0)),0))</f>
        <v/>
      </c>
      <c r="R119">
        <f>IF(B119="","",IFERROR(SUMPRODUCT((LEN(Employees!$A$3:$A$500)&gt;0)*(Employees!$O$3:$O$500=1)*(COUNTIFS($B$3:$B$500,Employees!$A$3:$A$500,$H$3:$H$500,"Approved",$D$3:$D$500,"&lt;="&amp;E119,$E$3:$E$500,"&gt;="&amp;D119,$A$3:$A$500,"&lt;&gt;"&amp;A119)&gt;0)),0))</f>
        <v/>
      </c>
      <c r="S119">
        <f>IF(OR(B119="",IFERROR(XLOOKUP(B119,Employees!$A$3:$A$500,Employees!$G$3:$G$500,""),"")=""),"",IFERROR(SUMPRODUCT((LEN(Employees!$A$3:$A$500)&gt;0)*(Employees!$G$3:$G$500=IFERROR(XLOOKUP(B119,Employees!$A$3:$A$500,Employees!$G$3:$G$500,""),""))*(COUNTIFS($B$3:$B$500,Employees!$A$3:$A$500,$H$3:$H$500,"Approved",$D$3:$D$500,"&lt;="&amp;E119,$E$3:$E$500,"&gt;="&amp;D119,$A$3:$A$500,"&lt;&gt;"&amp;A119)&gt;0)),0))</f>
        <v/>
      </c>
    </row>
    <row r="120">
      <c r="C120">
        <f>IFERROR(XLOOKUP(B120,Employees!$A$3:$A$500,Employees!$B$3:$B$500,""),"")</f>
        <v/>
      </c>
      <c r="I120">
        <f>IF(AND(B120&lt;&gt;"",D120&lt;&gt;"",E120&lt;&gt;""),E120-D120+1,"")</f>
        <v/>
      </c>
      <c r="J120">
        <f>IF(OR(B120="",D120="",E120=""),"",IF(OR(L120&lt;'Coverage Rules'!E7,M120&lt;'Coverage Rules'!E8,N120&lt;'Coverage Rules'!C8,O120&lt;'Coverage Rules'!E9,P120&lt;'Coverage Rules'!E10,Q120&gt;='Coverage Rules'!B16,R120&gt;='Coverage Rules'!B17,IF(S120="",FALSE,S120&gt;='Coverage Rules'!D24)),"Denied","OK"))</f>
        <v/>
      </c>
      <c r="L120">
        <f>IF(B120="","",IFERROR(SUMPRODUCT((LEN(Employees!$A$3:$A$500)&gt;0)*(Employees!$T$3:$T$500=1)*(COUNTIFS($B$3:$B$500,Employees!$A$3:$A$500,$H$3:$H$500,"Approved",$D$3:$D$500,"&lt;="&amp;E120,$E$3:$E$500,"&gt;="&amp;D120,$A$3:$A$500,"&lt;&gt;"&amp;A120)=0)),0))</f>
        <v/>
      </c>
      <c r="M120">
        <f>IF(B120="","",IFERROR(SUMPRODUCT((LEN(Employees!$A$3:$A$500)&gt;0)*(Employees!$U$3:$U$500=1)*(COUNTIFS($B$3:$B$500,Employees!$A$3:$A$500,$H$3:$H$500,"Approved",$D$3:$D$500,"&lt;="&amp;E120,$E$3:$E$500,"&gt;="&amp;D120,$A$3:$A$500,"&lt;&gt;"&amp;A120)=0)),0))</f>
        <v/>
      </c>
      <c r="N120">
        <f>IF(B120="","",IFERROR(SUMPRODUCT((LEN(Employees!$A$3:$A$500)&gt;0)*(Employees!$B$3:$B$500="Manager")*(Employees!$U$3:$U$500=1)*(COUNTIFS($B$3:$B$500,Employees!$A$3:$A$500,$H$3:$H$500,"Approved",$D$3:$D$500,"&lt;="&amp;E120,$E$3:$E$500,"&gt;="&amp;D120,$A$3:$A$500,"&lt;&gt;"&amp;A120)=0)),0))</f>
        <v/>
      </c>
      <c r="O120">
        <f>IF(B120="","",IFERROR(SUMPRODUCT((LEN(Employees!$A$3:$A$500)&gt;0)*(Employees!$V$3:$V$500=1)*(COUNTIFS($B$3:$B$500,Employees!$A$3:$A$500,$H$3:$H$500,"Approved",$D$3:$D$500,"&lt;="&amp;E120,$E$3:$E$500,"&gt;="&amp;D120,$A$3:$A$500,"&lt;&gt;"&amp;A120)=0)),0))</f>
        <v/>
      </c>
      <c r="P120">
        <f>IF(B120="","",IFERROR(SUMPRODUCT((LEN(Employees!$A$3:$A$500)&gt;0)*(Employees!$W$3:$W$500=1)*(COUNTIFS($B$3:$B$500,Employees!$A$3:$A$500,$H$3:$H$500,"Approved",$D$3:$D$500,"&lt;="&amp;E120,$E$3:$E$500,"&gt;="&amp;D120,$A$3:$A$500,"&lt;&gt;"&amp;A120)=0)),0))</f>
        <v/>
      </c>
      <c r="Q120">
        <f>IF(B120="","",IFERROR(SUMPRODUCT((LEN(Employees!$A$3:$A$500)&gt;0)*(Employees!$N$3:$N$500=1)*(COUNTIFS($B$3:$B$500,Employees!$A$3:$A$500,$H$3:$H$500,"Approved",$D$3:$D$500,"&lt;="&amp;E120,$E$3:$E$500,"&gt;="&amp;D120,$A$3:$A$500,"&lt;&gt;"&amp;A120)&gt;0)),0))</f>
        <v/>
      </c>
      <c r="R120">
        <f>IF(B120="","",IFERROR(SUMPRODUCT((LEN(Employees!$A$3:$A$500)&gt;0)*(Employees!$O$3:$O$500=1)*(COUNTIFS($B$3:$B$500,Employees!$A$3:$A$500,$H$3:$H$500,"Approved",$D$3:$D$500,"&lt;="&amp;E120,$E$3:$E$500,"&gt;="&amp;D120,$A$3:$A$500,"&lt;&gt;"&amp;A120)&gt;0)),0))</f>
        <v/>
      </c>
      <c r="S120">
        <f>IF(OR(B120="",IFERROR(XLOOKUP(B120,Employees!$A$3:$A$500,Employees!$G$3:$G$500,""),"")=""),"",IFERROR(SUMPRODUCT((LEN(Employees!$A$3:$A$500)&gt;0)*(Employees!$G$3:$G$500=IFERROR(XLOOKUP(B120,Employees!$A$3:$A$500,Employees!$G$3:$G$500,""),""))*(COUNTIFS($B$3:$B$500,Employees!$A$3:$A$500,$H$3:$H$500,"Approved",$D$3:$D$500,"&lt;="&amp;E120,$E$3:$E$500,"&gt;="&amp;D120,$A$3:$A$500,"&lt;&gt;"&amp;A120)&gt;0)),0))</f>
        <v/>
      </c>
    </row>
    <row r="121">
      <c r="C121">
        <f>IFERROR(XLOOKUP(B121,Employees!$A$3:$A$500,Employees!$B$3:$B$500,""),"")</f>
        <v/>
      </c>
      <c r="I121">
        <f>IF(AND(B121&lt;&gt;"",D121&lt;&gt;"",E121&lt;&gt;""),E121-D121+1,"")</f>
        <v/>
      </c>
      <c r="J121">
        <f>IF(OR(B121="",D121="",E121=""),"",IF(OR(L121&lt;'Coverage Rules'!E7,M121&lt;'Coverage Rules'!E8,N121&lt;'Coverage Rules'!C8,O121&lt;'Coverage Rules'!E9,P121&lt;'Coverage Rules'!E10,Q121&gt;='Coverage Rules'!B16,R121&gt;='Coverage Rules'!B17,IF(S121="",FALSE,S121&gt;='Coverage Rules'!D24)),"Denied","OK"))</f>
        <v/>
      </c>
      <c r="L121">
        <f>IF(B121="","",IFERROR(SUMPRODUCT((LEN(Employees!$A$3:$A$500)&gt;0)*(Employees!$T$3:$T$500=1)*(COUNTIFS($B$3:$B$500,Employees!$A$3:$A$500,$H$3:$H$500,"Approved",$D$3:$D$500,"&lt;="&amp;E121,$E$3:$E$500,"&gt;="&amp;D121,$A$3:$A$500,"&lt;&gt;"&amp;A121)=0)),0))</f>
        <v/>
      </c>
      <c r="M121">
        <f>IF(B121="","",IFERROR(SUMPRODUCT((LEN(Employees!$A$3:$A$500)&gt;0)*(Employees!$U$3:$U$500=1)*(COUNTIFS($B$3:$B$500,Employees!$A$3:$A$500,$H$3:$H$500,"Approved",$D$3:$D$500,"&lt;="&amp;E121,$E$3:$E$500,"&gt;="&amp;D121,$A$3:$A$500,"&lt;&gt;"&amp;A121)=0)),0))</f>
        <v/>
      </c>
      <c r="N121">
        <f>IF(B121="","",IFERROR(SUMPRODUCT((LEN(Employees!$A$3:$A$500)&gt;0)*(Employees!$B$3:$B$500="Manager")*(Employees!$U$3:$U$500=1)*(COUNTIFS($B$3:$B$500,Employees!$A$3:$A$500,$H$3:$H$500,"Approved",$D$3:$D$500,"&lt;="&amp;E121,$E$3:$E$500,"&gt;="&amp;D121,$A$3:$A$500,"&lt;&gt;"&amp;A121)=0)),0))</f>
        <v/>
      </c>
      <c r="O121">
        <f>IF(B121="","",IFERROR(SUMPRODUCT((LEN(Employees!$A$3:$A$500)&gt;0)*(Employees!$V$3:$V$500=1)*(COUNTIFS($B$3:$B$500,Employees!$A$3:$A$500,$H$3:$H$500,"Approved",$D$3:$D$500,"&lt;="&amp;E121,$E$3:$E$500,"&gt;="&amp;D121,$A$3:$A$500,"&lt;&gt;"&amp;A121)=0)),0))</f>
        <v/>
      </c>
      <c r="P121">
        <f>IF(B121="","",IFERROR(SUMPRODUCT((LEN(Employees!$A$3:$A$500)&gt;0)*(Employees!$W$3:$W$500=1)*(COUNTIFS($B$3:$B$500,Employees!$A$3:$A$500,$H$3:$H$500,"Approved",$D$3:$D$500,"&lt;="&amp;E121,$E$3:$E$500,"&gt;="&amp;D121,$A$3:$A$500,"&lt;&gt;"&amp;A121)=0)),0))</f>
        <v/>
      </c>
      <c r="Q121">
        <f>IF(B121="","",IFERROR(SUMPRODUCT((LEN(Employees!$A$3:$A$500)&gt;0)*(Employees!$N$3:$N$500=1)*(COUNTIFS($B$3:$B$500,Employees!$A$3:$A$500,$H$3:$H$500,"Approved",$D$3:$D$500,"&lt;="&amp;E121,$E$3:$E$500,"&gt;="&amp;D121,$A$3:$A$500,"&lt;&gt;"&amp;A121)&gt;0)),0))</f>
        <v/>
      </c>
      <c r="R121">
        <f>IF(B121="","",IFERROR(SUMPRODUCT((LEN(Employees!$A$3:$A$500)&gt;0)*(Employees!$O$3:$O$500=1)*(COUNTIFS($B$3:$B$500,Employees!$A$3:$A$500,$H$3:$H$500,"Approved",$D$3:$D$500,"&lt;="&amp;E121,$E$3:$E$500,"&gt;="&amp;D121,$A$3:$A$500,"&lt;&gt;"&amp;A121)&gt;0)),0))</f>
        <v/>
      </c>
      <c r="S121">
        <f>IF(OR(B121="",IFERROR(XLOOKUP(B121,Employees!$A$3:$A$500,Employees!$G$3:$G$500,""),"")=""),"",IFERROR(SUMPRODUCT((LEN(Employees!$A$3:$A$500)&gt;0)*(Employees!$G$3:$G$500=IFERROR(XLOOKUP(B121,Employees!$A$3:$A$500,Employees!$G$3:$G$500,""),""))*(COUNTIFS($B$3:$B$500,Employees!$A$3:$A$500,$H$3:$H$500,"Approved",$D$3:$D$500,"&lt;="&amp;E121,$E$3:$E$500,"&gt;="&amp;D121,$A$3:$A$500,"&lt;&gt;"&amp;A121)&gt;0)),0))</f>
        <v/>
      </c>
    </row>
    <row r="122">
      <c r="C122">
        <f>IFERROR(XLOOKUP(B122,Employees!$A$3:$A$500,Employees!$B$3:$B$500,""),"")</f>
        <v/>
      </c>
      <c r="I122">
        <f>IF(AND(B122&lt;&gt;"",D122&lt;&gt;"",E122&lt;&gt;""),E122-D122+1,"")</f>
        <v/>
      </c>
      <c r="J122">
        <f>IF(OR(B122="",D122="",E122=""),"",IF(OR(L122&lt;'Coverage Rules'!E7,M122&lt;'Coverage Rules'!E8,N122&lt;'Coverage Rules'!C8,O122&lt;'Coverage Rules'!E9,P122&lt;'Coverage Rules'!E10,Q122&gt;='Coverage Rules'!B16,R122&gt;='Coverage Rules'!B17,IF(S122="",FALSE,S122&gt;='Coverage Rules'!D24)),"Denied","OK"))</f>
        <v/>
      </c>
      <c r="L122">
        <f>IF(B122="","",IFERROR(SUMPRODUCT((LEN(Employees!$A$3:$A$500)&gt;0)*(Employees!$T$3:$T$500=1)*(COUNTIFS($B$3:$B$500,Employees!$A$3:$A$500,$H$3:$H$500,"Approved",$D$3:$D$500,"&lt;="&amp;E122,$E$3:$E$500,"&gt;="&amp;D122,$A$3:$A$500,"&lt;&gt;"&amp;A122)=0)),0))</f>
        <v/>
      </c>
      <c r="M122">
        <f>IF(B122="","",IFERROR(SUMPRODUCT((LEN(Employees!$A$3:$A$500)&gt;0)*(Employees!$U$3:$U$500=1)*(COUNTIFS($B$3:$B$500,Employees!$A$3:$A$500,$H$3:$H$500,"Approved",$D$3:$D$500,"&lt;="&amp;E122,$E$3:$E$500,"&gt;="&amp;D122,$A$3:$A$500,"&lt;&gt;"&amp;A122)=0)),0))</f>
        <v/>
      </c>
      <c r="N122">
        <f>IF(B122="","",IFERROR(SUMPRODUCT((LEN(Employees!$A$3:$A$500)&gt;0)*(Employees!$B$3:$B$500="Manager")*(Employees!$U$3:$U$500=1)*(COUNTIFS($B$3:$B$500,Employees!$A$3:$A$500,$H$3:$H$500,"Approved",$D$3:$D$500,"&lt;="&amp;E122,$E$3:$E$500,"&gt;="&amp;D122,$A$3:$A$500,"&lt;&gt;"&amp;A122)=0)),0))</f>
        <v/>
      </c>
      <c r="O122">
        <f>IF(B122="","",IFERROR(SUMPRODUCT((LEN(Employees!$A$3:$A$500)&gt;0)*(Employees!$V$3:$V$500=1)*(COUNTIFS($B$3:$B$500,Employees!$A$3:$A$500,$H$3:$H$500,"Approved",$D$3:$D$500,"&lt;="&amp;E122,$E$3:$E$500,"&gt;="&amp;D122,$A$3:$A$500,"&lt;&gt;"&amp;A122)=0)),0))</f>
        <v/>
      </c>
      <c r="P122">
        <f>IF(B122="","",IFERROR(SUMPRODUCT((LEN(Employees!$A$3:$A$500)&gt;0)*(Employees!$W$3:$W$500=1)*(COUNTIFS($B$3:$B$500,Employees!$A$3:$A$500,$H$3:$H$500,"Approved",$D$3:$D$500,"&lt;="&amp;E122,$E$3:$E$500,"&gt;="&amp;D122,$A$3:$A$500,"&lt;&gt;"&amp;A122)=0)),0))</f>
        <v/>
      </c>
      <c r="Q122">
        <f>IF(B122="","",IFERROR(SUMPRODUCT((LEN(Employees!$A$3:$A$500)&gt;0)*(Employees!$N$3:$N$500=1)*(COUNTIFS($B$3:$B$500,Employees!$A$3:$A$500,$H$3:$H$500,"Approved",$D$3:$D$500,"&lt;="&amp;E122,$E$3:$E$500,"&gt;="&amp;D122,$A$3:$A$500,"&lt;&gt;"&amp;A122)&gt;0)),0))</f>
        <v/>
      </c>
      <c r="R122">
        <f>IF(B122="","",IFERROR(SUMPRODUCT((LEN(Employees!$A$3:$A$500)&gt;0)*(Employees!$O$3:$O$500=1)*(COUNTIFS($B$3:$B$500,Employees!$A$3:$A$500,$H$3:$H$500,"Approved",$D$3:$D$500,"&lt;="&amp;E122,$E$3:$E$500,"&gt;="&amp;D122,$A$3:$A$500,"&lt;&gt;"&amp;A122)&gt;0)),0))</f>
        <v/>
      </c>
      <c r="S122">
        <f>IF(OR(B122="",IFERROR(XLOOKUP(B122,Employees!$A$3:$A$500,Employees!$G$3:$G$500,""),"")=""),"",IFERROR(SUMPRODUCT((LEN(Employees!$A$3:$A$500)&gt;0)*(Employees!$G$3:$G$500=IFERROR(XLOOKUP(B122,Employees!$A$3:$A$500,Employees!$G$3:$G$500,""),""))*(COUNTIFS($B$3:$B$500,Employees!$A$3:$A$500,$H$3:$H$500,"Approved",$D$3:$D$500,"&lt;="&amp;E122,$E$3:$E$500,"&gt;="&amp;D122,$A$3:$A$500,"&lt;&gt;"&amp;A122)&gt;0)),0))</f>
        <v/>
      </c>
    </row>
    <row r="123">
      <c r="C123">
        <f>IFERROR(XLOOKUP(B123,Employees!$A$3:$A$500,Employees!$B$3:$B$500,""),"")</f>
        <v/>
      </c>
      <c r="I123">
        <f>IF(AND(B123&lt;&gt;"",D123&lt;&gt;"",E123&lt;&gt;""),E123-D123+1,"")</f>
        <v/>
      </c>
      <c r="J123">
        <f>IF(OR(B123="",D123="",E123=""),"",IF(OR(L123&lt;'Coverage Rules'!E7,M123&lt;'Coverage Rules'!E8,N123&lt;'Coverage Rules'!C8,O123&lt;'Coverage Rules'!E9,P123&lt;'Coverage Rules'!E10,Q123&gt;='Coverage Rules'!B16,R123&gt;='Coverage Rules'!B17,IF(S123="",FALSE,S123&gt;='Coverage Rules'!D24)),"Denied","OK"))</f>
        <v/>
      </c>
      <c r="L123">
        <f>IF(B123="","",IFERROR(SUMPRODUCT((LEN(Employees!$A$3:$A$500)&gt;0)*(Employees!$T$3:$T$500=1)*(COUNTIFS($B$3:$B$500,Employees!$A$3:$A$500,$H$3:$H$500,"Approved",$D$3:$D$500,"&lt;="&amp;E123,$E$3:$E$500,"&gt;="&amp;D123,$A$3:$A$500,"&lt;&gt;"&amp;A123)=0)),0))</f>
        <v/>
      </c>
      <c r="M123">
        <f>IF(B123="","",IFERROR(SUMPRODUCT((LEN(Employees!$A$3:$A$500)&gt;0)*(Employees!$U$3:$U$500=1)*(COUNTIFS($B$3:$B$500,Employees!$A$3:$A$500,$H$3:$H$500,"Approved",$D$3:$D$500,"&lt;="&amp;E123,$E$3:$E$500,"&gt;="&amp;D123,$A$3:$A$500,"&lt;&gt;"&amp;A123)=0)),0))</f>
        <v/>
      </c>
      <c r="N123">
        <f>IF(B123="","",IFERROR(SUMPRODUCT((LEN(Employees!$A$3:$A$500)&gt;0)*(Employees!$B$3:$B$500="Manager")*(Employees!$U$3:$U$500=1)*(COUNTIFS($B$3:$B$500,Employees!$A$3:$A$500,$H$3:$H$500,"Approved",$D$3:$D$500,"&lt;="&amp;E123,$E$3:$E$500,"&gt;="&amp;D123,$A$3:$A$500,"&lt;&gt;"&amp;A123)=0)),0))</f>
        <v/>
      </c>
      <c r="O123">
        <f>IF(B123="","",IFERROR(SUMPRODUCT((LEN(Employees!$A$3:$A$500)&gt;0)*(Employees!$V$3:$V$500=1)*(COUNTIFS($B$3:$B$500,Employees!$A$3:$A$500,$H$3:$H$500,"Approved",$D$3:$D$500,"&lt;="&amp;E123,$E$3:$E$500,"&gt;="&amp;D123,$A$3:$A$500,"&lt;&gt;"&amp;A123)=0)),0))</f>
        <v/>
      </c>
      <c r="P123">
        <f>IF(B123="","",IFERROR(SUMPRODUCT((LEN(Employees!$A$3:$A$500)&gt;0)*(Employees!$W$3:$W$500=1)*(COUNTIFS($B$3:$B$500,Employees!$A$3:$A$500,$H$3:$H$500,"Approved",$D$3:$D$500,"&lt;="&amp;E123,$E$3:$E$500,"&gt;="&amp;D123,$A$3:$A$500,"&lt;&gt;"&amp;A123)=0)),0))</f>
        <v/>
      </c>
      <c r="Q123">
        <f>IF(B123="","",IFERROR(SUMPRODUCT((LEN(Employees!$A$3:$A$500)&gt;0)*(Employees!$N$3:$N$500=1)*(COUNTIFS($B$3:$B$500,Employees!$A$3:$A$500,$H$3:$H$500,"Approved",$D$3:$D$500,"&lt;="&amp;E123,$E$3:$E$500,"&gt;="&amp;D123,$A$3:$A$500,"&lt;&gt;"&amp;A123)&gt;0)),0))</f>
        <v/>
      </c>
      <c r="R123">
        <f>IF(B123="","",IFERROR(SUMPRODUCT((LEN(Employees!$A$3:$A$500)&gt;0)*(Employees!$O$3:$O$500=1)*(COUNTIFS($B$3:$B$500,Employees!$A$3:$A$500,$H$3:$H$500,"Approved",$D$3:$D$500,"&lt;="&amp;E123,$E$3:$E$500,"&gt;="&amp;D123,$A$3:$A$500,"&lt;&gt;"&amp;A123)&gt;0)),0))</f>
        <v/>
      </c>
      <c r="S123">
        <f>IF(OR(B123="",IFERROR(XLOOKUP(B123,Employees!$A$3:$A$500,Employees!$G$3:$G$500,""),"")=""),"",IFERROR(SUMPRODUCT((LEN(Employees!$A$3:$A$500)&gt;0)*(Employees!$G$3:$G$500=IFERROR(XLOOKUP(B123,Employees!$A$3:$A$500,Employees!$G$3:$G$500,""),""))*(COUNTIFS($B$3:$B$500,Employees!$A$3:$A$500,$H$3:$H$500,"Approved",$D$3:$D$500,"&lt;="&amp;E123,$E$3:$E$500,"&gt;="&amp;D123,$A$3:$A$500,"&lt;&gt;"&amp;A123)&gt;0)),0))</f>
        <v/>
      </c>
    </row>
    <row r="124">
      <c r="C124">
        <f>IFERROR(XLOOKUP(B124,Employees!$A$3:$A$500,Employees!$B$3:$B$500,""),"")</f>
        <v/>
      </c>
      <c r="I124">
        <f>IF(AND(B124&lt;&gt;"",D124&lt;&gt;"",E124&lt;&gt;""),E124-D124+1,"")</f>
        <v/>
      </c>
      <c r="J124">
        <f>IF(OR(B124="",D124="",E124=""),"",IF(OR(L124&lt;'Coverage Rules'!E7,M124&lt;'Coverage Rules'!E8,N124&lt;'Coverage Rules'!C8,O124&lt;'Coverage Rules'!E9,P124&lt;'Coverage Rules'!E10,Q124&gt;='Coverage Rules'!B16,R124&gt;='Coverage Rules'!B17,IF(S124="",FALSE,S124&gt;='Coverage Rules'!D24)),"Denied","OK"))</f>
        <v/>
      </c>
      <c r="L124">
        <f>IF(B124="","",IFERROR(SUMPRODUCT((LEN(Employees!$A$3:$A$500)&gt;0)*(Employees!$T$3:$T$500=1)*(COUNTIFS($B$3:$B$500,Employees!$A$3:$A$500,$H$3:$H$500,"Approved",$D$3:$D$500,"&lt;="&amp;E124,$E$3:$E$500,"&gt;="&amp;D124,$A$3:$A$500,"&lt;&gt;"&amp;A124)=0)),0))</f>
        <v/>
      </c>
      <c r="M124">
        <f>IF(B124="","",IFERROR(SUMPRODUCT((LEN(Employees!$A$3:$A$500)&gt;0)*(Employees!$U$3:$U$500=1)*(COUNTIFS($B$3:$B$500,Employees!$A$3:$A$500,$H$3:$H$500,"Approved",$D$3:$D$500,"&lt;="&amp;E124,$E$3:$E$500,"&gt;="&amp;D124,$A$3:$A$500,"&lt;&gt;"&amp;A124)=0)),0))</f>
        <v/>
      </c>
      <c r="N124">
        <f>IF(B124="","",IFERROR(SUMPRODUCT((LEN(Employees!$A$3:$A$500)&gt;0)*(Employees!$B$3:$B$500="Manager")*(Employees!$U$3:$U$500=1)*(COUNTIFS($B$3:$B$500,Employees!$A$3:$A$500,$H$3:$H$500,"Approved",$D$3:$D$500,"&lt;="&amp;E124,$E$3:$E$500,"&gt;="&amp;D124,$A$3:$A$500,"&lt;&gt;"&amp;A124)=0)),0))</f>
        <v/>
      </c>
      <c r="O124">
        <f>IF(B124="","",IFERROR(SUMPRODUCT((LEN(Employees!$A$3:$A$500)&gt;0)*(Employees!$V$3:$V$500=1)*(COUNTIFS($B$3:$B$500,Employees!$A$3:$A$500,$H$3:$H$500,"Approved",$D$3:$D$500,"&lt;="&amp;E124,$E$3:$E$500,"&gt;="&amp;D124,$A$3:$A$500,"&lt;&gt;"&amp;A124)=0)),0))</f>
        <v/>
      </c>
      <c r="P124">
        <f>IF(B124="","",IFERROR(SUMPRODUCT((LEN(Employees!$A$3:$A$500)&gt;0)*(Employees!$W$3:$W$500=1)*(COUNTIFS($B$3:$B$500,Employees!$A$3:$A$500,$H$3:$H$500,"Approved",$D$3:$D$500,"&lt;="&amp;E124,$E$3:$E$500,"&gt;="&amp;D124,$A$3:$A$500,"&lt;&gt;"&amp;A124)=0)),0))</f>
        <v/>
      </c>
      <c r="Q124">
        <f>IF(B124="","",IFERROR(SUMPRODUCT((LEN(Employees!$A$3:$A$500)&gt;0)*(Employees!$N$3:$N$500=1)*(COUNTIFS($B$3:$B$500,Employees!$A$3:$A$500,$H$3:$H$500,"Approved",$D$3:$D$500,"&lt;="&amp;E124,$E$3:$E$500,"&gt;="&amp;D124,$A$3:$A$500,"&lt;&gt;"&amp;A124)&gt;0)),0))</f>
        <v/>
      </c>
      <c r="R124">
        <f>IF(B124="","",IFERROR(SUMPRODUCT((LEN(Employees!$A$3:$A$500)&gt;0)*(Employees!$O$3:$O$500=1)*(COUNTIFS($B$3:$B$500,Employees!$A$3:$A$500,$H$3:$H$500,"Approved",$D$3:$D$500,"&lt;="&amp;E124,$E$3:$E$500,"&gt;="&amp;D124,$A$3:$A$500,"&lt;&gt;"&amp;A124)&gt;0)),0))</f>
        <v/>
      </c>
      <c r="S124">
        <f>IF(OR(B124="",IFERROR(XLOOKUP(B124,Employees!$A$3:$A$500,Employees!$G$3:$G$500,""),"")=""),"",IFERROR(SUMPRODUCT((LEN(Employees!$A$3:$A$500)&gt;0)*(Employees!$G$3:$G$500=IFERROR(XLOOKUP(B124,Employees!$A$3:$A$500,Employees!$G$3:$G$500,""),""))*(COUNTIFS($B$3:$B$500,Employees!$A$3:$A$500,$H$3:$H$500,"Approved",$D$3:$D$500,"&lt;="&amp;E124,$E$3:$E$500,"&gt;="&amp;D124,$A$3:$A$500,"&lt;&gt;"&amp;A124)&gt;0)),0))</f>
        <v/>
      </c>
    </row>
    <row r="125">
      <c r="C125">
        <f>IFERROR(XLOOKUP(B125,Employees!$A$3:$A$500,Employees!$B$3:$B$500,""),"")</f>
        <v/>
      </c>
      <c r="I125">
        <f>IF(AND(B125&lt;&gt;"",D125&lt;&gt;"",E125&lt;&gt;""),E125-D125+1,"")</f>
        <v/>
      </c>
      <c r="J125">
        <f>IF(OR(B125="",D125="",E125=""),"",IF(OR(L125&lt;'Coverage Rules'!E7,M125&lt;'Coverage Rules'!E8,N125&lt;'Coverage Rules'!C8,O125&lt;'Coverage Rules'!E9,P125&lt;'Coverage Rules'!E10,Q125&gt;='Coverage Rules'!B16,R125&gt;='Coverage Rules'!B17,IF(S125="",FALSE,S125&gt;='Coverage Rules'!D24)),"Denied","OK"))</f>
        <v/>
      </c>
      <c r="L125">
        <f>IF(B125="","",IFERROR(SUMPRODUCT((LEN(Employees!$A$3:$A$500)&gt;0)*(Employees!$T$3:$T$500=1)*(COUNTIFS($B$3:$B$500,Employees!$A$3:$A$500,$H$3:$H$500,"Approved",$D$3:$D$500,"&lt;="&amp;E125,$E$3:$E$500,"&gt;="&amp;D125,$A$3:$A$500,"&lt;&gt;"&amp;A125)=0)),0))</f>
        <v/>
      </c>
      <c r="M125">
        <f>IF(B125="","",IFERROR(SUMPRODUCT((LEN(Employees!$A$3:$A$500)&gt;0)*(Employees!$U$3:$U$500=1)*(COUNTIFS($B$3:$B$500,Employees!$A$3:$A$500,$H$3:$H$500,"Approved",$D$3:$D$500,"&lt;="&amp;E125,$E$3:$E$500,"&gt;="&amp;D125,$A$3:$A$500,"&lt;&gt;"&amp;A125)=0)),0))</f>
        <v/>
      </c>
      <c r="N125">
        <f>IF(B125="","",IFERROR(SUMPRODUCT((LEN(Employees!$A$3:$A$500)&gt;0)*(Employees!$B$3:$B$500="Manager")*(Employees!$U$3:$U$500=1)*(COUNTIFS($B$3:$B$500,Employees!$A$3:$A$500,$H$3:$H$500,"Approved",$D$3:$D$500,"&lt;="&amp;E125,$E$3:$E$500,"&gt;="&amp;D125,$A$3:$A$500,"&lt;&gt;"&amp;A125)=0)),0))</f>
        <v/>
      </c>
      <c r="O125">
        <f>IF(B125="","",IFERROR(SUMPRODUCT((LEN(Employees!$A$3:$A$500)&gt;0)*(Employees!$V$3:$V$500=1)*(COUNTIFS($B$3:$B$500,Employees!$A$3:$A$500,$H$3:$H$500,"Approved",$D$3:$D$500,"&lt;="&amp;E125,$E$3:$E$500,"&gt;="&amp;D125,$A$3:$A$500,"&lt;&gt;"&amp;A125)=0)),0))</f>
        <v/>
      </c>
      <c r="P125">
        <f>IF(B125="","",IFERROR(SUMPRODUCT((LEN(Employees!$A$3:$A$500)&gt;0)*(Employees!$W$3:$W$500=1)*(COUNTIFS($B$3:$B$500,Employees!$A$3:$A$500,$H$3:$H$500,"Approved",$D$3:$D$500,"&lt;="&amp;E125,$E$3:$E$500,"&gt;="&amp;D125,$A$3:$A$500,"&lt;&gt;"&amp;A125)=0)),0))</f>
        <v/>
      </c>
      <c r="Q125">
        <f>IF(B125="","",IFERROR(SUMPRODUCT((LEN(Employees!$A$3:$A$500)&gt;0)*(Employees!$N$3:$N$500=1)*(COUNTIFS($B$3:$B$500,Employees!$A$3:$A$500,$H$3:$H$500,"Approved",$D$3:$D$500,"&lt;="&amp;E125,$E$3:$E$500,"&gt;="&amp;D125,$A$3:$A$500,"&lt;&gt;"&amp;A125)&gt;0)),0))</f>
        <v/>
      </c>
      <c r="R125">
        <f>IF(B125="","",IFERROR(SUMPRODUCT((LEN(Employees!$A$3:$A$500)&gt;0)*(Employees!$O$3:$O$500=1)*(COUNTIFS($B$3:$B$500,Employees!$A$3:$A$500,$H$3:$H$500,"Approved",$D$3:$D$500,"&lt;="&amp;E125,$E$3:$E$500,"&gt;="&amp;D125,$A$3:$A$500,"&lt;&gt;"&amp;A125)&gt;0)),0))</f>
        <v/>
      </c>
      <c r="S125">
        <f>IF(OR(B125="",IFERROR(XLOOKUP(B125,Employees!$A$3:$A$500,Employees!$G$3:$G$500,""),"")=""),"",IFERROR(SUMPRODUCT((LEN(Employees!$A$3:$A$500)&gt;0)*(Employees!$G$3:$G$500=IFERROR(XLOOKUP(B125,Employees!$A$3:$A$500,Employees!$G$3:$G$500,""),""))*(COUNTIFS($B$3:$B$500,Employees!$A$3:$A$500,$H$3:$H$500,"Approved",$D$3:$D$500,"&lt;="&amp;E125,$E$3:$E$500,"&gt;="&amp;D125,$A$3:$A$500,"&lt;&gt;"&amp;A125)&gt;0)),0))</f>
        <v/>
      </c>
    </row>
    <row r="126">
      <c r="C126">
        <f>IFERROR(XLOOKUP(B126,Employees!$A$3:$A$500,Employees!$B$3:$B$500,""),"")</f>
        <v/>
      </c>
      <c r="I126">
        <f>IF(AND(B126&lt;&gt;"",D126&lt;&gt;"",E126&lt;&gt;""),E126-D126+1,"")</f>
        <v/>
      </c>
      <c r="J126">
        <f>IF(OR(B126="",D126="",E126=""),"",IF(OR(L126&lt;'Coverage Rules'!E7,M126&lt;'Coverage Rules'!E8,N126&lt;'Coverage Rules'!C8,O126&lt;'Coverage Rules'!E9,P126&lt;'Coverage Rules'!E10,Q126&gt;='Coverage Rules'!B16,R126&gt;='Coverage Rules'!B17,IF(S126="",FALSE,S126&gt;='Coverage Rules'!D24)),"Denied","OK"))</f>
        <v/>
      </c>
      <c r="L126">
        <f>IF(B126="","",IFERROR(SUMPRODUCT((LEN(Employees!$A$3:$A$500)&gt;0)*(Employees!$T$3:$T$500=1)*(COUNTIFS($B$3:$B$500,Employees!$A$3:$A$500,$H$3:$H$500,"Approved",$D$3:$D$500,"&lt;="&amp;E126,$E$3:$E$500,"&gt;="&amp;D126,$A$3:$A$500,"&lt;&gt;"&amp;A126)=0)),0))</f>
        <v/>
      </c>
      <c r="M126">
        <f>IF(B126="","",IFERROR(SUMPRODUCT((LEN(Employees!$A$3:$A$500)&gt;0)*(Employees!$U$3:$U$500=1)*(COUNTIFS($B$3:$B$500,Employees!$A$3:$A$500,$H$3:$H$500,"Approved",$D$3:$D$500,"&lt;="&amp;E126,$E$3:$E$500,"&gt;="&amp;D126,$A$3:$A$500,"&lt;&gt;"&amp;A126)=0)),0))</f>
        <v/>
      </c>
      <c r="N126">
        <f>IF(B126="","",IFERROR(SUMPRODUCT((LEN(Employees!$A$3:$A$500)&gt;0)*(Employees!$B$3:$B$500="Manager")*(Employees!$U$3:$U$500=1)*(COUNTIFS($B$3:$B$500,Employees!$A$3:$A$500,$H$3:$H$500,"Approved",$D$3:$D$500,"&lt;="&amp;E126,$E$3:$E$500,"&gt;="&amp;D126,$A$3:$A$500,"&lt;&gt;"&amp;A126)=0)),0))</f>
        <v/>
      </c>
      <c r="O126">
        <f>IF(B126="","",IFERROR(SUMPRODUCT((LEN(Employees!$A$3:$A$500)&gt;0)*(Employees!$V$3:$V$500=1)*(COUNTIFS($B$3:$B$500,Employees!$A$3:$A$500,$H$3:$H$500,"Approved",$D$3:$D$500,"&lt;="&amp;E126,$E$3:$E$500,"&gt;="&amp;D126,$A$3:$A$500,"&lt;&gt;"&amp;A126)=0)),0))</f>
        <v/>
      </c>
      <c r="P126">
        <f>IF(B126="","",IFERROR(SUMPRODUCT((LEN(Employees!$A$3:$A$500)&gt;0)*(Employees!$W$3:$W$500=1)*(COUNTIFS($B$3:$B$500,Employees!$A$3:$A$500,$H$3:$H$500,"Approved",$D$3:$D$500,"&lt;="&amp;E126,$E$3:$E$500,"&gt;="&amp;D126,$A$3:$A$500,"&lt;&gt;"&amp;A126)=0)),0))</f>
        <v/>
      </c>
      <c r="Q126">
        <f>IF(B126="","",IFERROR(SUMPRODUCT((LEN(Employees!$A$3:$A$500)&gt;0)*(Employees!$N$3:$N$500=1)*(COUNTIFS($B$3:$B$500,Employees!$A$3:$A$500,$H$3:$H$500,"Approved",$D$3:$D$500,"&lt;="&amp;E126,$E$3:$E$500,"&gt;="&amp;D126,$A$3:$A$500,"&lt;&gt;"&amp;A126)&gt;0)),0))</f>
        <v/>
      </c>
      <c r="R126">
        <f>IF(B126="","",IFERROR(SUMPRODUCT((LEN(Employees!$A$3:$A$500)&gt;0)*(Employees!$O$3:$O$500=1)*(COUNTIFS($B$3:$B$500,Employees!$A$3:$A$500,$H$3:$H$500,"Approved",$D$3:$D$500,"&lt;="&amp;E126,$E$3:$E$500,"&gt;="&amp;D126,$A$3:$A$500,"&lt;&gt;"&amp;A126)&gt;0)),0))</f>
        <v/>
      </c>
      <c r="S126">
        <f>IF(OR(B126="",IFERROR(XLOOKUP(B126,Employees!$A$3:$A$500,Employees!$G$3:$G$500,""),"")=""),"",IFERROR(SUMPRODUCT((LEN(Employees!$A$3:$A$500)&gt;0)*(Employees!$G$3:$G$500=IFERROR(XLOOKUP(B126,Employees!$A$3:$A$500,Employees!$G$3:$G$500,""),""))*(COUNTIFS($B$3:$B$500,Employees!$A$3:$A$500,$H$3:$H$500,"Approved",$D$3:$D$500,"&lt;="&amp;E126,$E$3:$E$500,"&gt;="&amp;D126,$A$3:$A$500,"&lt;&gt;"&amp;A126)&gt;0)),0))</f>
        <v/>
      </c>
    </row>
    <row r="127">
      <c r="C127">
        <f>IFERROR(XLOOKUP(B127,Employees!$A$3:$A$500,Employees!$B$3:$B$500,""),"")</f>
        <v/>
      </c>
      <c r="I127">
        <f>IF(AND(B127&lt;&gt;"",D127&lt;&gt;"",E127&lt;&gt;""),E127-D127+1,"")</f>
        <v/>
      </c>
      <c r="J127">
        <f>IF(OR(B127="",D127="",E127=""),"",IF(OR(L127&lt;'Coverage Rules'!E7,M127&lt;'Coverage Rules'!E8,N127&lt;'Coverage Rules'!C8,O127&lt;'Coverage Rules'!E9,P127&lt;'Coverage Rules'!E10,Q127&gt;='Coverage Rules'!B16,R127&gt;='Coverage Rules'!B17,IF(S127="",FALSE,S127&gt;='Coverage Rules'!D24)),"Denied","OK"))</f>
        <v/>
      </c>
      <c r="L127">
        <f>IF(B127="","",IFERROR(SUMPRODUCT((LEN(Employees!$A$3:$A$500)&gt;0)*(Employees!$T$3:$T$500=1)*(COUNTIFS($B$3:$B$500,Employees!$A$3:$A$500,$H$3:$H$500,"Approved",$D$3:$D$500,"&lt;="&amp;E127,$E$3:$E$500,"&gt;="&amp;D127,$A$3:$A$500,"&lt;&gt;"&amp;A127)=0)),0))</f>
        <v/>
      </c>
      <c r="M127">
        <f>IF(B127="","",IFERROR(SUMPRODUCT((LEN(Employees!$A$3:$A$500)&gt;0)*(Employees!$U$3:$U$500=1)*(COUNTIFS($B$3:$B$500,Employees!$A$3:$A$500,$H$3:$H$500,"Approved",$D$3:$D$500,"&lt;="&amp;E127,$E$3:$E$500,"&gt;="&amp;D127,$A$3:$A$500,"&lt;&gt;"&amp;A127)=0)),0))</f>
        <v/>
      </c>
      <c r="N127">
        <f>IF(B127="","",IFERROR(SUMPRODUCT((LEN(Employees!$A$3:$A$500)&gt;0)*(Employees!$B$3:$B$500="Manager")*(Employees!$U$3:$U$500=1)*(COUNTIFS($B$3:$B$500,Employees!$A$3:$A$500,$H$3:$H$500,"Approved",$D$3:$D$500,"&lt;="&amp;E127,$E$3:$E$500,"&gt;="&amp;D127,$A$3:$A$500,"&lt;&gt;"&amp;A127)=0)),0))</f>
        <v/>
      </c>
      <c r="O127">
        <f>IF(B127="","",IFERROR(SUMPRODUCT((LEN(Employees!$A$3:$A$500)&gt;0)*(Employees!$V$3:$V$500=1)*(COUNTIFS($B$3:$B$500,Employees!$A$3:$A$500,$H$3:$H$500,"Approved",$D$3:$D$500,"&lt;="&amp;E127,$E$3:$E$500,"&gt;="&amp;D127,$A$3:$A$500,"&lt;&gt;"&amp;A127)=0)),0))</f>
        <v/>
      </c>
      <c r="P127">
        <f>IF(B127="","",IFERROR(SUMPRODUCT((LEN(Employees!$A$3:$A$500)&gt;0)*(Employees!$W$3:$W$500=1)*(COUNTIFS($B$3:$B$500,Employees!$A$3:$A$500,$H$3:$H$500,"Approved",$D$3:$D$500,"&lt;="&amp;E127,$E$3:$E$500,"&gt;="&amp;D127,$A$3:$A$500,"&lt;&gt;"&amp;A127)=0)),0))</f>
        <v/>
      </c>
      <c r="Q127">
        <f>IF(B127="","",IFERROR(SUMPRODUCT((LEN(Employees!$A$3:$A$500)&gt;0)*(Employees!$N$3:$N$500=1)*(COUNTIFS($B$3:$B$500,Employees!$A$3:$A$500,$H$3:$H$500,"Approved",$D$3:$D$500,"&lt;="&amp;E127,$E$3:$E$500,"&gt;="&amp;D127,$A$3:$A$500,"&lt;&gt;"&amp;A127)&gt;0)),0))</f>
        <v/>
      </c>
      <c r="R127">
        <f>IF(B127="","",IFERROR(SUMPRODUCT((LEN(Employees!$A$3:$A$500)&gt;0)*(Employees!$O$3:$O$500=1)*(COUNTIFS($B$3:$B$500,Employees!$A$3:$A$500,$H$3:$H$500,"Approved",$D$3:$D$500,"&lt;="&amp;E127,$E$3:$E$500,"&gt;="&amp;D127,$A$3:$A$500,"&lt;&gt;"&amp;A127)&gt;0)),0))</f>
        <v/>
      </c>
      <c r="S127">
        <f>IF(OR(B127="",IFERROR(XLOOKUP(B127,Employees!$A$3:$A$500,Employees!$G$3:$G$500,""),"")=""),"",IFERROR(SUMPRODUCT((LEN(Employees!$A$3:$A$500)&gt;0)*(Employees!$G$3:$G$500=IFERROR(XLOOKUP(B127,Employees!$A$3:$A$500,Employees!$G$3:$G$500,""),""))*(COUNTIFS($B$3:$B$500,Employees!$A$3:$A$500,$H$3:$H$500,"Approved",$D$3:$D$500,"&lt;="&amp;E127,$E$3:$E$500,"&gt;="&amp;D127,$A$3:$A$500,"&lt;&gt;"&amp;A127)&gt;0)),0))</f>
        <v/>
      </c>
    </row>
    <row r="128">
      <c r="C128">
        <f>IFERROR(XLOOKUP(B128,Employees!$A$3:$A$500,Employees!$B$3:$B$500,""),"")</f>
        <v/>
      </c>
      <c r="I128">
        <f>IF(AND(B128&lt;&gt;"",D128&lt;&gt;"",E128&lt;&gt;""),E128-D128+1,"")</f>
        <v/>
      </c>
      <c r="J128">
        <f>IF(OR(B128="",D128="",E128=""),"",IF(OR(L128&lt;'Coverage Rules'!E7,M128&lt;'Coverage Rules'!E8,N128&lt;'Coverage Rules'!C8,O128&lt;'Coverage Rules'!E9,P128&lt;'Coverage Rules'!E10,Q128&gt;='Coverage Rules'!B16,R128&gt;='Coverage Rules'!B17,IF(S128="",FALSE,S128&gt;='Coverage Rules'!D24)),"Denied","OK"))</f>
        <v/>
      </c>
      <c r="L128">
        <f>IF(B128="","",IFERROR(SUMPRODUCT((LEN(Employees!$A$3:$A$500)&gt;0)*(Employees!$T$3:$T$500=1)*(COUNTIFS($B$3:$B$500,Employees!$A$3:$A$500,$H$3:$H$500,"Approved",$D$3:$D$500,"&lt;="&amp;E128,$E$3:$E$500,"&gt;="&amp;D128,$A$3:$A$500,"&lt;&gt;"&amp;A128)=0)),0))</f>
        <v/>
      </c>
      <c r="M128">
        <f>IF(B128="","",IFERROR(SUMPRODUCT((LEN(Employees!$A$3:$A$500)&gt;0)*(Employees!$U$3:$U$500=1)*(COUNTIFS($B$3:$B$500,Employees!$A$3:$A$500,$H$3:$H$500,"Approved",$D$3:$D$500,"&lt;="&amp;E128,$E$3:$E$500,"&gt;="&amp;D128,$A$3:$A$500,"&lt;&gt;"&amp;A128)=0)),0))</f>
        <v/>
      </c>
      <c r="N128">
        <f>IF(B128="","",IFERROR(SUMPRODUCT((LEN(Employees!$A$3:$A$500)&gt;0)*(Employees!$B$3:$B$500="Manager")*(Employees!$U$3:$U$500=1)*(COUNTIFS($B$3:$B$500,Employees!$A$3:$A$500,$H$3:$H$500,"Approved",$D$3:$D$500,"&lt;="&amp;E128,$E$3:$E$500,"&gt;="&amp;D128,$A$3:$A$500,"&lt;&gt;"&amp;A128)=0)),0))</f>
        <v/>
      </c>
      <c r="O128">
        <f>IF(B128="","",IFERROR(SUMPRODUCT((LEN(Employees!$A$3:$A$500)&gt;0)*(Employees!$V$3:$V$500=1)*(COUNTIFS($B$3:$B$500,Employees!$A$3:$A$500,$H$3:$H$500,"Approved",$D$3:$D$500,"&lt;="&amp;E128,$E$3:$E$500,"&gt;="&amp;D128,$A$3:$A$500,"&lt;&gt;"&amp;A128)=0)),0))</f>
        <v/>
      </c>
      <c r="P128">
        <f>IF(B128="","",IFERROR(SUMPRODUCT((LEN(Employees!$A$3:$A$500)&gt;0)*(Employees!$W$3:$W$500=1)*(COUNTIFS($B$3:$B$500,Employees!$A$3:$A$500,$H$3:$H$500,"Approved",$D$3:$D$500,"&lt;="&amp;E128,$E$3:$E$500,"&gt;="&amp;D128,$A$3:$A$500,"&lt;&gt;"&amp;A128)=0)),0))</f>
        <v/>
      </c>
      <c r="Q128">
        <f>IF(B128="","",IFERROR(SUMPRODUCT((LEN(Employees!$A$3:$A$500)&gt;0)*(Employees!$N$3:$N$500=1)*(COUNTIFS($B$3:$B$500,Employees!$A$3:$A$500,$H$3:$H$500,"Approved",$D$3:$D$500,"&lt;="&amp;E128,$E$3:$E$500,"&gt;="&amp;D128,$A$3:$A$500,"&lt;&gt;"&amp;A128)&gt;0)),0))</f>
        <v/>
      </c>
      <c r="R128">
        <f>IF(B128="","",IFERROR(SUMPRODUCT((LEN(Employees!$A$3:$A$500)&gt;0)*(Employees!$O$3:$O$500=1)*(COUNTIFS($B$3:$B$500,Employees!$A$3:$A$500,$H$3:$H$500,"Approved",$D$3:$D$500,"&lt;="&amp;E128,$E$3:$E$500,"&gt;="&amp;D128,$A$3:$A$500,"&lt;&gt;"&amp;A128)&gt;0)),0))</f>
        <v/>
      </c>
      <c r="S128">
        <f>IF(OR(B128="",IFERROR(XLOOKUP(B128,Employees!$A$3:$A$500,Employees!$G$3:$G$500,""),"")=""),"",IFERROR(SUMPRODUCT((LEN(Employees!$A$3:$A$500)&gt;0)*(Employees!$G$3:$G$500=IFERROR(XLOOKUP(B128,Employees!$A$3:$A$500,Employees!$G$3:$G$500,""),""))*(COUNTIFS($B$3:$B$500,Employees!$A$3:$A$500,$H$3:$H$500,"Approved",$D$3:$D$500,"&lt;="&amp;E128,$E$3:$E$500,"&gt;="&amp;D128,$A$3:$A$500,"&lt;&gt;"&amp;A128)&gt;0)),0))</f>
        <v/>
      </c>
    </row>
    <row r="129">
      <c r="C129">
        <f>IFERROR(XLOOKUP(B129,Employees!$A$3:$A$500,Employees!$B$3:$B$500,""),"")</f>
        <v/>
      </c>
      <c r="I129">
        <f>IF(AND(B129&lt;&gt;"",D129&lt;&gt;"",E129&lt;&gt;""),E129-D129+1,"")</f>
        <v/>
      </c>
      <c r="J129">
        <f>IF(OR(B129="",D129="",E129=""),"",IF(OR(L129&lt;'Coverage Rules'!E7,M129&lt;'Coverage Rules'!E8,N129&lt;'Coverage Rules'!C8,O129&lt;'Coverage Rules'!E9,P129&lt;'Coverage Rules'!E10,Q129&gt;='Coverage Rules'!B16,R129&gt;='Coverage Rules'!B17,IF(S129="",FALSE,S129&gt;='Coverage Rules'!D24)),"Denied","OK"))</f>
        <v/>
      </c>
      <c r="L129">
        <f>IF(B129="","",IFERROR(SUMPRODUCT((LEN(Employees!$A$3:$A$500)&gt;0)*(Employees!$T$3:$T$500=1)*(COUNTIFS($B$3:$B$500,Employees!$A$3:$A$500,$H$3:$H$500,"Approved",$D$3:$D$500,"&lt;="&amp;E129,$E$3:$E$500,"&gt;="&amp;D129,$A$3:$A$500,"&lt;&gt;"&amp;A129)=0)),0))</f>
        <v/>
      </c>
      <c r="M129">
        <f>IF(B129="","",IFERROR(SUMPRODUCT((LEN(Employees!$A$3:$A$500)&gt;0)*(Employees!$U$3:$U$500=1)*(COUNTIFS($B$3:$B$500,Employees!$A$3:$A$500,$H$3:$H$500,"Approved",$D$3:$D$500,"&lt;="&amp;E129,$E$3:$E$500,"&gt;="&amp;D129,$A$3:$A$500,"&lt;&gt;"&amp;A129)=0)),0))</f>
        <v/>
      </c>
      <c r="N129">
        <f>IF(B129="","",IFERROR(SUMPRODUCT((LEN(Employees!$A$3:$A$500)&gt;0)*(Employees!$B$3:$B$500="Manager")*(Employees!$U$3:$U$500=1)*(COUNTIFS($B$3:$B$500,Employees!$A$3:$A$500,$H$3:$H$500,"Approved",$D$3:$D$500,"&lt;="&amp;E129,$E$3:$E$500,"&gt;="&amp;D129,$A$3:$A$500,"&lt;&gt;"&amp;A129)=0)),0))</f>
        <v/>
      </c>
      <c r="O129">
        <f>IF(B129="","",IFERROR(SUMPRODUCT((LEN(Employees!$A$3:$A$500)&gt;0)*(Employees!$V$3:$V$500=1)*(COUNTIFS($B$3:$B$500,Employees!$A$3:$A$500,$H$3:$H$500,"Approved",$D$3:$D$500,"&lt;="&amp;E129,$E$3:$E$500,"&gt;="&amp;D129,$A$3:$A$500,"&lt;&gt;"&amp;A129)=0)),0))</f>
        <v/>
      </c>
      <c r="P129">
        <f>IF(B129="","",IFERROR(SUMPRODUCT((LEN(Employees!$A$3:$A$500)&gt;0)*(Employees!$W$3:$W$500=1)*(COUNTIFS($B$3:$B$500,Employees!$A$3:$A$500,$H$3:$H$500,"Approved",$D$3:$D$500,"&lt;="&amp;E129,$E$3:$E$500,"&gt;="&amp;D129,$A$3:$A$500,"&lt;&gt;"&amp;A129)=0)),0))</f>
        <v/>
      </c>
      <c r="Q129">
        <f>IF(B129="","",IFERROR(SUMPRODUCT((LEN(Employees!$A$3:$A$500)&gt;0)*(Employees!$N$3:$N$500=1)*(COUNTIFS($B$3:$B$500,Employees!$A$3:$A$500,$H$3:$H$500,"Approved",$D$3:$D$500,"&lt;="&amp;E129,$E$3:$E$500,"&gt;="&amp;D129,$A$3:$A$500,"&lt;&gt;"&amp;A129)&gt;0)),0))</f>
        <v/>
      </c>
      <c r="R129">
        <f>IF(B129="","",IFERROR(SUMPRODUCT((LEN(Employees!$A$3:$A$500)&gt;0)*(Employees!$O$3:$O$500=1)*(COUNTIFS($B$3:$B$500,Employees!$A$3:$A$500,$H$3:$H$500,"Approved",$D$3:$D$500,"&lt;="&amp;E129,$E$3:$E$500,"&gt;="&amp;D129,$A$3:$A$500,"&lt;&gt;"&amp;A129)&gt;0)),0))</f>
        <v/>
      </c>
      <c r="S129">
        <f>IF(OR(B129="",IFERROR(XLOOKUP(B129,Employees!$A$3:$A$500,Employees!$G$3:$G$500,""),"")=""),"",IFERROR(SUMPRODUCT((LEN(Employees!$A$3:$A$500)&gt;0)*(Employees!$G$3:$G$500=IFERROR(XLOOKUP(B129,Employees!$A$3:$A$500,Employees!$G$3:$G$500,""),""))*(COUNTIFS($B$3:$B$500,Employees!$A$3:$A$500,$H$3:$H$500,"Approved",$D$3:$D$500,"&lt;="&amp;E129,$E$3:$E$500,"&gt;="&amp;D129,$A$3:$A$500,"&lt;&gt;"&amp;A129)&gt;0)),0))</f>
        <v/>
      </c>
    </row>
    <row r="130">
      <c r="C130">
        <f>IFERROR(XLOOKUP(B130,Employees!$A$3:$A$500,Employees!$B$3:$B$500,""),"")</f>
        <v/>
      </c>
      <c r="I130">
        <f>IF(AND(B130&lt;&gt;"",D130&lt;&gt;"",E130&lt;&gt;""),E130-D130+1,"")</f>
        <v/>
      </c>
      <c r="J130">
        <f>IF(OR(B130="",D130="",E130=""),"",IF(OR(L130&lt;'Coverage Rules'!E7,M130&lt;'Coverage Rules'!E8,N130&lt;'Coverage Rules'!C8,O130&lt;'Coverage Rules'!E9,P130&lt;'Coverage Rules'!E10,Q130&gt;='Coverage Rules'!B16,R130&gt;='Coverage Rules'!B17,IF(S130="",FALSE,S130&gt;='Coverage Rules'!D24)),"Denied","OK"))</f>
        <v/>
      </c>
      <c r="L130">
        <f>IF(B130="","",IFERROR(SUMPRODUCT((LEN(Employees!$A$3:$A$500)&gt;0)*(Employees!$T$3:$T$500=1)*(COUNTIFS($B$3:$B$500,Employees!$A$3:$A$500,$H$3:$H$500,"Approved",$D$3:$D$500,"&lt;="&amp;E130,$E$3:$E$500,"&gt;="&amp;D130,$A$3:$A$500,"&lt;&gt;"&amp;A130)=0)),0))</f>
        <v/>
      </c>
      <c r="M130">
        <f>IF(B130="","",IFERROR(SUMPRODUCT((LEN(Employees!$A$3:$A$500)&gt;0)*(Employees!$U$3:$U$500=1)*(COUNTIFS($B$3:$B$500,Employees!$A$3:$A$500,$H$3:$H$500,"Approved",$D$3:$D$500,"&lt;="&amp;E130,$E$3:$E$500,"&gt;="&amp;D130,$A$3:$A$500,"&lt;&gt;"&amp;A130)=0)),0))</f>
        <v/>
      </c>
      <c r="N130">
        <f>IF(B130="","",IFERROR(SUMPRODUCT((LEN(Employees!$A$3:$A$500)&gt;0)*(Employees!$B$3:$B$500="Manager")*(Employees!$U$3:$U$500=1)*(COUNTIFS($B$3:$B$500,Employees!$A$3:$A$500,$H$3:$H$500,"Approved",$D$3:$D$500,"&lt;="&amp;E130,$E$3:$E$500,"&gt;="&amp;D130,$A$3:$A$500,"&lt;&gt;"&amp;A130)=0)),0))</f>
        <v/>
      </c>
      <c r="O130">
        <f>IF(B130="","",IFERROR(SUMPRODUCT((LEN(Employees!$A$3:$A$500)&gt;0)*(Employees!$V$3:$V$500=1)*(COUNTIFS($B$3:$B$500,Employees!$A$3:$A$500,$H$3:$H$500,"Approved",$D$3:$D$500,"&lt;="&amp;E130,$E$3:$E$500,"&gt;="&amp;D130,$A$3:$A$500,"&lt;&gt;"&amp;A130)=0)),0))</f>
        <v/>
      </c>
      <c r="P130">
        <f>IF(B130="","",IFERROR(SUMPRODUCT((LEN(Employees!$A$3:$A$500)&gt;0)*(Employees!$W$3:$W$500=1)*(COUNTIFS($B$3:$B$500,Employees!$A$3:$A$500,$H$3:$H$500,"Approved",$D$3:$D$500,"&lt;="&amp;E130,$E$3:$E$500,"&gt;="&amp;D130,$A$3:$A$500,"&lt;&gt;"&amp;A130)=0)),0))</f>
        <v/>
      </c>
      <c r="Q130">
        <f>IF(B130="","",IFERROR(SUMPRODUCT((LEN(Employees!$A$3:$A$500)&gt;0)*(Employees!$N$3:$N$500=1)*(COUNTIFS($B$3:$B$500,Employees!$A$3:$A$500,$H$3:$H$500,"Approved",$D$3:$D$500,"&lt;="&amp;E130,$E$3:$E$500,"&gt;="&amp;D130,$A$3:$A$500,"&lt;&gt;"&amp;A130)&gt;0)),0))</f>
        <v/>
      </c>
      <c r="R130">
        <f>IF(B130="","",IFERROR(SUMPRODUCT((LEN(Employees!$A$3:$A$500)&gt;0)*(Employees!$O$3:$O$500=1)*(COUNTIFS($B$3:$B$500,Employees!$A$3:$A$500,$H$3:$H$500,"Approved",$D$3:$D$500,"&lt;="&amp;E130,$E$3:$E$500,"&gt;="&amp;D130,$A$3:$A$500,"&lt;&gt;"&amp;A130)&gt;0)),0))</f>
        <v/>
      </c>
      <c r="S130">
        <f>IF(OR(B130="",IFERROR(XLOOKUP(B130,Employees!$A$3:$A$500,Employees!$G$3:$G$500,""),"")=""),"",IFERROR(SUMPRODUCT((LEN(Employees!$A$3:$A$500)&gt;0)*(Employees!$G$3:$G$500=IFERROR(XLOOKUP(B130,Employees!$A$3:$A$500,Employees!$G$3:$G$500,""),""))*(COUNTIFS($B$3:$B$500,Employees!$A$3:$A$500,$H$3:$H$500,"Approved",$D$3:$D$500,"&lt;="&amp;E130,$E$3:$E$500,"&gt;="&amp;D130,$A$3:$A$500,"&lt;&gt;"&amp;A130)&gt;0)),0))</f>
        <v/>
      </c>
    </row>
    <row r="131">
      <c r="C131">
        <f>IFERROR(XLOOKUP(B131,Employees!$A$3:$A$500,Employees!$B$3:$B$500,""),"")</f>
        <v/>
      </c>
      <c r="I131">
        <f>IF(AND(B131&lt;&gt;"",D131&lt;&gt;"",E131&lt;&gt;""),E131-D131+1,"")</f>
        <v/>
      </c>
      <c r="J131">
        <f>IF(OR(B131="",D131="",E131=""),"",IF(OR(L131&lt;'Coverage Rules'!E7,M131&lt;'Coverage Rules'!E8,N131&lt;'Coverage Rules'!C8,O131&lt;'Coverage Rules'!E9,P131&lt;'Coverage Rules'!E10,Q131&gt;='Coverage Rules'!B16,R131&gt;='Coverage Rules'!B17,IF(S131="",FALSE,S131&gt;='Coverage Rules'!D24)),"Denied","OK"))</f>
        <v/>
      </c>
      <c r="L131">
        <f>IF(B131="","",IFERROR(SUMPRODUCT((LEN(Employees!$A$3:$A$500)&gt;0)*(Employees!$T$3:$T$500=1)*(COUNTIFS($B$3:$B$500,Employees!$A$3:$A$500,$H$3:$H$500,"Approved",$D$3:$D$500,"&lt;="&amp;E131,$E$3:$E$500,"&gt;="&amp;D131,$A$3:$A$500,"&lt;&gt;"&amp;A131)=0)),0))</f>
        <v/>
      </c>
      <c r="M131">
        <f>IF(B131="","",IFERROR(SUMPRODUCT((LEN(Employees!$A$3:$A$500)&gt;0)*(Employees!$U$3:$U$500=1)*(COUNTIFS($B$3:$B$500,Employees!$A$3:$A$500,$H$3:$H$500,"Approved",$D$3:$D$500,"&lt;="&amp;E131,$E$3:$E$500,"&gt;="&amp;D131,$A$3:$A$500,"&lt;&gt;"&amp;A131)=0)),0))</f>
        <v/>
      </c>
      <c r="N131">
        <f>IF(B131="","",IFERROR(SUMPRODUCT((LEN(Employees!$A$3:$A$500)&gt;0)*(Employees!$B$3:$B$500="Manager")*(Employees!$U$3:$U$500=1)*(COUNTIFS($B$3:$B$500,Employees!$A$3:$A$500,$H$3:$H$500,"Approved",$D$3:$D$500,"&lt;="&amp;E131,$E$3:$E$500,"&gt;="&amp;D131,$A$3:$A$500,"&lt;&gt;"&amp;A131)=0)),0))</f>
        <v/>
      </c>
      <c r="O131">
        <f>IF(B131="","",IFERROR(SUMPRODUCT((LEN(Employees!$A$3:$A$500)&gt;0)*(Employees!$V$3:$V$500=1)*(COUNTIFS($B$3:$B$500,Employees!$A$3:$A$500,$H$3:$H$500,"Approved",$D$3:$D$500,"&lt;="&amp;E131,$E$3:$E$500,"&gt;="&amp;D131,$A$3:$A$500,"&lt;&gt;"&amp;A131)=0)),0))</f>
        <v/>
      </c>
      <c r="P131">
        <f>IF(B131="","",IFERROR(SUMPRODUCT((LEN(Employees!$A$3:$A$500)&gt;0)*(Employees!$W$3:$W$500=1)*(COUNTIFS($B$3:$B$500,Employees!$A$3:$A$500,$H$3:$H$500,"Approved",$D$3:$D$500,"&lt;="&amp;E131,$E$3:$E$500,"&gt;="&amp;D131,$A$3:$A$500,"&lt;&gt;"&amp;A131)=0)),0))</f>
        <v/>
      </c>
      <c r="Q131">
        <f>IF(B131="","",IFERROR(SUMPRODUCT((LEN(Employees!$A$3:$A$500)&gt;0)*(Employees!$N$3:$N$500=1)*(COUNTIFS($B$3:$B$500,Employees!$A$3:$A$500,$H$3:$H$500,"Approved",$D$3:$D$500,"&lt;="&amp;E131,$E$3:$E$500,"&gt;="&amp;D131,$A$3:$A$500,"&lt;&gt;"&amp;A131)&gt;0)),0))</f>
        <v/>
      </c>
      <c r="R131">
        <f>IF(B131="","",IFERROR(SUMPRODUCT((LEN(Employees!$A$3:$A$500)&gt;0)*(Employees!$O$3:$O$500=1)*(COUNTIFS($B$3:$B$500,Employees!$A$3:$A$500,$H$3:$H$500,"Approved",$D$3:$D$500,"&lt;="&amp;E131,$E$3:$E$500,"&gt;="&amp;D131,$A$3:$A$500,"&lt;&gt;"&amp;A131)&gt;0)),0))</f>
        <v/>
      </c>
      <c r="S131">
        <f>IF(OR(B131="",IFERROR(XLOOKUP(B131,Employees!$A$3:$A$500,Employees!$G$3:$G$500,""),"")=""),"",IFERROR(SUMPRODUCT((LEN(Employees!$A$3:$A$500)&gt;0)*(Employees!$G$3:$G$500=IFERROR(XLOOKUP(B131,Employees!$A$3:$A$500,Employees!$G$3:$G$500,""),""))*(COUNTIFS($B$3:$B$500,Employees!$A$3:$A$500,$H$3:$H$500,"Approved",$D$3:$D$500,"&lt;="&amp;E131,$E$3:$E$500,"&gt;="&amp;D131,$A$3:$A$500,"&lt;&gt;"&amp;A131)&gt;0)),0))</f>
        <v/>
      </c>
    </row>
    <row r="132">
      <c r="C132">
        <f>IFERROR(XLOOKUP(B132,Employees!$A$3:$A$500,Employees!$B$3:$B$500,""),"")</f>
        <v/>
      </c>
      <c r="I132">
        <f>IF(AND(B132&lt;&gt;"",D132&lt;&gt;"",E132&lt;&gt;""),E132-D132+1,"")</f>
        <v/>
      </c>
      <c r="J132">
        <f>IF(OR(B132="",D132="",E132=""),"",IF(OR(L132&lt;'Coverage Rules'!E7,M132&lt;'Coverage Rules'!E8,N132&lt;'Coverage Rules'!C8,O132&lt;'Coverage Rules'!E9,P132&lt;'Coverage Rules'!E10,Q132&gt;='Coverage Rules'!B16,R132&gt;='Coverage Rules'!B17,IF(S132="",FALSE,S132&gt;='Coverage Rules'!D24)),"Denied","OK"))</f>
        <v/>
      </c>
      <c r="L132">
        <f>IF(B132="","",IFERROR(SUMPRODUCT((LEN(Employees!$A$3:$A$500)&gt;0)*(Employees!$T$3:$T$500=1)*(COUNTIFS($B$3:$B$500,Employees!$A$3:$A$500,$H$3:$H$500,"Approved",$D$3:$D$500,"&lt;="&amp;E132,$E$3:$E$500,"&gt;="&amp;D132,$A$3:$A$500,"&lt;&gt;"&amp;A132)=0)),0))</f>
        <v/>
      </c>
      <c r="M132">
        <f>IF(B132="","",IFERROR(SUMPRODUCT((LEN(Employees!$A$3:$A$500)&gt;0)*(Employees!$U$3:$U$500=1)*(COUNTIFS($B$3:$B$500,Employees!$A$3:$A$500,$H$3:$H$500,"Approved",$D$3:$D$500,"&lt;="&amp;E132,$E$3:$E$500,"&gt;="&amp;D132,$A$3:$A$500,"&lt;&gt;"&amp;A132)=0)),0))</f>
        <v/>
      </c>
      <c r="N132">
        <f>IF(B132="","",IFERROR(SUMPRODUCT((LEN(Employees!$A$3:$A$500)&gt;0)*(Employees!$B$3:$B$500="Manager")*(Employees!$U$3:$U$500=1)*(COUNTIFS($B$3:$B$500,Employees!$A$3:$A$500,$H$3:$H$500,"Approved",$D$3:$D$500,"&lt;="&amp;E132,$E$3:$E$500,"&gt;="&amp;D132,$A$3:$A$500,"&lt;&gt;"&amp;A132)=0)),0))</f>
        <v/>
      </c>
      <c r="O132">
        <f>IF(B132="","",IFERROR(SUMPRODUCT((LEN(Employees!$A$3:$A$500)&gt;0)*(Employees!$V$3:$V$500=1)*(COUNTIFS($B$3:$B$500,Employees!$A$3:$A$500,$H$3:$H$500,"Approved",$D$3:$D$500,"&lt;="&amp;E132,$E$3:$E$500,"&gt;="&amp;D132,$A$3:$A$500,"&lt;&gt;"&amp;A132)=0)),0))</f>
        <v/>
      </c>
      <c r="P132">
        <f>IF(B132="","",IFERROR(SUMPRODUCT((LEN(Employees!$A$3:$A$500)&gt;0)*(Employees!$W$3:$W$500=1)*(COUNTIFS($B$3:$B$500,Employees!$A$3:$A$500,$H$3:$H$500,"Approved",$D$3:$D$500,"&lt;="&amp;E132,$E$3:$E$500,"&gt;="&amp;D132,$A$3:$A$500,"&lt;&gt;"&amp;A132)=0)),0))</f>
        <v/>
      </c>
      <c r="Q132">
        <f>IF(B132="","",IFERROR(SUMPRODUCT((LEN(Employees!$A$3:$A$500)&gt;0)*(Employees!$N$3:$N$500=1)*(COUNTIFS($B$3:$B$500,Employees!$A$3:$A$500,$H$3:$H$500,"Approved",$D$3:$D$500,"&lt;="&amp;E132,$E$3:$E$500,"&gt;="&amp;D132,$A$3:$A$500,"&lt;&gt;"&amp;A132)&gt;0)),0))</f>
        <v/>
      </c>
      <c r="R132">
        <f>IF(B132="","",IFERROR(SUMPRODUCT((LEN(Employees!$A$3:$A$500)&gt;0)*(Employees!$O$3:$O$500=1)*(COUNTIFS($B$3:$B$500,Employees!$A$3:$A$500,$H$3:$H$500,"Approved",$D$3:$D$500,"&lt;="&amp;E132,$E$3:$E$500,"&gt;="&amp;D132,$A$3:$A$500,"&lt;&gt;"&amp;A132)&gt;0)),0))</f>
        <v/>
      </c>
      <c r="S132">
        <f>IF(OR(B132="",IFERROR(XLOOKUP(B132,Employees!$A$3:$A$500,Employees!$G$3:$G$500,""),"")=""),"",IFERROR(SUMPRODUCT((LEN(Employees!$A$3:$A$500)&gt;0)*(Employees!$G$3:$G$500=IFERROR(XLOOKUP(B132,Employees!$A$3:$A$500,Employees!$G$3:$G$500,""),""))*(COUNTIFS($B$3:$B$500,Employees!$A$3:$A$500,$H$3:$H$500,"Approved",$D$3:$D$500,"&lt;="&amp;E132,$E$3:$E$500,"&gt;="&amp;D132,$A$3:$A$500,"&lt;&gt;"&amp;A132)&gt;0)),0))</f>
        <v/>
      </c>
    </row>
    <row r="133">
      <c r="C133">
        <f>IFERROR(XLOOKUP(B133,Employees!$A$3:$A$500,Employees!$B$3:$B$500,""),"")</f>
        <v/>
      </c>
      <c r="I133">
        <f>IF(AND(B133&lt;&gt;"",D133&lt;&gt;"",E133&lt;&gt;""),E133-D133+1,"")</f>
        <v/>
      </c>
      <c r="J133">
        <f>IF(OR(B133="",D133="",E133=""),"",IF(OR(L133&lt;'Coverage Rules'!E7,M133&lt;'Coverage Rules'!E8,N133&lt;'Coverage Rules'!C8,O133&lt;'Coverage Rules'!E9,P133&lt;'Coverage Rules'!E10,Q133&gt;='Coverage Rules'!B16,R133&gt;='Coverage Rules'!B17,IF(S133="",FALSE,S133&gt;='Coverage Rules'!D24)),"Denied","OK"))</f>
        <v/>
      </c>
      <c r="L133">
        <f>IF(B133="","",IFERROR(SUMPRODUCT((LEN(Employees!$A$3:$A$500)&gt;0)*(Employees!$T$3:$T$500=1)*(COUNTIFS($B$3:$B$500,Employees!$A$3:$A$500,$H$3:$H$500,"Approved",$D$3:$D$500,"&lt;="&amp;E133,$E$3:$E$500,"&gt;="&amp;D133,$A$3:$A$500,"&lt;&gt;"&amp;A133)=0)),0))</f>
        <v/>
      </c>
      <c r="M133">
        <f>IF(B133="","",IFERROR(SUMPRODUCT((LEN(Employees!$A$3:$A$500)&gt;0)*(Employees!$U$3:$U$500=1)*(COUNTIFS($B$3:$B$500,Employees!$A$3:$A$500,$H$3:$H$500,"Approved",$D$3:$D$500,"&lt;="&amp;E133,$E$3:$E$500,"&gt;="&amp;D133,$A$3:$A$500,"&lt;&gt;"&amp;A133)=0)),0))</f>
        <v/>
      </c>
      <c r="N133">
        <f>IF(B133="","",IFERROR(SUMPRODUCT((LEN(Employees!$A$3:$A$500)&gt;0)*(Employees!$B$3:$B$500="Manager")*(Employees!$U$3:$U$500=1)*(COUNTIFS($B$3:$B$500,Employees!$A$3:$A$500,$H$3:$H$500,"Approved",$D$3:$D$500,"&lt;="&amp;E133,$E$3:$E$500,"&gt;="&amp;D133,$A$3:$A$500,"&lt;&gt;"&amp;A133)=0)),0))</f>
        <v/>
      </c>
      <c r="O133">
        <f>IF(B133="","",IFERROR(SUMPRODUCT((LEN(Employees!$A$3:$A$500)&gt;0)*(Employees!$V$3:$V$500=1)*(COUNTIFS($B$3:$B$500,Employees!$A$3:$A$500,$H$3:$H$500,"Approved",$D$3:$D$500,"&lt;="&amp;E133,$E$3:$E$500,"&gt;="&amp;D133,$A$3:$A$500,"&lt;&gt;"&amp;A133)=0)),0))</f>
        <v/>
      </c>
      <c r="P133">
        <f>IF(B133="","",IFERROR(SUMPRODUCT((LEN(Employees!$A$3:$A$500)&gt;0)*(Employees!$W$3:$W$500=1)*(COUNTIFS($B$3:$B$500,Employees!$A$3:$A$500,$H$3:$H$500,"Approved",$D$3:$D$500,"&lt;="&amp;E133,$E$3:$E$500,"&gt;="&amp;D133,$A$3:$A$500,"&lt;&gt;"&amp;A133)=0)),0))</f>
        <v/>
      </c>
      <c r="Q133">
        <f>IF(B133="","",IFERROR(SUMPRODUCT((LEN(Employees!$A$3:$A$500)&gt;0)*(Employees!$N$3:$N$500=1)*(COUNTIFS($B$3:$B$500,Employees!$A$3:$A$500,$H$3:$H$500,"Approved",$D$3:$D$500,"&lt;="&amp;E133,$E$3:$E$500,"&gt;="&amp;D133,$A$3:$A$500,"&lt;&gt;"&amp;A133)&gt;0)),0))</f>
        <v/>
      </c>
      <c r="R133">
        <f>IF(B133="","",IFERROR(SUMPRODUCT((LEN(Employees!$A$3:$A$500)&gt;0)*(Employees!$O$3:$O$500=1)*(COUNTIFS($B$3:$B$500,Employees!$A$3:$A$500,$H$3:$H$500,"Approved",$D$3:$D$500,"&lt;="&amp;E133,$E$3:$E$500,"&gt;="&amp;D133,$A$3:$A$500,"&lt;&gt;"&amp;A133)&gt;0)),0))</f>
        <v/>
      </c>
      <c r="S133">
        <f>IF(OR(B133="",IFERROR(XLOOKUP(B133,Employees!$A$3:$A$500,Employees!$G$3:$G$500,""),"")=""),"",IFERROR(SUMPRODUCT((LEN(Employees!$A$3:$A$500)&gt;0)*(Employees!$G$3:$G$500=IFERROR(XLOOKUP(B133,Employees!$A$3:$A$500,Employees!$G$3:$G$500,""),""))*(COUNTIFS($B$3:$B$500,Employees!$A$3:$A$500,$H$3:$H$500,"Approved",$D$3:$D$500,"&lt;="&amp;E133,$E$3:$E$500,"&gt;="&amp;D133,$A$3:$A$500,"&lt;&gt;"&amp;A133)&gt;0)),0))</f>
        <v/>
      </c>
    </row>
    <row r="134">
      <c r="C134">
        <f>IFERROR(XLOOKUP(B134,Employees!$A$3:$A$500,Employees!$B$3:$B$500,""),"")</f>
        <v/>
      </c>
      <c r="I134">
        <f>IF(AND(B134&lt;&gt;"",D134&lt;&gt;"",E134&lt;&gt;""),E134-D134+1,"")</f>
        <v/>
      </c>
      <c r="J134">
        <f>IF(OR(B134="",D134="",E134=""),"",IF(OR(L134&lt;'Coverage Rules'!E7,M134&lt;'Coverage Rules'!E8,N134&lt;'Coverage Rules'!C8,O134&lt;'Coverage Rules'!E9,P134&lt;'Coverage Rules'!E10,Q134&gt;='Coverage Rules'!B16,R134&gt;='Coverage Rules'!B17,IF(S134="",FALSE,S134&gt;='Coverage Rules'!D24)),"Denied","OK"))</f>
        <v/>
      </c>
      <c r="L134">
        <f>IF(B134="","",IFERROR(SUMPRODUCT((LEN(Employees!$A$3:$A$500)&gt;0)*(Employees!$T$3:$T$500=1)*(COUNTIFS($B$3:$B$500,Employees!$A$3:$A$500,$H$3:$H$500,"Approved",$D$3:$D$500,"&lt;="&amp;E134,$E$3:$E$500,"&gt;="&amp;D134,$A$3:$A$500,"&lt;&gt;"&amp;A134)=0)),0))</f>
        <v/>
      </c>
      <c r="M134">
        <f>IF(B134="","",IFERROR(SUMPRODUCT((LEN(Employees!$A$3:$A$500)&gt;0)*(Employees!$U$3:$U$500=1)*(COUNTIFS($B$3:$B$500,Employees!$A$3:$A$500,$H$3:$H$500,"Approved",$D$3:$D$500,"&lt;="&amp;E134,$E$3:$E$500,"&gt;="&amp;D134,$A$3:$A$500,"&lt;&gt;"&amp;A134)=0)),0))</f>
        <v/>
      </c>
      <c r="N134">
        <f>IF(B134="","",IFERROR(SUMPRODUCT((LEN(Employees!$A$3:$A$500)&gt;0)*(Employees!$B$3:$B$500="Manager")*(Employees!$U$3:$U$500=1)*(COUNTIFS($B$3:$B$500,Employees!$A$3:$A$500,$H$3:$H$500,"Approved",$D$3:$D$500,"&lt;="&amp;E134,$E$3:$E$500,"&gt;="&amp;D134,$A$3:$A$500,"&lt;&gt;"&amp;A134)=0)),0))</f>
        <v/>
      </c>
      <c r="O134">
        <f>IF(B134="","",IFERROR(SUMPRODUCT((LEN(Employees!$A$3:$A$500)&gt;0)*(Employees!$V$3:$V$500=1)*(COUNTIFS($B$3:$B$500,Employees!$A$3:$A$500,$H$3:$H$500,"Approved",$D$3:$D$500,"&lt;="&amp;E134,$E$3:$E$500,"&gt;="&amp;D134,$A$3:$A$500,"&lt;&gt;"&amp;A134)=0)),0))</f>
        <v/>
      </c>
      <c r="P134">
        <f>IF(B134="","",IFERROR(SUMPRODUCT((LEN(Employees!$A$3:$A$500)&gt;0)*(Employees!$W$3:$W$500=1)*(COUNTIFS($B$3:$B$500,Employees!$A$3:$A$500,$H$3:$H$500,"Approved",$D$3:$D$500,"&lt;="&amp;E134,$E$3:$E$500,"&gt;="&amp;D134,$A$3:$A$500,"&lt;&gt;"&amp;A134)=0)),0))</f>
        <v/>
      </c>
      <c r="Q134">
        <f>IF(B134="","",IFERROR(SUMPRODUCT((LEN(Employees!$A$3:$A$500)&gt;0)*(Employees!$N$3:$N$500=1)*(COUNTIFS($B$3:$B$500,Employees!$A$3:$A$500,$H$3:$H$500,"Approved",$D$3:$D$500,"&lt;="&amp;E134,$E$3:$E$500,"&gt;="&amp;D134,$A$3:$A$500,"&lt;&gt;"&amp;A134)&gt;0)),0))</f>
        <v/>
      </c>
      <c r="R134">
        <f>IF(B134="","",IFERROR(SUMPRODUCT((LEN(Employees!$A$3:$A$500)&gt;0)*(Employees!$O$3:$O$500=1)*(COUNTIFS($B$3:$B$500,Employees!$A$3:$A$500,$H$3:$H$500,"Approved",$D$3:$D$500,"&lt;="&amp;E134,$E$3:$E$500,"&gt;="&amp;D134,$A$3:$A$500,"&lt;&gt;"&amp;A134)&gt;0)),0))</f>
        <v/>
      </c>
      <c r="S134">
        <f>IF(OR(B134="",IFERROR(XLOOKUP(B134,Employees!$A$3:$A$500,Employees!$G$3:$G$500,""),"")=""),"",IFERROR(SUMPRODUCT((LEN(Employees!$A$3:$A$500)&gt;0)*(Employees!$G$3:$G$500=IFERROR(XLOOKUP(B134,Employees!$A$3:$A$500,Employees!$G$3:$G$500,""),""))*(COUNTIFS($B$3:$B$500,Employees!$A$3:$A$500,$H$3:$H$500,"Approved",$D$3:$D$500,"&lt;="&amp;E134,$E$3:$E$500,"&gt;="&amp;D134,$A$3:$A$500,"&lt;&gt;"&amp;A134)&gt;0)),0))</f>
        <v/>
      </c>
    </row>
    <row r="135">
      <c r="C135">
        <f>IFERROR(XLOOKUP(B135,Employees!$A$3:$A$500,Employees!$B$3:$B$500,""),"")</f>
        <v/>
      </c>
      <c r="I135">
        <f>IF(AND(B135&lt;&gt;"",D135&lt;&gt;"",E135&lt;&gt;""),E135-D135+1,"")</f>
        <v/>
      </c>
      <c r="J135">
        <f>IF(OR(B135="",D135="",E135=""),"",IF(OR(L135&lt;'Coverage Rules'!E7,M135&lt;'Coverage Rules'!E8,N135&lt;'Coverage Rules'!C8,O135&lt;'Coverage Rules'!E9,P135&lt;'Coverage Rules'!E10,Q135&gt;='Coverage Rules'!B16,R135&gt;='Coverage Rules'!B17,IF(S135="",FALSE,S135&gt;='Coverage Rules'!D24)),"Denied","OK"))</f>
        <v/>
      </c>
      <c r="L135">
        <f>IF(B135="","",IFERROR(SUMPRODUCT((LEN(Employees!$A$3:$A$500)&gt;0)*(Employees!$T$3:$T$500=1)*(COUNTIFS($B$3:$B$500,Employees!$A$3:$A$500,$H$3:$H$500,"Approved",$D$3:$D$500,"&lt;="&amp;E135,$E$3:$E$500,"&gt;="&amp;D135,$A$3:$A$500,"&lt;&gt;"&amp;A135)=0)),0))</f>
        <v/>
      </c>
      <c r="M135">
        <f>IF(B135="","",IFERROR(SUMPRODUCT((LEN(Employees!$A$3:$A$500)&gt;0)*(Employees!$U$3:$U$500=1)*(COUNTIFS($B$3:$B$500,Employees!$A$3:$A$500,$H$3:$H$500,"Approved",$D$3:$D$500,"&lt;="&amp;E135,$E$3:$E$500,"&gt;="&amp;D135,$A$3:$A$500,"&lt;&gt;"&amp;A135)=0)),0))</f>
        <v/>
      </c>
      <c r="N135">
        <f>IF(B135="","",IFERROR(SUMPRODUCT((LEN(Employees!$A$3:$A$500)&gt;0)*(Employees!$B$3:$B$500="Manager")*(Employees!$U$3:$U$500=1)*(COUNTIFS($B$3:$B$500,Employees!$A$3:$A$500,$H$3:$H$500,"Approved",$D$3:$D$500,"&lt;="&amp;E135,$E$3:$E$500,"&gt;="&amp;D135,$A$3:$A$500,"&lt;&gt;"&amp;A135)=0)),0))</f>
        <v/>
      </c>
      <c r="O135">
        <f>IF(B135="","",IFERROR(SUMPRODUCT((LEN(Employees!$A$3:$A$500)&gt;0)*(Employees!$V$3:$V$500=1)*(COUNTIFS($B$3:$B$500,Employees!$A$3:$A$500,$H$3:$H$500,"Approved",$D$3:$D$500,"&lt;="&amp;E135,$E$3:$E$500,"&gt;="&amp;D135,$A$3:$A$500,"&lt;&gt;"&amp;A135)=0)),0))</f>
        <v/>
      </c>
      <c r="P135">
        <f>IF(B135="","",IFERROR(SUMPRODUCT((LEN(Employees!$A$3:$A$500)&gt;0)*(Employees!$W$3:$W$500=1)*(COUNTIFS($B$3:$B$500,Employees!$A$3:$A$500,$H$3:$H$500,"Approved",$D$3:$D$500,"&lt;="&amp;E135,$E$3:$E$500,"&gt;="&amp;D135,$A$3:$A$500,"&lt;&gt;"&amp;A135)=0)),0))</f>
        <v/>
      </c>
      <c r="Q135">
        <f>IF(B135="","",IFERROR(SUMPRODUCT((LEN(Employees!$A$3:$A$500)&gt;0)*(Employees!$N$3:$N$500=1)*(COUNTIFS($B$3:$B$500,Employees!$A$3:$A$500,$H$3:$H$500,"Approved",$D$3:$D$500,"&lt;="&amp;E135,$E$3:$E$500,"&gt;="&amp;D135,$A$3:$A$500,"&lt;&gt;"&amp;A135)&gt;0)),0))</f>
        <v/>
      </c>
      <c r="R135">
        <f>IF(B135="","",IFERROR(SUMPRODUCT((LEN(Employees!$A$3:$A$500)&gt;0)*(Employees!$O$3:$O$500=1)*(COUNTIFS($B$3:$B$500,Employees!$A$3:$A$500,$H$3:$H$500,"Approved",$D$3:$D$500,"&lt;="&amp;E135,$E$3:$E$500,"&gt;="&amp;D135,$A$3:$A$500,"&lt;&gt;"&amp;A135)&gt;0)),0))</f>
        <v/>
      </c>
      <c r="S135">
        <f>IF(OR(B135="",IFERROR(XLOOKUP(B135,Employees!$A$3:$A$500,Employees!$G$3:$G$500,""),"")=""),"",IFERROR(SUMPRODUCT((LEN(Employees!$A$3:$A$500)&gt;0)*(Employees!$G$3:$G$500=IFERROR(XLOOKUP(B135,Employees!$A$3:$A$500,Employees!$G$3:$G$500,""),""))*(COUNTIFS($B$3:$B$500,Employees!$A$3:$A$500,$H$3:$H$500,"Approved",$D$3:$D$500,"&lt;="&amp;E135,$E$3:$E$500,"&gt;="&amp;D135,$A$3:$A$500,"&lt;&gt;"&amp;A135)&gt;0)),0))</f>
        <v/>
      </c>
    </row>
    <row r="136">
      <c r="C136">
        <f>IFERROR(XLOOKUP(B136,Employees!$A$3:$A$500,Employees!$B$3:$B$500,""),"")</f>
        <v/>
      </c>
      <c r="I136">
        <f>IF(AND(B136&lt;&gt;"",D136&lt;&gt;"",E136&lt;&gt;""),E136-D136+1,"")</f>
        <v/>
      </c>
      <c r="J136">
        <f>IF(OR(B136="",D136="",E136=""),"",IF(OR(L136&lt;'Coverage Rules'!E7,M136&lt;'Coverage Rules'!E8,N136&lt;'Coverage Rules'!C8,O136&lt;'Coverage Rules'!E9,P136&lt;'Coverage Rules'!E10,Q136&gt;='Coverage Rules'!B16,R136&gt;='Coverage Rules'!B17,IF(S136="",FALSE,S136&gt;='Coverage Rules'!D24)),"Denied","OK"))</f>
        <v/>
      </c>
      <c r="L136">
        <f>IF(B136="","",IFERROR(SUMPRODUCT((LEN(Employees!$A$3:$A$500)&gt;0)*(Employees!$T$3:$T$500=1)*(COUNTIFS($B$3:$B$500,Employees!$A$3:$A$500,$H$3:$H$500,"Approved",$D$3:$D$500,"&lt;="&amp;E136,$E$3:$E$500,"&gt;="&amp;D136,$A$3:$A$500,"&lt;&gt;"&amp;A136)=0)),0))</f>
        <v/>
      </c>
      <c r="M136">
        <f>IF(B136="","",IFERROR(SUMPRODUCT((LEN(Employees!$A$3:$A$500)&gt;0)*(Employees!$U$3:$U$500=1)*(COUNTIFS($B$3:$B$500,Employees!$A$3:$A$500,$H$3:$H$500,"Approved",$D$3:$D$500,"&lt;="&amp;E136,$E$3:$E$500,"&gt;="&amp;D136,$A$3:$A$500,"&lt;&gt;"&amp;A136)=0)),0))</f>
        <v/>
      </c>
      <c r="N136">
        <f>IF(B136="","",IFERROR(SUMPRODUCT((LEN(Employees!$A$3:$A$500)&gt;0)*(Employees!$B$3:$B$500="Manager")*(Employees!$U$3:$U$500=1)*(COUNTIFS($B$3:$B$500,Employees!$A$3:$A$500,$H$3:$H$500,"Approved",$D$3:$D$500,"&lt;="&amp;E136,$E$3:$E$500,"&gt;="&amp;D136,$A$3:$A$500,"&lt;&gt;"&amp;A136)=0)),0))</f>
        <v/>
      </c>
      <c r="O136">
        <f>IF(B136="","",IFERROR(SUMPRODUCT((LEN(Employees!$A$3:$A$500)&gt;0)*(Employees!$V$3:$V$500=1)*(COUNTIFS($B$3:$B$500,Employees!$A$3:$A$500,$H$3:$H$500,"Approved",$D$3:$D$500,"&lt;="&amp;E136,$E$3:$E$500,"&gt;="&amp;D136,$A$3:$A$500,"&lt;&gt;"&amp;A136)=0)),0))</f>
        <v/>
      </c>
      <c r="P136">
        <f>IF(B136="","",IFERROR(SUMPRODUCT((LEN(Employees!$A$3:$A$500)&gt;0)*(Employees!$W$3:$W$500=1)*(COUNTIFS($B$3:$B$500,Employees!$A$3:$A$500,$H$3:$H$500,"Approved",$D$3:$D$500,"&lt;="&amp;E136,$E$3:$E$500,"&gt;="&amp;D136,$A$3:$A$500,"&lt;&gt;"&amp;A136)=0)),0))</f>
        <v/>
      </c>
      <c r="Q136">
        <f>IF(B136="","",IFERROR(SUMPRODUCT((LEN(Employees!$A$3:$A$500)&gt;0)*(Employees!$N$3:$N$500=1)*(COUNTIFS($B$3:$B$500,Employees!$A$3:$A$500,$H$3:$H$500,"Approved",$D$3:$D$500,"&lt;="&amp;E136,$E$3:$E$500,"&gt;="&amp;D136,$A$3:$A$500,"&lt;&gt;"&amp;A136)&gt;0)),0))</f>
        <v/>
      </c>
      <c r="R136">
        <f>IF(B136="","",IFERROR(SUMPRODUCT((LEN(Employees!$A$3:$A$500)&gt;0)*(Employees!$O$3:$O$500=1)*(COUNTIFS($B$3:$B$500,Employees!$A$3:$A$500,$H$3:$H$500,"Approved",$D$3:$D$500,"&lt;="&amp;E136,$E$3:$E$500,"&gt;="&amp;D136,$A$3:$A$500,"&lt;&gt;"&amp;A136)&gt;0)),0))</f>
        <v/>
      </c>
      <c r="S136">
        <f>IF(OR(B136="",IFERROR(XLOOKUP(B136,Employees!$A$3:$A$500,Employees!$G$3:$G$500,""),"")=""),"",IFERROR(SUMPRODUCT((LEN(Employees!$A$3:$A$500)&gt;0)*(Employees!$G$3:$G$500=IFERROR(XLOOKUP(B136,Employees!$A$3:$A$500,Employees!$G$3:$G$500,""),""))*(COUNTIFS($B$3:$B$500,Employees!$A$3:$A$500,$H$3:$H$500,"Approved",$D$3:$D$500,"&lt;="&amp;E136,$E$3:$E$500,"&gt;="&amp;D136,$A$3:$A$500,"&lt;&gt;"&amp;A136)&gt;0)),0))</f>
        <v/>
      </c>
    </row>
    <row r="137">
      <c r="C137">
        <f>IFERROR(XLOOKUP(B137,Employees!$A$3:$A$500,Employees!$B$3:$B$500,""),"")</f>
        <v/>
      </c>
      <c r="I137">
        <f>IF(AND(B137&lt;&gt;"",D137&lt;&gt;"",E137&lt;&gt;""),E137-D137+1,"")</f>
        <v/>
      </c>
      <c r="J137">
        <f>IF(OR(B137="",D137="",E137=""),"",IF(OR(L137&lt;'Coverage Rules'!E7,M137&lt;'Coverage Rules'!E8,N137&lt;'Coverage Rules'!C8,O137&lt;'Coverage Rules'!E9,P137&lt;'Coverage Rules'!E10,Q137&gt;='Coverage Rules'!B16,R137&gt;='Coverage Rules'!B17,IF(S137="",FALSE,S137&gt;='Coverage Rules'!D24)),"Denied","OK"))</f>
        <v/>
      </c>
      <c r="L137">
        <f>IF(B137="","",IFERROR(SUMPRODUCT((LEN(Employees!$A$3:$A$500)&gt;0)*(Employees!$T$3:$T$500=1)*(COUNTIFS($B$3:$B$500,Employees!$A$3:$A$500,$H$3:$H$500,"Approved",$D$3:$D$500,"&lt;="&amp;E137,$E$3:$E$500,"&gt;="&amp;D137,$A$3:$A$500,"&lt;&gt;"&amp;A137)=0)),0))</f>
        <v/>
      </c>
      <c r="M137">
        <f>IF(B137="","",IFERROR(SUMPRODUCT((LEN(Employees!$A$3:$A$500)&gt;0)*(Employees!$U$3:$U$500=1)*(COUNTIFS($B$3:$B$500,Employees!$A$3:$A$500,$H$3:$H$500,"Approved",$D$3:$D$500,"&lt;="&amp;E137,$E$3:$E$500,"&gt;="&amp;D137,$A$3:$A$500,"&lt;&gt;"&amp;A137)=0)),0))</f>
        <v/>
      </c>
      <c r="N137">
        <f>IF(B137="","",IFERROR(SUMPRODUCT((LEN(Employees!$A$3:$A$500)&gt;0)*(Employees!$B$3:$B$500="Manager")*(Employees!$U$3:$U$500=1)*(COUNTIFS($B$3:$B$500,Employees!$A$3:$A$500,$H$3:$H$500,"Approved",$D$3:$D$500,"&lt;="&amp;E137,$E$3:$E$500,"&gt;="&amp;D137,$A$3:$A$500,"&lt;&gt;"&amp;A137)=0)),0))</f>
        <v/>
      </c>
      <c r="O137">
        <f>IF(B137="","",IFERROR(SUMPRODUCT((LEN(Employees!$A$3:$A$500)&gt;0)*(Employees!$V$3:$V$500=1)*(COUNTIFS($B$3:$B$500,Employees!$A$3:$A$500,$H$3:$H$500,"Approved",$D$3:$D$500,"&lt;="&amp;E137,$E$3:$E$500,"&gt;="&amp;D137,$A$3:$A$500,"&lt;&gt;"&amp;A137)=0)),0))</f>
        <v/>
      </c>
      <c r="P137">
        <f>IF(B137="","",IFERROR(SUMPRODUCT((LEN(Employees!$A$3:$A$500)&gt;0)*(Employees!$W$3:$W$500=1)*(COUNTIFS($B$3:$B$500,Employees!$A$3:$A$500,$H$3:$H$500,"Approved",$D$3:$D$500,"&lt;="&amp;E137,$E$3:$E$500,"&gt;="&amp;D137,$A$3:$A$500,"&lt;&gt;"&amp;A137)=0)),0))</f>
        <v/>
      </c>
      <c r="Q137">
        <f>IF(B137="","",IFERROR(SUMPRODUCT((LEN(Employees!$A$3:$A$500)&gt;0)*(Employees!$N$3:$N$500=1)*(COUNTIFS($B$3:$B$500,Employees!$A$3:$A$500,$H$3:$H$500,"Approved",$D$3:$D$500,"&lt;="&amp;E137,$E$3:$E$500,"&gt;="&amp;D137,$A$3:$A$500,"&lt;&gt;"&amp;A137)&gt;0)),0))</f>
        <v/>
      </c>
      <c r="R137">
        <f>IF(B137="","",IFERROR(SUMPRODUCT((LEN(Employees!$A$3:$A$500)&gt;0)*(Employees!$O$3:$O$500=1)*(COUNTIFS($B$3:$B$500,Employees!$A$3:$A$500,$H$3:$H$500,"Approved",$D$3:$D$500,"&lt;="&amp;E137,$E$3:$E$500,"&gt;="&amp;D137,$A$3:$A$500,"&lt;&gt;"&amp;A137)&gt;0)),0))</f>
        <v/>
      </c>
      <c r="S137">
        <f>IF(OR(B137="",IFERROR(XLOOKUP(B137,Employees!$A$3:$A$500,Employees!$G$3:$G$500,""),"")=""),"",IFERROR(SUMPRODUCT((LEN(Employees!$A$3:$A$500)&gt;0)*(Employees!$G$3:$G$500=IFERROR(XLOOKUP(B137,Employees!$A$3:$A$500,Employees!$G$3:$G$500,""),""))*(COUNTIFS($B$3:$B$500,Employees!$A$3:$A$500,$H$3:$H$500,"Approved",$D$3:$D$500,"&lt;="&amp;E137,$E$3:$E$500,"&gt;="&amp;D137,$A$3:$A$500,"&lt;&gt;"&amp;A137)&gt;0)),0))</f>
        <v/>
      </c>
    </row>
    <row r="138">
      <c r="C138">
        <f>IFERROR(XLOOKUP(B138,Employees!$A$3:$A$500,Employees!$B$3:$B$500,""),"")</f>
        <v/>
      </c>
      <c r="I138">
        <f>IF(AND(B138&lt;&gt;"",D138&lt;&gt;"",E138&lt;&gt;""),E138-D138+1,"")</f>
        <v/>
      </c>
      <c r="J138">
        <f>IF(OR(B138="",D138="",E138=""),"",IF(OR(L138&lt;'Coverage Rules'!E7,M138&lt;'Coverage Rules'!E8,N138&lt;'Coverage Rules'!C8,O138&lt;'Coverage Rules'!E9,P138&lt;'Coverage Rules'!E10,Q138&gt;='Coverage Rules'!B16,R138&gt;='Coverage Rules'!B17,IF(S138="",FALSE,S138&gt;='Coverage Rules'!D24)),"Denied","OK"))</f>
        <v/>
      </c>
      <c r="L138">
        <f>IF(B138="","",IFERROR(SUMPRODUCT((LEN(Employees!$A$3:$A$500)&gt;0)*(Employees!$T$3:$T$500=1)*(COUNTIFS($B$3:$B$500,Employees!$A$3:$A$500,$H$3:$H$500,"Approved",$D$3:$D$500,"&lt;="&amp;E138,$E$3:$E$500,"&gt;="&amp;D138,$A$3:$A$500,"&lt;&gt;"&amp;A138)=0)),0))</f>
        <v/>
      </c>
      <c r="M138">
        <f>IF(B138="","",IFERROR(SUMPRODUCT((LEN(Employees!$A$3:$A$500)&gt;0)*(Employees!$U$3:$U$500=1)*(COUNTIFS($B$3:$B$500,Employees!$A$3:$A$500,$H$3:$H$500,"Approved",$D$3:$D$500,"&lt;="&amp;E138,$E$3:$E$500,"&gt;="&amp;D138,$A$3:$A$500,"&lt;&gt;"&amp;A138)=0)),0))</f>
        <v/>
      </c>
      <c r="N138">
        <f>IF(B138="","",IFERROR(SUMPRODUCT((LEN(Employees!$A$3:$A$500)&gt;0)*(Employees!$B$3:$B$500="Manager")*(Employees!$U$3:$U$500=1)*(COUNTIFS($B$3:$B$500,Employees!$A$3:$A$500,$H$3:$H$500,"Approved",$D$3:$D$500,"&lt;="&amp;E138,$E$3:$E$500,"&gt;="&amp;D138,$A$3:$A$500,"&lt;&gt;"&amp;A138)=0)),0))</f>
        <v/>
      </c>
      <c r="O138">
        <f>IF(B138="","",IFERROR(SUMPRODUCT((LEN(Employees!$A$3:$A$500)&gt;0)*(Employees!$V$3:$V$500=1)*(COUNTIFS($B$3:$B$500,Employees!$A$3:$A$500,$H$3:$H$500,"Approved",$D$3:$D$500,"&lt;="&amp;E138,$E$3:$E$500,"&gt;="&amp;D138,$A$3:$A$500,"&lt;&gt;"&amp;A138)=0)),0))</f>
        <v/>
      </c>
      <c r="P138">
        <f>IF(B138="","",IFERROR(SUMPRODUCT((LEN(Employees!$A$3:$A$500)&gt;0)*(Employees!$W$3:$W$500=1)*(COUNTIFS($B$3:$B$500,Employees!$A$3:$A$500,$H$3:$H$500,"Approved",$D$3:$D$500,"&lt;="&amp;E138,$E$3:$E$500,"&gt;="&amp;D138,$A$3:$A$500,"&lt;&gt;"&amp;A138)=0)),0))</f>
        <v/>
      </c>
      <c r="Q138">
        <f>IF(B138="","",IFERROR(SUMPRODUCT((LEN(Employees!$A$3:$A$500)&gt;0)*(Employees!$N$3:$N$500=1)*(COUNTIFS($B$3:$B$500,Employees!$A$3:$A$500,$H$3:$H$500,"Approved",$D$3:$D$500,"&lt;="&amp;E138,$E$3:$E$500,"&gt;="&amp;D138,$A$3:$A$500,"&lt;&gt;"&amp;A138)&gt;0)),0))</f>
        <v/>
      </c>
      <c r="R138">
        <f>IF(B138="","",IFERROR(SUMPRODUCT((LEN(Employees!$A$3:$A$500)&gt;0)*(Employees!$O$3:$O$500=1)*(COUNTIFS($B$3:$B$500,Employees!$A$3:$A$500,$H$3:$H$500,"Approved",$D$3:$D$500,"&lt;="&amp;E138,$E$3:$E$500,"&gt;="&amp;D138,$A$3:$A$500,"&lt;&gt;"&amp;A138)&gt;0)),0))</f>
        <v/>
      </c>
      <c r="S138">
        <f>IF(OR(B138="",IFERROR(XLOOKUP(B138,Employees!$A$3:$A$500,Employees!$G$3:$G$500,""),"")=""),"",IFERROR(SUMPRODUCT((LEN(Employees!$A$3:$A$500)&gt;0)*(Employees!$G$3:$G$500=IFERROR(XLOOKUP(B138,Employees!$A$3:$A$500,Employees!$G$3:$G$500,""),""))*(COUNTIFS($B$3:$B$500,Employees!$A$3:$A$500,$H$3:$H$500,"Approved",$D$3:$D$500,"&lt;="&amp;E138,$E$3:$E$500,"&gt;="&amp;D138,$A$3:$A$500,"&lt;&gt;"&amp;A138)&gt;0)),0))</f>
        <v/>
      </c>
    </row>
    <row r="139">
      <c r="C139">
        <f>IFERROR(XLOOKUP(B139,Employees!$A$3:$A$500,Employees!$B$3:$B$500,""),"")</f>
        <v/>
      </c>
      <c r="I139">
        <f>IF(AND(B139&lt;&gt;"",D139&lt;&gt;"",E139&lt;&gt;""),E139-D139+1,"")</f>
        <v/>
      </c>
      <c r="J139">
        <f>IF(OR(B139="",D139="",E139=""),"",IF(OR(L139&lt;'Coverage Rules'!E7,M139&lt;'Coverage Rules'!E8,N139&lt;'Coverage Rules'!C8,O139&lt;'Coverage Rules'!E9,P139&lt;'Coverage Rules'!E10,Q139&gt;='Coverage Rules'!B16,R139&gt;='Coverage Rules'!B17,IF(S139="",FALSE,S139&gt;='Coverage Rules'!D24)),"Denied","OK"))</f>
        <v/>
      </c>
      <c r="L139">
        <f>IF(B139="","",IFERROR(SUMPRODUCT((LEN(Employees!$A$3:$A$500)&gt;0)*(Employees!$T$3:$T$500=1)*(COUNTIFS($B$3:$B$500,Employees!$A$3:$A$500,$H$3:$H$500,"Approved",$D$3:$D$500,"&lt;="&amp;E139,$E$3:$E$500,"&gt;="&amp;D139,$A$3:$A$500,"&lt;&gt;"&amp;A139)=0)),0))</f>
        <v/>
      </c>
      <c r="M139">
        <f>IF(B139="","",IFERROR(SUMPRODUCT((LEN(Employees!$A$3:$A$500)&gt;0)*(Employees!$U$3:$U$500=1)*(COUNTIFS($B$3:$B$500,Employees!$A$3:$A$500,$H$3:$H$500,"Approved",$D$3:$D$500,"&lt;="&amp;E139,$E$3:$E$500,"&gt;="&amp;D139,$A$3:$A$500,"&lt;&gt;"&amp;A139)=0)),0))</f>
        <v/>
      </c>
      <c r="N139">
        <f>IF(B139="","",IFERROR(SUMPRODUCT((LEN(Employees!$A$3:$A$500)&gt;0)*(Employees!$B$3:$B$500="Manager")*(Employees!$U$3:$U$500=1)*(COUNTIFS($B$3:$B$500,Employees!$A$3:$A$500,$H$3:$H$500,"Approved",$D$3:$D$500,"&lt;="&amp;E139,$E$3:$E$500,"&gt;="&amp;D139,$A$3:$A$500,"&lt;&gt;"&amp;A139)=0)),0))</f>
        <v/>
      </c>
      <c r="O139">
        <f>IF(B139="","",IFERROR(SUMPRODUCT((LEN(Employees!$A$3:$A$500)&gt;0)*(Employees!$V$3:$V$500=1)*(COUNTIFS($B$3:$B$500,Employees!$A$3:$A$500,$H$3:$H$500,"Approved",$D$3:$D$500,"&lt;="&amp;E139,$E$3:$E$500,"&gt;="&amp;D139,$A$3:$A$500,"&lt;&gt;"&amp;A139)=0)),0))</f>
        <v/>
      </c>
      <c r="P139">
        <f>IF(B139="","",IFERROR(SUMPRODUCT((LEN(Employees!$A$3:$A$500)&gt;0)*(Employees!$W$3:$W$500=1)*(COUNTIFS($B$3:$B$500,Employees!$A$3:$A$500,$H$3:$H$500,"Approved",$D$3:$D$500,"&lt;="&amp;E139,$E$3:$E$500,"&gt;="&amp;D139,$A$3:$A$500,"&lt;&gt;"&amp;A139)=0)),0))</f>
        <v/>
      </c>
      <c r="Q139">
        <f>IF(B139="","",IFERROR(SUMPRODUCT((LEN(Employees!$A$3:$A$500)&gt;0)*(Employees!$N$3:$N$500=1)*(COUNTIFS($B$3:$B$500,Employees!$A$3:$A$500,$H$3:$H$500,"Approved",$D$3:$D$500,"&lt;="&amp;E139,$E$3:$E$500,"&gt;="&amp;D139,$A$3:$A$500,"&lt;&gt;"&amp;A139)&gt;0)),0))</f>
        <v/>
      </c>
      <c r="R139">
        <f>IF(B139="","",IFERROR(SUMPRODUCT((LEN(Employees!$A$3:$A$500)&gt;0)*(Employees!$O$3:$O$500=1)*(COUNTIFS($B$3:$B$500,Employees!$A$3:$A$500,$H$3:$H$500,"Approved",$D$3:$D$500,"&lt;="&amp;E139,$E$3:$E$500,"&gt;="&amp;D139,$A$3:$A$500,"&lt;&gt;"&amp;A139)&gt;0)),0))</f>
        <v/>
      </c>
      <c r="S139">
        <f>IF(OR(B139="",IFERROR(XLOOKUP(B139,Employees!$A$3:$A$500,Employees!$G$3:$G$500,""),"")=""),"",IFERROR(SUMPRODUCT((LEN(Employees!$A$3:$A$500)&gt;0)*(Employees!$G$3:$G$500=IFERROR(XLOOKUP(B139,Employees!$A$3:$A$500,Employees!$G$3:$G$500,""),""))*(COUNTIFS($B$3:$B$500,Employees!$A$3:$A$500,$H$3:$H$500,"Approved",$D$3:$D$500,"&lt;="&amp;E139,$E$3:$E$500,"&gt;="&amp;D139,$A$3:$A$500,"&lt;&gt;"&amp;A139)&gt;0)),0))</f>
        <v/>
      </c>
    </row>
    <row r="140">
      <c r="C140">
        <f>IFERROR(XLOOKUP(B140,Employees!$A$3:$A$500,Employees!$B$3:$B$500,""),"")</f>
        <v/>
      </c>
      <c r="I140">
        <f>IF(AND(B140&lt;&gt;"",D140&lt;&gt;"",E140&lt;&gt;""),E140-D140+1,"")</f>
        <v/>
      </c>
      <c r="J140">
        <f>IF(OR(B140="",D140="",E140=""),"",IF(OR(L140&lt;'Coverage Rules'!E7,M140&lt;'Coverage Rules'!E8,N140&lt;'Coverage Rules'!C8,O140&lt;'Coverage Rules'!E9,P140&lt;'Coverage Rules'!E10,Q140&gt;='Coverage Rules'!B16,R140&gt;='Coverage Rules'!B17,IF(S140="",FALSE,S140&gt;='Coverage Rules'!D24)),"Denied","OK"))</f>
        <v/>
      </c>
      <c r="L140">
        <f>IF(B140="","",IFERROR(SUMPRODUCT((LEN(Employees!$A$3:$A$500)&gt;0)*(Employees!$T$3:$T$500=1)*(COUNTIFS($B$3:$B$500,Employees!$A$3:$A$500,$H$3:$H$500,"Approved",$D$3:$D$500,"&lt;="&amp;E140,$E$3:$E$500,"&gt;="&amp;D140,$A$3:$A$500,"&lt;&gt;"&amp;A140)=0)),0))</f>
        <v/>
      </c>
      <c r="M140">
        <f>IF(B140="","",IFERROR(SUMPRODUCT((LEN(Employees!$A$3:$A$500)&gt;0)*(Employees!$U$3:$U$500=1)*(COUNTIFS($B$3:$B$500,Employees!$A$3:$A$500,$H$3:$H$500,"Approved",$D$3:$D$500,"&lt;="&amp;E140,$E$3:$E$500,"&gt;="&amp;D140,$A$3:$A$500,"&lt;&gt;"&amp;A140)=0)),0))</f>
        <v/>
      </c>
      <c r="N140">
        <f>IF(B140="","",IFERROR(SUMPRODUCT((LEN(Employees!$A$3:$A$500)&gt;0)*(Employees!$B$3:$B$500="Manager")*(Employees!$U$3:$U$500=1)*(COUNTIFS($B$3:$B$500,Employees!$A$3:$A$500,$H$3:$H$500,"Approved",$D$3:$D$500,"&lt;="&amp;E140,$E$3:$E$500,"&gt;="&amp;D140,$A$3:$A$500,"&lt;&gt;"&amp;A140)=0)),0))</f>
        <v/>
      </c>
      <c r="O140">
        <f>IF(B140="","",IFERROR(SUMPRODUCT((LEN(Employees!$A$3:$A$500)&gt;0)*(Employees!$V$3:$V$500=1)*(COUNTIFS($B$3:$B$500,Employees!$A$3:$A$500,$H$3:$H$500,"Approved",$D$3:$D$500,"&lt;="&amp;E140,$E$3:$E$500,"&gt;="&amp;D140,$A$3:$A$500,"&lt;&gt;"&amp;A140)=0)),0))</f>
        <v/>
      </c>
      <c r="P140">
        <f>IF(B140="","",IFERROR(SUMPRODUCT((LEN(Employees!$A$3:$A$500)&gt;0)*(Employees!$W$3:$W$500=1)*(COUNTIFS($B$3:$B$500,Employees!$A$3:$A$500,$H$3:$H$500,"Approved",$D$3:$D$500,"&lt;="&amp;E140,$E$3:$E$500,"&gt;="&amp;D140,$A$3:$A$500,"&lt;&gt;"&amp;A140)=0)),0))</f>
        <v/>
      </c>
      <c r="Q140">
        <f>IF(B140="","",IFERROR(SUMPRODUCT((LEN(Employees!$A$3:$A$500)&gt;0)*(Employees!$N$3:$N$500=1)*(COUNTIFS($B$3:$B$500,Employees!$A$3:$A$500,$H$3:$H$500,"Approved",$D$3:$D$500,"&lt;="&amp;E140,$E$3:$E$500,"&gt;="&amp;D140,$A$3:$A$500,"&lt;&gt;"&amp;A140)&gt;0)),0))</f>
        <v/>
      </c>
      <c r="R140">
        <f>IF(B140="","",IFERROR(SUMPRODUCT((LEN(Employees!$A$3:$A$500)&gt;0)*(Employees!$O$3:$O$500=1)*(COUNTIFS($B$3:$B$500,Employees!$A$3:$A$500,$H$3:$H$500,"Approved",$D$3:$D$500,"&lt;="&amp;E140,$E$3:$E$500,"&gt;="&amp;D140,$A$3:$A$500,"&lt;&gt;"&amp;A140)&gt;0)),0))</f>
        <v/>
      </c>
      <c r="S140">
        <f>IF(OR(B140="",IFERROR(XLOOKUP(B140,Employees!$A$3:$A$500,Employees!$G$3:$G$500,""),"")=""),"",IFERROR(SUMPRODUCT((LEN(Employees!$A$3:$A$500)&gt;0)*(Employees!$G$3:$G$500=IFERROR(XLOOKUP(B140,Employees!$A$3:$A$500,Employees!$G$3:$G$500,""),""))*(COUNTIFS($B$3:$B$500,Employees!$A$3:$A$500,$H$3:$H$500,"Approved",$D$3:$D$500,"&lt;="&amp;E140,$E$3:$E$500,"&gt;="&amp;D140,$A$3:$A$500,"&lt;&gt;"&amp;A140)&gt;0)),0))</f>
        <v/>
      </c>
    </row>
    <row r="141">
      <c r="C141">
        <f>IFERROR(XLOOKUP(B141,Employees!$A$3:$A$500,Employees!$B$3:$B$500,""),"")</f>
        <v/>
      </c>
      <c r="I141">
        <f>IF(AND(B141&lt;&gt;"",D141&lt;&gt;"",E141&lt;&gt;""),E141-D141+1,"")</f>
        <v/>
      </c>
      <c r="J141">
        <f>IF(OR(B141="",D141="",E141=""),"",IF(OR(L141&lt;'Coverage Rules'!E7,M141&lt;'Coverage Rules'!E8,N141&lt;'Coverage Rules'!C8,O141&lt;'Coverage Rules'!E9,P141&lt;'Coverage Rules'!E10,Q141&gt;='Coverage Rules'!B16,R141&gt;='Coverage Rules'!B17,IF(S141="",FALSE,S141&gt;='Coverage Rules'!D24)),"Denied","OK"))</f>
        <v/>
      </c>
      <c r="L141">
        <f>IF(B141="","",IFERROR(SUMPRODUCT((LEN(Employees!$A$3:$A$500)&gt;0)*(Employees!$T$3:$T$500=1)*(COUNTIFS($B$3:$B$500,Employees!$A$3:$A$500,$H$3:$H$500,"Approved",$D$3:$D$500,"&lt;="&amp;E141,$E$3:$E$500,"&gt;="&amp;D141,$A$3:$A$500,"&lt;&gt;"&amp;A141)=0)),0))</f>
        <v/>
      </c>
      <c r="M141">
        <f>IF(B141="","",IFERROR(SUMPRODUCT((LEN(Employees!$A$3:$A$500)&gt;0)*(Employees!$U$3:$U$500=1)*(COUNTIFS($B$3:$B$500,Employees!$A$3:$A$500,$H$3:$H$500,"Approved",$D$3:$D$500,"&lt;="&amp;E141,$E$3:$E$500,"&gt;="&amp;D141,$A$3:$A$500,"&lt;&gt;"&amp;A141)=0)),0))</f>
        <v/>
      </c>
      <c r="N141">
        <f>IF(B141="","",IFERROR(SUMPRODUCT((LEN(Employees!$A$3:$A$500)&gt;0)*(Employees!$B$3:$B$500="Manager")*(Employees!$U$3:$U$500=1)*(COUNTIFS($B$3:$B$500,Employees!$A$3:$A$500,$H$3:$H$500,"Approved",$D$3:$D$500,"&lt;="&amp;E141,$E$3:$E$500,"&gt;="&amp;D141,$A$3:$A$500,"&lt;&gt;"&amp;A141)=0)),0))</f>
        <v/>
      </c>
      <c r="O141">
        <f>IF(B141="","",IFERROR(SUMPRODUCT((LEN(Employees!$A$3:$A$500)&gt;0)*(Employees!$V$3:$V$500=1)*(COUNTIFS($B$3:$B$500,Employees!$A$3:$A$500,$H$3:$H$500,"Approved",$D$3:$D$500,"&lt;="&amp;E141,$E$3:$E$500,"&gt;="&amp;D141,$A$3:$A$500,"&lt;&gt;"&amp;A141)=0)),0))</f>
        <v/>
      </c>
      <c r="P141">
        <f>IF(B141="","",IFERROR(SUMPRODUCT((LEN(Employees!$A$3:$A$500)&gt;0)*(Employees!$W$3:$W$500=1)*(COUNTIFS($B$3:$B$500,Employees!$A$3:$A$500,$H$3:$H$500,"Approved",$D$3:$D$500,"&lt;="&amp;E141,$E$3:$E$500,"&gt;="&amp;D141,$A$3:$A$500,"&lt;&gt;"&amp;A141)=0)),0))</f>
        <v/>
      </c>
      <c r="Q141">
        <f>IF(B141="","",IFERROR(SUMPRODUCT((LEN(Employees!$A$3:$A$500)&gt;0)*(Employees!$N$3:$N$500=1)*(COUNTIFS($B$3:$B$500,Employees!$A$3:$A$500,$H$3:$H$500,"Approved",$D$3:$D$500,"&lt;="&amp;E141,$E$3:$E$500,"&gt;="&amp;D141,$A$3:$A$500,"&lt;&gt;"&amp;A141)&gt;0)),0))</f>
        <v/>
      </c>
      <c r="R141">
        <f>IF(B141="","",IFERROR(SUMPRODUCT((LEN(Employees!$A$3:$A$500)&gt;0)*(Employees!$O$3:$O$500=1)*(COUNTIFS($B$3:$B$500,Employees!$A$3:$A$500,$H$3:$H$500,"Approved",$D$3:$D$500,"&lt;="&amp;E141,$E$3:$E$500,"&gt;="&amp;D141,$A$3:$A$500,"&lt;&gt;"&amp;A141)&gt;0)),0))</f>
        <v/>
      </c>
      <c r="S141">
        <f>IF(OR(B141="",IFERROR(XLOOKUP(B141,Employees!$A$3:$A$500,Employees!$G$3:$G$500,""),"")=""),"",IFERROR(SUMPRODUCT((LEN(Employees!$A$3:$A$500)&gt;0)*(Employees!$G$3:$G$500=IFERROR(XLOOKUP(B141,Employees!$A$3:$A$500,Employees!$G$3:$G$500,""),""))*(COUNTIFS($B$3:$B$500,Employees!$A$3:$A$500,$H$3:$H$500,"Approved",$D$3:$D$500,"&lt;="&amp;E141,$E$3:$E$500,"&gt;="&amp;D141,$A$3:$A$500,"&lt;&gt;"&amp;A141)&gt;0)),0))</f>
        <v/>
      </c>
    </row>
    <row r="142">
      <c r="C142">
        <f>IFERROR(XLOOKUP(B142,Employees!$A$3:$A$500,Employees!$B$3:$B$500,""),"")</f>
        <v/>
      </c>
      <c r="I142">
        <f>IF(AND(B142&lt;&gt;"",D142&lt;&gt;"",E142&lt;&gt;""),E142-D142+1,"")</f>
        <v/>
      </c>
      <c r="J142">
        <f>IF(OR(B142="",D142="",E142=""),"",IF(OR(L142&lt;'Coverage Rules'!E7,M142&lt;'Coverage Rules'!E8,N142&lt;'Coverage Rules'!C8,O142&lt;'Coverage Rules'!E9,P142&lt;'Coverage Rules'!E10,Q142&gt;='Coverage Rules'!B16,R142&gt;='Coverage Rules'!B17,IF(S142="",FALSE,S142&gt;='Coverage Rules'!D24)),"Denied","OK"))</f>
        <v/>
      </c>
      <c r="L142">
        <f>IF(B142="","",IFERROR(SUMPRODUCT((LEN(Employees!$A$3:$A$500)&gt;0)*(Employees!$T$3:$T$500=1)*(COUNTIFS($B$3:$B$500,Employees!$A$3:$A$500,$H$3:$H$500,"Approved",$D$3:$D$500,"&lt;="&amp;E142,$E$3:$E$500,"&gt;="&amp;D142,$A$3:$A$500,"&lt;&gt;"&amp;A142)=0)),0))</f>
        <v/>
      </c>
      <c r="M142">
        <f>IF(B142="","",IFERROR(SUMPRODUCT((LEN(Employees!$A$3:$A$500)&gt;0)*(Employees!$U$3:$U$500=1)*(COUNTIFS($B$3:$B$500,Employees!$A$3:$A$500,$H$3:$H$500,"Approved",$D$3:$D$500,"&lt;="&amp;E142,$E$3:$E$500,"&gt;="&amp;D142,$A$3:$A$500,"&lt;&gt;"&amp;A142)=0)),0))</f>
        <v/>
      </c>
      <c r="N142">
        <f>IF(B142="","",IFERROR(SUMPRODUCT((LEN(Employees!$A$3:$A$500)&gt;0)*(Employees!$B$3:$B$500="Manager")*(Employees!$U$3:$U$500=1)*(COUNTIFS($B$3:$B$500,Employees!$A$3:$A$500,$H$3:$H$500,"Approved",$D$3:$D$500,"&lt;="&amp;E142,$E$3:$E$500,"&gt;="&amp;D142,$A$3:$A$500,"&lt;&gt;"&amp;A142)=0)),0))</f>
        <v/>
      </c>
      <c r="O142">
        <f>IF(B142="","",IFERROR(SUMPRODUCT((LEN(Employees!$A$3:$A$500)&gt;0)*(Employees!$V$3:$V$500=1)*(COUNTIFS($B$3:$B$500,Employees!$A$3:$A$500,$H$3:$H$500,"Approved",$D$3:$D$500,"&lt;="&amp;E142,$E$3:$E$500,"&gt;="&amp;D142,$A$3:$A$500,"&lt;&gt;"&amp;A142)=0)),0))</f>
        <v/>
      </c>
      <c r="P142">
        <f>IF(B142="","",IFERROR(SUMPRODUCT((LEN(Employees!$A$3:$A$500)&gt;0)*(Employees!$W$3:$W$500=1)*(COUNTIFS($B$3:$B$500,Employees!$A$3:$A$500,$H$3:$H$500,"Approved",$D$3:$D$500,"&lt;="&amp;E142,$E$3:$E$500,"&gt;="&amp;D142,$A$3:$A$500,"&lt;&gt;"&amp;A142)=0)),0))</f>
        <v/>
      </c>
      <c r="Q142">
        <f>IF(B142="","",IFERROR(SUMPRODUCT((LEN(Employees!$A$3:$A$500)&gt;0)*(Employees!$N$3:$N$500=1)*(COUNTIFS($B$3:$B$500,Employees!$A$3:$A$500,$H$3:$H$500,"Approved",$D$3:$D$500,"&lt;="&amp;E142,$E$3:$E$500,"&gt;="&amp;D142,$A$3:$A$500,"&lt;&gt;"&amp;A142)&gt;0)),0))</f>
        <v/>
      </c>
      <c r="R142">
        <f>IF(B142="","",IFERROR(SUMPRODUCT((LEN(Employees!$A$3:$A$500)&gt;0)*(Employees!$O$3:$O$500=1)*(COUNTIFS($B$3:$B$500,Employees!$A$3:$A$500,$H$3:$H$500,"Approved",$D$3:$D$500,"&lt;="&amp;E142,$E$3:$E$500,"&gt;="&amp;D142,$A$3:$A$500,"&lt;&gt;"&amp;A142)&gt;0)),0))</f>
        <v/>
      </c>
      <c r="S142">
        <f>IF(OR(B142="",IFERROR(XLOOKUP(B142,Employees!$A$3:$A$500,Employees!$G$3:$G$500,""),"")=""),"",IFERROR(SUMPRODUCT((LEN(Employees!$A$3:$A$500)&gt;0)*(Employees!$G$3:$G$500=IFERROR(XLOOKUP(B142,Employees!$A$3:$A$500,Employees!$G$3:$G$500,""),""))*(COUNTIFS($B$3:$B$500,Employees!$A$3:$A$500,$H$3:$H$500,"Approved",$D$3:$D$500,"&lt;="&amp;E142,$E$3:$E$500,"&gt;="&amp;D142,$A$3:$A$500,"&lt;&gt;"&amp;A142)&gt;0)),0))</f>
        <v/>
      </c>
    </row>
    <row r="143">
      <c r="C143">
        <f>IFERROR(XLOOKUP(B143,Employees!$A$3:$A$500,Employees!$B$3:$B$500,""),"")</f>
        <v/>
      </c>
      <c r="I143">
        <f>IF(AND(B143&lt;&gt;"",D143&lt;&gt;"",E143&lt;&gt;""),E143-D143+1,"")</f>
        <v/>
      </c>
      <c r="J143">
        <f>IF(OR(B143="",D143="",E143=""),"",IF(OR(L143&lt;'Coverage Rules'!E7,M143&lt;'Coverage Rules'!E8,N143&lt;'Coverage Rules'!C8,O143&lt;'Coverage Rules'!E9,P143&lt;'Coverage Rules'!E10,Q143&gt;='Coverage Rules'!B16,R143&gt;='Coverage Rules'!B17,IF(S143="",FALSE,S143&gt;='Coverage Rules'!D24)),"Denied","OK"))</f>
        <v/>
      </c>
      <c r="L143">
        <f>IF(B143="","",IFERROR(SUMPRODUCT((LEN(Employees!$A$3:$A$500)&gt;0)*(Employees!$T$3:$T$500=1)*(COUNTIFS($B$3:$B$500,Employees!$A$3:$A$500,$H$3:$H$500,"Approved",$D$3:$D$500,"&lt;="&amp;E143,$E$3:$E$500,"&gt;="&amp;D143,$A$3:$A$500,"&lt;&gt;"&amp;A143)=0)),0))</f>
        <v/>
      </c>
      <c r="M143">
        <f>IF(B143="","",IFERROR(SUMPRODUCT((LEN(Employees!$A$3:$A$500)&gt;0)*(Employees!$U$3:$U$500=1)*(COUNTIFS($B$3:$B$500,Employees!$A$3:$A$500,$H$3:$H$500,"Approved",$D$3:$D$500,"&lt;="&amp;E143,$E$3:$E$500,"&gt;="&amp;D143,$A$3:$A$500,"&lt;&gt;"&amp;A143)=0)),0))</f>
        <v/>
      </c>
      <c r="N143">
        <f>IF(B143="","",IFERROR(SUMPRODUCT((LEN(Employees!$A$3:$A$500)&gt;0)*(Employees!$B$3:$B$500="Manager")*(Employees!$U$3:$U$500=1)*(COUNTIFS($B$3:$B$500,Employees!$A$3:$A$500,$H$3:$H$500,"Approved",$D$3:$D$500,"&lt;="&amp;E143,$E$3:$E$500,"&gt;="&amp;D143,$A$3:$A$500,"&lt;&gt;"&amp;A143)=0)),0))</f>
        <v/>
      </c>
      <c r="O143">
        <f>IF(B143="","",IFERROR(SUMPRODUCT((LEN(Employees!$A$3:$A$500)&gt;0)*(Employees!$V$3:$V$500=1)*(COUNTIFS($B$3:$B$500,Employees!$A$3:$A$500,$H$3:$H$500,"Approved",$D$3:$D$500,"&lt;="&amp;E143,$E$3:$E$500,"&gt;="&amp;D143,$A$3:$A$500,"&lt;&gt;"&amp;A143)=0)),0))</f>
        <v/>
      </c>
      <c r="P143">
        <f>IF(B143="","",IFERROR(SUMPRODUCT((LEN(Employees!$A$3:$A$500)&gt;0)*(Employees!$W$3:$W$500=1)*(COUNTIFS($B$3:$B$500,Employees!$A$3:$A$500,$H$3:$H$500,"Approved",$D$3:$D$500,"&lt;="&amp;E143,$E$3:$E$500,"&gt;="&amp;D143,$A$3:$A$500,"&lt;&gt;"&amp;A143)=0)),0))</f>
        <v/>
      </c>
      <c r="Q143">
        <f>IF(B143="","",IFERROR(SUMPRODUCT((LEN(Employees!$A$3:$A$500)&gt;0)*(Employees!$N$3:$N$500=1)*(COUNTIFS($B$3:$B$500,Employees!$A$3:$A$500,$H$3:$H$500,"Approved",$D$3:$D$500,"&lt;="&amp;E143,$E$3:$E$500,"&gt;="&amp;D143,$A$3:$A$500,"&lt;&gt;"&amp;A143)&gt;0)),0))</f>
        <v/>
      </c>
      <c r="R143">
        <f>IF(B143="","",IFERROR(SUMPRODUCT((LEN(Employees!$A$3:$A$500)&gt;0)*(Employees!$O$3:$O$500=1)*(COUNTIFS($B$3:$B$500,Employees!$A$3:$A$500,$H$3:$H$500,"Approved",$D$3:$D$500,"&lt;="&amp;E143,$E$3:$E$500,"&gt;="&amp;D143,$A$3:$A$500,"&lt;&gt;"&amp;A143)&gt;0)),0))</f>
        <v/>
      </c>
      <c r="S143">
        <f>IF(OR(B143="",IFERROR(XLOOKUP(B143,Employees!$A$3:$A$500,Employees!$G$3:$G$500,""),"")=""),"",IFERROR(SUMPRODUCT((LEN(Employees!$A$3:$A$500)&gt;0)*(Employees!$G$3:$G$500=IFERROR(XLOOKUP(B143,Employees!$A$3:$A$500,Employees!$G$3:$G$500,""),""))*(COUNTIFS($B$3:$B$500,Employees!$A$3:$A$500,$H$3:$H$500,"Approved",$D$3:$D$500,"&lt;="&amp;E143,$E$3:$E$500,"&gt;="&amp;D143,$A$3:$A$500,"&lt;&gt;"&amp;A143)&gt;0)),0))</f>
        <v/>
      </c>
    </row>
    <row r="144">
      <c r="C144">
        <f>IFERROR(XLOOKUP(B144,Employees!$A$3:$A$500,Employees!$B$3:$B$500,""),"")</f>
        <v/>
      </c>
      <c r="I144">
        <f>IF(AND(B144&lt;&gt;"",D144&lt;&gt;"",E144&lt;&gt;""),E144-D144+1,"")</f>
        <v/>
      </c>
      <c r="J144">
        <f>IF(OR(B144="",D144="",E144=""),"",IF(OR(L144&lt;'Coverage Rules'!E7,M144&lt;'Coverage Rules'!E8,N144&lt;'Coverage Rules'!C8,O144&lt;'Coverage Rules'!E9,P144&lt;'Coverage Rules'!E10,Q144&gt;='Coverage Rules'!B16,R144&gt;='Coverage Rules'!B17,IF(S144="",FALSE,S144&gt;='Coverage Rules'!D24)),"Denied","OK"))</f>
        <v/>
      </c>
      <c r="L144">
        <f>IF(B144="","",IFERROR(SUMPRODUCT((LEN(Employees!$A$3:$A$500)&gt;0)*(Employees!$T$3:$T$500=1)*(COUNTIFS($B$3:$B$500,Employees!$A$3:$A$500,$H$3:$H$500,"Approved",$D$3:$D$500,"&lt;="&amp;E144,$E$3:$E$500,"&gt;="&amp;D144,$A$3:$A$500,"&lt;&gt;"&amp;A144)=0)),0))</f>
        <v/>
      </c>
      <c r="M144">
        <f>IF(B144="","",IFERROR(SUMPRODUCT((LEN(Employees!$A$3:$A$500)&gt;0)*(Employees!$U$3:$U$500=1)*(COUNTIFS($B$3:$B$500,Employees!$A$3:$A$500,$H$3:$H$500,"Approved",$D$3:$D$500,"&lt;="&amp;E144,$E$3:$E$500,"&gt;="&amp;D144,$A$3:$A$500,"&lt;&gt;"&amp;A144)=0)),0))</f>
        <v/>
      </c>
      <c r="N144">
        <f>IF(B144="","",IFERROR(SUMPRODUCT((LEN(Employees!$A$3:$A$500)&gt;0)*(Employees!$B$3:$B$500="Manager")*(Employees!$U$3:$U$500=1)*(COUNTIFS($B$3:$B$500,Employees!$A$3:$A$500,$H$3:$H$500,"Approved",$D$3:$D$500,"&lt;="&amp;E144,$E$3:$E$500,"&gt;="&amp;D144,$A$3:$A$500,"&lt;&gt;"&amp;A144)=0)),0))</f>
        <v/>
      </c>
      <c r="O144">
        <f>IF(B144="","",IFERROR(SUMPRODUCT((LEN(Employees!$A$3:$A$500)&gt;0)*(Employees!$V$3:$V$500=1)*(COUNTIFS($B$3:$B$500,Employees!$A$3:$A$500,$H$3:$H$500,"Approved",$D$3:$D$500,"&lt;="&amp;E144,$E$3:$E$500,"&gt;="&amp;D144,$A$3:$A$500,"&lt;&gt;"&amp;A144)=0)),0))</f>
        <v/>
      </c>
      <c r="P144">
        <f>IF(B144="","",IFERROR(SUMPRODUCT((LEN(Employees!$A$3:$A$500)&gt;0)*(Employees!$W$3:$W$500=1)*(COUNTIFS($B$3:$B$500,Employees!$A$3:$A$500,$H$3:$H$500,"Approved",$D$3:$D$500,"&lt;="&amp;E144,$E$3:$E$500,"&gt;="&amp;D144,$A$3:$A$500,"&lt;&gt;"&amp;A144)=0)),0))</f>
        <v/>
      </c>
      <c r="Q144">
        <f>IF(B144="","",IFERROR(SUMPRODUCT((LEN(Employees!$A$3:$A$500)&gt;0)*(Employees!$N$3:$N$500=1)*(COUNTIFS($B$3:$B$500,Employees!$A$3:$A$500,$H$3:$H$500,"Approved",$D$3:$D$500,"&lt;="&amp;E144,$E$3:$E$500,"&gt;="&amp;D144,$A$3:$A$500,"&lt;&gt;"&amp;A144)&gt;0)),0))</f>
        <v/>
      </c>
      <c r="R144">
        <f>IF(B144="","",IFERROR(SUMPRODUCT((LEN(Employees!$A$3:$A$500)&gt;0)*(Employees!$O$3:$O$500=1)*(COUNTIFS($B$3:$B$500,Employees!$A$3:$A$500,$H$3:$H$500,"Approved",$D$3:$D$500,"&lt;="&amp;E144,$E$3:$E$500,"&gt;="&amp;D144,$A$3:$A$500,"&lt;&gt;"&amp;A144)&gt;0)),0))</f>
        <v/>
      </c>
      <c r="S144">
        <f>IF(OR(B144="",IFERROR(XLOOKUP(B144,Employees!$A$3:$A$500,Employees!$G$3:$G$500,""),"")=""),"",IFERROR(SUMPRODUCT((LEN(Employees!$A$3:$A$500)&gt;0)*(Employees!$G$3:$G$500=IFERROR(XLOOKUP(B144,Employees!$A$3:$A$500,Employees!$G$3:$G$500,""),""))*(COUNTIFS($B$3:$B$500,Employees!$A$3:$A$500,$H$3:$H$500,"Approved",$D$3:$D$500,"&lt;="&amp;E144,$E$3:$E$500,"&gt;="&amp;D144,$A$3:$A$500,"&lt;&gt;"&amp;A144)&gt;0)),0))</f>
        <v/>
      </c>
    </row>
    <row r="145">
      <c r="C145">
        <f>IFERROR(XLOOKUP(B145,Employees!$A$3:$A$500,Employees!$B$3:$B$500,""),"")</f>
        <v/>
      </c>
      <c r="I145">
        <f>IF(AND(B145&lt;&gt;"",D145&lt;&gt;"",E145&lt;&gt;""),E145-D145+1,"")</f>
        <v/>
      </c>
      <c r="J145">
        <f>IF(OR(B145="",D145="",E145=""),"",IF(OR(L145&lt;'Coverage Rules'!E7,M145&lt;'Coverage Rules'!E8,N145&lt;'Coverage Rules'!C8,O145&lt;'Coverage Rules'!E9,P145&lt;'Coverage Rules'!E10,Q145&gt;='Coverage Rules'!B16,R145&gt;='Coverage Rules'!B17,IF(S145="",FALSE,S145&gt;='Coverage Rules'!D24)),"Denied","OK"))</f>
        <v/>
      </c>
      <c r="L145">
        <f>IF(B145="","",IFERROR(SUMPRODUCT((LEN(Employees!$A$3:$A$500)&gt;0)*(Employees!$T$3:$T$500=1)*(COUNTIFS($B$3:$B$500,Employees!$A$3:$A$500,$H$3:$H$500,"Approved",$D$3:$D$500,"&lt;="&amp;E145,$E$3:$E$500,"&gt;="&amp;D145,$A$3:$A$500,"&lt;&gt;"&amp;A145)=0)),0))</f>
        <v/>
      </c>
      <c r="M145">
        <f>IF(B145="","",IFERROR(SUMPRODUCT((LEN(Employees!$A$3:$A$500)&gt;0)*(Employees!$U$3:$U$500=1)*(COUNTIFS($B$3:$B$500,Employees!$A$3:$A$500,$H$3:$H$500,"Approved",$D$3:$D$500,"&lt;="&amp;E145,$E$3:$E$500,"&gt;="&amp;D145,$A$3:$A$500,"&lt;&gt;"&amp;A145)=0)),0))</f>
        <v/>
      </c>
      <c r="N145">
        <f>IF(B145="","",IFERROR(SUMPRODUCT((LEN(Employees!$A$3:$A$500)&gt;0)*(Employees!$B$3:$B$500="Manager")*(Employees!$U$3:$U$500=1)*(COUNTIFS($B$3:$B$500,Employees!$A$3:$A$500,$H$3:$H$500,"Approved",$D$3:$D$500,"&lt;="&amp;E145,$E$3:$E$500,"&gt;="&amp;D145,$A$3:$A$500,"&lt;&gt;"&amp;A145)=0)),0))</f>
        <v/>
      </c>
      <c r="O145">
        <f>IF(B145="","",IFERROR(SUMPRODUCT((LEN(Employees!$A$3:$A$500)&gt;0)*(Employees!$V$3:$V$500=1)*(COUNTIFS($B$3:$B$500,Employees!$A$3:$A$500,$H$3:$H$500,"Approved",$D$3:$D$500,"&lt;="&amp;E145,$E$3:$E$500,"&gt;="&amp;D145,$A$3:$A$500,"&lt;&gt;"&amp;A145)=0)),0))</f>
        <v/>
      </c>
      <c r="P145">
        <f>IF(B145="","",IFERROR(SUMPRODUCT((LEN(Employees!$A$3:$A$500)&gt;0)*(Employees!$W$3:$W$500=1)*(COUNTIFS($B$3:$B$500,Employees!$A$3:$A$500,$H$3:$H$500,"Approved",$D$3:$D$500,"&lt;="&amp;E145,$E$3:$E$500,"&gt;="&amp;D145,$A$3:$A$500,"&lt;&gt;"&amp;A145)=0)),0))</f>
        <v/>
      </c>
      <c r="Q145">
        <f>IF(B145="","",IFERROR(SUMPRODUCT((LEN(Employees!$A$3:$A$500)&gt;0)*(Employees!$N$3:$N$500=1)*(COUNTIFS($B$3:$B$500,Employees!$A$3:$A$500,$H$3:$H$500,"Approved",$D$3:$D$500,"&lt;="&amp;E145,$E$3:$E$500,"&gt;="&amp;D145,$A$3:$A$500,"&lt;&gt;"&amp;A145)&gt;0)),0))</f>
        <v/>
      </c>
      <c r="R145">
        <f>IF(B145="","",IFERROR(SUMPRODUCT((LEN(Employees!$A$3:$A$500)&gt;0)*(Employees!$O$3:$O$500=1)*(COUNTIFS($B$3:$B$500,Employees!$A$3:$A$500,$H$3:$H$500,"Approved",$D$3:$D$500,"&lt;="&amp;E145,$E$3:$E$500,"&gt;="&amp;D145,$A$3:$A$500,"&lt;&gt;"&amp;A145)&gt;0)),0))</f>
        <v/>
      </c>
      <c r="S145">
        <f>IF(OR(B145="",IFERROR(XLOOKUP(B145,Employees!$A$3:$A$500,Employees!$G$3:$G$500,""),"")=""),"",IFERROR(SUMPRODUCT((LEN(Employees!$A$3:$A$500)&gt;0)*(Employees!$G$3:$G$500=IFERROR(XLOOKUP(B145,Employees!$A$3:$A$500,Employees!$G$3:$G$500,""),""))*(COUNTIFS($B$3:$B$500,Employees!$A$3:$A$500,$H$3:$H$500,"Approved",$D$3:$D$500,"&lt;="&amp;E145,$E$3:$E$500,"&gt;="&amp;D145,$A$3:$A$500,"&lt;&gt;"&amp;A145)&gt;0)),0))</f>
        <v/>
      </c>
    </row>
    <row r="146">
      <c r="C146">
        <f>IFERROR(XLOOKUP(B146,Employees!$A$3:$A$500,Employees!$B$3:$B$500,""),"")</f>
        <v/>
      </c>
      <c r="I146">
        <f>IF(AND(B146&lt;&gt;"",D146&lt;&gt;"",E146&lt;&gt;""),E146-D146+1,"")</f>
        <v/>
      </c>
      <c r="J146">
        <f>IF(OR(B146="",D146="",E146=""),"",IF(OR(L146&lt;'Coverage Rules'!E7,M146&lt;'Coverage Rules'!E8,N146&lt;'Coverage Rules'!C8,O146&lt;'Coverage Rules'!E9,P146&lt;'Coverage Rules'!E10,Q146&gt;='Coverage Rules'!B16,R146&gt;='Coverage Rules'!B17,IF(S146="",FALSE,S146&gt;='Coverage Rules'!D24)),"Denied","OK"))</f>
        <v/>
      </c>
      <c r="L146">
        <f>IF(B146="","",IFERROR(SUMPRODUCT((LEN(Employees!$A$3:$A$500)&gt;0)*(Employees!$T$3:$T$500=1)*(COUNTIFS($B$3:$B$500,Employees!$A$3:$A$500,$H$3:$H$500,"Approved",$D$3:$D$500,"&lt;="&amp;E146,$E$3:$E$500,"&gt;="&amp;D146,$A$3:$A$500,"&lt;&gt;"&amp;A146)=0)),0))</f>
        <v/>
      </c>
      <c r="M146">
        <f>IF(B146="","",IFERROR(SUMPRODUCT((LEN(Employees!$A$3:$A$500)&gt;0)*(Employees!$U$3:$U$500=1)*(COUNTIFS($B$3:$B$500,Employees!$A$3:$A$500,$H$3:$H$500,"Approved",$D$3:$D$500,"&lt;="&amp;E146,$E$3:$E$500,"&gt;="&amp;D146,$A$3:$A$500,"&lt;&gt;"&amp;A146)=0)),0))</f>
        <v/>
      </c>
      <c r="N146">
        <f>IF(B146="","",IFERROR(SUMPRODUCT((LEN(Employees!$A$3:$A$500)&gt;0)*(Employees!$B$3:$B$500="Manager")*(Employees!$U$3:$U$500=1)*(COUNTIFS($B$3:$B$500,Employees!$A$3:$A$500,$H$3:$H$500,"Approved",$D$3:$D$500,"&lt;="&amp;E146,$E$3:$E$500,"&gt;="&amp;D146,$A$3:$A$500,"&lt;&gt;"&amp;A146)=0)),0))</f>
        <v/>
      </c>
      <c r="O146">
        <f>IF(B146="","",IFERROR(SUMPRODUCT((LEN(Employees!$A$3:$A$500)&gt;0)*(Employees!$V$3:$V$500=1)*(COUNTIFS($B$3:$B$500,Employees!$A$3:$A$500,$H$3:$H$500,"Approved",$D$3:$D$500,"&lt;="&amp;E146,$E$3:$E$500,"&gt;="&amp;D146,$A$3:$A$500,"&lt;&gt;"&amp;A146)=0)),0))</f>
        <v/>
      </c>
      <c r="P146">
        <f>IF(B146="","",IFERROR(SUMPRODUCT((LEN(Employees!$A$3:$A$500)&gt;0)*(Employees!$W$3:$W$500=1)*(COUNTIFS($B$3:$B$500,Employees!$A$3:$A$500,$H$3:$H$500,"Approved",$D$3:$D$500,"&lt;="&amp;E146,$E$3:$E$500,"&gt;="&amp;D146,$A$3:$A$500,"&lt;&gt;"&amp;A146)=0)),0))</f>
        <v/>
      </c>
      <c r="Q146">
        <f>IF(B146="","",IFERROR(SUMPRODUCT((LEN(Employees!$A$3:$A$500)&gt;0)*(Employees!$N$3:$N$500=1)*(COUNTIFS($B$3:$B$500,Employees!$A$3:$A$500,$H$3:$H$500,"Approved",$D$3:$D$500,"&lt;="&amp;E146,$E$3:$E$500,"&gt;="&amp;D146,$A$3:$A$500,"&lt;&gt;"&amp;A146)&gt;0)),0))</f>
        <v/>
      </c>
      <c r="R146">
        <f>IF(B146="","",IFERROR(SUMPRODUCT((LEN(Employees!$A$3:$A$500)&gt;0)*(Employees!$O$3:$O$500=1)*(COUNTIFS($B$3:$B$500,Employees!$A$3:$A$500,$H$3:$H$500,"Approved",$D$3:$D$500,"&lt;="&amp;E146,$E$3:$E$500,"&gt;="&amp;D146,$A$3:$A$500,"&lt;&gt;"&amp;A146)&gt;0)),0))</f>
        <v/>
      </c>
      <c r="S146">
        <f>IF(OR(B146="",IFERROR(XLOOKUP(B146,Employees!$A$3:$A$500,Employees!$G$3:$G$500,""),"")=""),"",IFERROR(SUMPRODUCT((LEN(Employees!$A$3:$A$500)&gt;0)*(Employees!$G$3:$G$500=IFERROR(XLOOKUP(B146,Employees!$A$3:$A$500,Employees!$G$3:$G$500,""),""))*(COUNTIFS($B$3:$B$500,Employees!$A$3:$A$500,$H$3:$H$500,"Approved",$D$3:$D$500,"&lt;="&amp;E146,$E$3:$E$500,"&gt;="&amp;D146,$A$3:$A$500,"&lt;&gt;"&amp;A146)&gt;0)),0))</f>
        <v/>
      </c>
    </row>
    <row r="147">
      <c r="C147">
        <f>IFERROR(XLOOKUP(B147,Employees!$A$3:$A$500,Employees!$B$3:$B$500,""),"")</f>
        <v/>
      </c>
      <c r="I147">
        <f>IF(AND(B147&lt;&gt;"",D147&lt;&gt;"",E147&lt;&gt;""),E147-D147+1,"")</f>
        <v/>
      </c>
      <c r="J147">
        <f>IF(OR(B147="",D147="",E147=""),"",IF(OR(L147&lt;'Coverage Rules'!E7,M147&lt;'Coverage Rules'!E8,N147&lt;'Coverage Rules'!C8,O147&lt;'Coverage Rules'!E9,P147&lt;'Coverage Rules'!E10,Q147&gt;='Coverage Rules'!B16,R147&gt;='Coverage Rules'!B17,IF(S147="",FALSE,S147&gt;='Coverage Rules'!D24)),"Denied","OK"))</f>
        <v/>
      </c>
      <c r="L147">
        <f>IF(B147="","",IFERROR(SUMPRODUCT((LEN(Employees!$A$3:$A$500)&gt;0)*(Employees!$T$3:$T$500=1)*(COUNTIFS($B$3:$B$500,Employees!$A$3:$A$500,$H$3:$H$500,"Approved",$D$3:$D$500,"&lt;="&amp;E147,$E$3:$E$500,"&gt;="&amp;D147,$A$3:$A$500,"&lt;&gt;"&amp;A147)=0)),0))</f>
        <v/>
      </c>
      <c r="M147">
        <f>IF(B147="","",IFERROR(SUMPRODUCT((LEN(Employees!$A$3:$A$500)&gt;0)*(Employees!$U$3:$U$500=1)*(COUNTIFS($B$3:$B$500,Employees!$A$3:$A$500,$H$3:$H$500,"Approved",$D$3:$D$500,"&lt;="&amp;E147,$E$3:$E$500,"&gt;="&amp;D147,$A$3:$A$500,"&lt;&gt;"&amp;A147)=0)),0))</f>
        <v/>
      </c>
      <c r="N147">
        <f>IF(B147="","",IFERROR(SUMPRODUCT((LEN(Employees!$A$3:$A$500)&gt;0)*(Employees!$B$3:$B$500="Manager")*(Employees!$U$3:$U$500=1)*(COUNTIFS($B$3:$B$500,Employees!$A$3:$A$500,$H$3:$H$500,"Approved",$D$3:$D$500,"&lt;="&amp;E147,$E$3:$E$500,"&gt;="&amp;D147,$A$3:$A$500,"&lt;&gt;"&amp;A147)=0)),0))</f>
        <v/>
      </c>
      <c r="O147">
        <f>IF(B147="","",IFERROR(SUMPRODUCT((LEN(Employees!$A$3:$A$500)&gt;0)*(Employees!$V$3:$V$500=1)*(COUNTIFS($B$3:$B$500,Employees!$A$3:$A$500,$H$3:$H$500,"Approved",$D$3:$D$500,"&lt;="&amp;E147,$E$3:$E$500,"&gt;="&amp;D147,$A$3:$A$500,"&lt;&gt;"&amp;A147)=0)),0))</f>
        <v/>
      </c>
      <c r="P147">
        <f>IF(B147="","",IFERROR(SUMPRODUCT((LEN(Employees!$A$3:$A$500)&gt;0)*(Employees!$W$3:$W$500=1)*(COUNTIFS($B$3:$B$500,Employees!$A$3:$A$500,$H$3:$H$500,"Approved",$D$3:$D$500,"&lt;="&amp;E147,$E$3:$E$500,"&gt;="&amp;D147,$A$3:$A$500,"&lt;&gt;"&amp;A147)=0)),0))</f>
        <v/>
      </c>
      <c r="Q147">
        <f>IF(B147="","",IFERROR(SUMPRODUCT((LEN(Employees!$A$3:$A$500)&gt;0)*(Employees!$N$3:$N$500=1)*(COUNTIFS($B$3:$B$500,Employees!$A$3:$A$500,$H$3:$H$500,"Approved",$D$3:$D$500,"&lt;="&amp;E147,$E$3:$E$500,"&gt;="&amp;D147,$A$3:$A$500,"&lt;&gt;"&amp;A147)&gt;0)),0))</f>
        <v/>
      </c>
      <c r="R147">
        <f>IF(B147="","",IFERROR(SUMPRODUCT((LEN(Employees!$A$3:$A$500)&gt;0)*(Employees!$O$3:$O$500=1)*(COUNTIFS($B$3:$B$500,Employees!$A$3:$A$500,$H$3:$H$500,"Approved",$D$3:$D$500,"&lt;="&amp;E147,$E$3:$E$500,"&gt;="&amp;D147,$A$3:$A$500,"&lt;&gt;"&amp;A147)&gt;0)),0))</f>
        <v/>
      </c>
      <c r="S147">
        <f>IF(OR(B147="",IFERROR(XLOOKUP(B147,Employees!$A$3:$A$500,Employees!$G$3:$G$500,""),"")=""),"",IFERROR(SUMPRODUCT((LEN(Employees!$A$3:$A$500)&gt;0)*(Employees!$G$3:$G$500=IFERROR(XLOOKUP(B147,Employees!$A$3:$A$500,Employees!$G$3:$G$500,""),""))*(COUNTIFS($B$3:$B$500,Employees!$A$3:$A$500,$H$3:$H$500,"Approved",$D$3:$D$500,"&lt;="&amp;E147,$E$3:$E$500,"&gt;="&amp;D147,$A$3:$A$500,"&lt;&gt;"&amp;A147)&gt;0)),0))</f>
        <v/>
      </c>
    </row>
    <row r="148">
      <c r="C148">
        <f>IFERROR(XLOOKUP(B148,Employees!$A$3:$A$500,Employees!$B$3:$B$500,""),"")</f>
        <v/>
      </c>
      <c r="I148">
        <f>IF(AND(B148&lt;&gt;"",D148&lt;&gt;"",E148&lt;&gt;""),E148-D148+1,"")</f>
        <v/>
      </c>
      <c r="J148">
        <f>IF(OR(B148="",D148="",E148=""),"",IF(OR(L148&lt;'Coverage Rules'!E7,M148&lt;'Coverage Rules'!E8,N148&lt;'Coverage Rules'!C8,O148&lt;'Coverage Rules'!E9,P148&lt;'Coverage Rules'!E10,Q148&gt;='Coverage Rules'!B16,R148&gt;='Coverage Rules'!B17,IF(S148="",FALSE,S148&gt;='Coverage Rules'!D24)),"Denied","OK"))</f>
        <v/>
      </c>
      <c r="L148">
        <f>IF(B148="","",IFERROR(SUMPRODUCT((LEN(Employees!$A$3:$A$500)&gt;0)*(Employees!$T$3:$T$500=1)*(COUNTIFS($B$3:$B$500,Employees!$A$3:$A$500,$H$3:$H$500,"Approved",$D$3:$D$500,"&lt;="&amp;E148,$E$3:$E$500,"&gt;="&amp;D148,$A$3:$A$500,"&lt;&gt;"&amp;A148)=0)),0))</f>
        <v/>
      </c>
      <c r="M148">
        <f>IF(B148="","",IFERROR(SUMPRODUCT((LEN(Employees!$A$3:$A$500)&gt;0)*(Employees!$U$3:$U$500=1)*(COUNTIFS($B$3:$B$500,Employees!$A$3:$A$500,$H$3:$H$500,"Approved",$D$3:$D$500,"&lt;="&amp;E148,$E$3:$E$500,"&gt;="&amp;D148,$A$3:$A$500,"&lt;&gt;"&amp;A148)=0)),0))</f>
        <v/>
      </c>
      <c r="N148">
        <f>IF(B148="","",IFERROR(SUMPRODUCT((LEN(Employees!$A$3:$A$500)&gt;0)*(Employees!$B$3:$B$500="Manager")*(Employees!$U$3:$U$500=1)*(COUNTIFS($B$3:$B$500,Employees!$A$3:$A$500,$H$3:$H$500,"Approved",$D$3:$D$500,"&lt;="&amp;E148,$E$3:$E$500,"&gt;="&amp;D148,$A$3:$A$500,"&lt;&gt;"&amp;A148)=0)),0))</f>
        <v/>
      </c>
      <c r="O148">
        <f>IF(B148="","",IFERROR(SUMPRODUCT((LEN(Employees!$A$3:$A$500)&gt;0)*(Employees!$V$3:$V$500=1)*(COUNTIFS($B$3:$B$500,Employees!$A$3:$A$500,$H$3:$H$500,"Approved",$D$3:$D$500,"&lt;="&amp;E148,$E$3:$E$500,"&gt;="&amp;D148,$A$3:$A$500,"&lt;&gt;"&amp;A148)=0)),0))</f>
        <v/>
      </c>
      <c r="P148">
        <f>IF(B148="","",IFERROR(SUMPRODUCT((LEN(Employees!$A$3:$A$500)&gt;0)*(Employees!$W$3:$W$500=1)*(COUNTIFS($B$3:$B$500,Employees!$A$3:$A$500,$H$3:$H$500,"Approved",$D$3:$D$500,"&lt;="&amp;E148,$E$3:$E$500,"&gt;="&amp;D148,$A$3:$A$500,"&lt;&gt;"&amp;A148)=0)),0))</f>
        <v/>
      </c>
      <c r="Q148">
        <f>IF(B148="","",IFERROR(SUMPRODUCT((LEN(Employees!$A$3:$A$500)&gt;0)*(Employees!$N$3:$N$500=1)*(COUNTIFS($B$3:$B$500,Employees!$A$3:$A$500,$H$3:$H$500,"Approved",$D$3:$D$500,"&lt;="&amp;E148,$E$3:$E$500,"&gt;="&amp;D148,$A$3:$A$500,"&lt;&gt;"&amp;A148)&gt;0)),0))</f>
        <v/>
      </c>
      <c r="R148">
        <f>IF(B148="","",IFERROR(SUMPRODUCT((LEN(Employees!$A$3:$A$500)&gt;0)*(Employees!$O$3:$O$500=1)*(COUNTIFS($B$3:$B$500,Employees!$A$3:$A$500,$H$3:$H$500,"Approved",$D$3:$D$500,"&lt;="&amp;E148,$E$3:$E$500,"&gt;="&amp;D148,$A$3:$A$500,"&lt;&gt;"&amp;A148)&gt;0)),0))</f>
        <v/>
      </c>
      <c r="S148">
        <f>IF(OR(B148="",IFERROR(XLOOKUP(B148,Employees!$A$3:$A$500,Employees!$G$3:$G$500,""),"")=""),"",IFERROR(SUMPRODUCT((LEN(Employees!$A$3:$A$500)&gt;0)*(Employees!$G$3:$G$500=IFERROR(XLOOKUP(B148,Employees!$A$3:$A$500,Employees!$G$3:$G$500,""),""))*(COUNTIFS($B$3:$B$500,Employees!$A$3:$A$500,$H$3:$H$500,"Approved",$D$3:$D$500,"&lt;="&amp;E148,$E$3:$E$500,"&gt;="&amp;D148,$A$3:$A$500,"&lt;&gt;"&amp;A148)&gt;0)),0))</f>
        <v/>
      </c>
    </row>
    <row r="149">
      <c r="C149">
        <f>IFERROR(XLOOKUP(B149,Employees!$A$3:$A$500,Employees!$B$3:$B$500,""),"")</f>
        <v/>
      </c>
      <c r="I149">
        <f>IF(AND(B149&lt;&gt;"",D149&lt;&gt;"",E149&lt;&gt;""),E149-D149+1,"")</f>
        <v/>
      </c>
      <c r="J149">
        <f>IF(OR(B149="",D149="",E149=""),"",IF(OR(L149&lt;'Coverage Rules'!E7,M149&lt;'Coverage Rules'!E8,N149&lt;'Coverage Rules'!C8,O149&lt;'Coverage Rules'!E9,P149&lt;'Coverage Rules'!E10,Q149&gt;='Coverage Rules'!B16,R149&gt;='Coverage Rules'!B17,IF(S149="",FALSE,S149&gt;='Coverage Rules'!D24)),"Denied","OK"))</f>
        <v/>
      </c>
      <c r="L149">
        <f>IF(B149="","",IFERROR(SUMPRODUCT((LEN(Employees!$A$3:$A$500)&gt;0)*(Employees!$T$3:$T$500=1)*(COUNTIFS($B$3:$B$500,Employees!$A$3:$A$500,$H$3:$H$500,"Approved",$D$3:$D$500,"&lt;="&amp;E149,$E$3:$E$500,"&gt;="&amp;D149,$A$3:$A$500,"&lt;&gt;"&amp;A149)=0)),0))</f>
        <v/>
      </c>
      <c r="M149">
        <f>IF(B149="","",IFERROR(SUMPRODUCT((LEN(Employees!$A$3:$A$500)&gt;0)*(Employees!$U$3:$U$500=1)*(COUNTIFS($B$3:$B$500,Employees!$A$3:$A$500,$H$3:$H$500,"Approved",$D$3:$D$500,"&lt;="&amp;E149,$E$3:$E$500,"&gt;="&amp;D149,$A$3:$A$500,"&lt;&gt;"&amp;A149)=0)),0))</f>
        <v/>
      </c>
      <c r="N149">
        <f>IF(B149="","",IFERROR(SUMPRODUCT((LEN(Employees!$A$3:$A$500)&gt;0)*(Employees!$B$3:$B$500="Manager")*(Employees!$U$3:$U$500=1)*(COUNTIFS($B$3:$B$500,Employees!$A$3:$A$500,$H$3:$H$500,"Approved",$D$3:$D$500,"&lt;="&amp;E149,$E$3:$E$500,"&gt;="&amp;D149,$A$3:$A$500,"&lt;&gt;"&amp;A149)=0)),0))</f>
        <v/>
      </c>
      <c r="O149">
        <f>IF(B149="","",IFERROR(SUMPRODUCT((LEN(Employees!$A$3:$A$500)&gt;0)*(Employees!$V$3:$V$500=1)*(COUNTIFS($B$3:$B$500,Employees!$A$3:$A$500,$H$3:$H$500,"Approved",$D$3:$D$500,"&lt;="&amp;E149,$E$3:$E$500,"&gt;="&amp;D149,$A$3:$A$500,"&lt;&gt;"&amp;A149)=0)),0))</f>
        <v/>
      </c>
      <c r="P149">
        <f>IF(B149="","",IFERROR(SUMPRODUCT((LEN(Employees!$A$3:$A$500)&gt;0)*(Employees!$W$3:$W$500=1)*(COUNTIFS($B$3:$B$500,Employees!$A$3:$A$500,$H$3:$H$500,"Approved",$D$3:$D$500,"&lt;="&amp;E149,$E$3:$E$500,"&gt;="&amp;D149,$A$3:$A$500,"&lt;&gt;"&amp;A149)=0)),0))</f>
        <v/>
      </c>
      <c r="Q149">
        <f>IF(B149="","",IFERROR(SUMPRODUCT((LEN(Employees!$A$3:$A$500)&gt;0)*(Employees!$N$3:$N$500=1)*(COUNTIFS($B$3:$B$500,Employees!$A$3:$A$500,$H$3:$H$500,"Approved",$D$3:$D$500,"&lt;="&amp;E149,$E$3:$E$500,"&gt;="&amp;D149,$A$3:$A$500,"&lt;&gt;"&amp;A149)&gt;0)),0))</f>
        <v/>
      </c>
      <c r="R149">
        <f>IF(B149="","",IFERROR(SUMPRODUCT((LEN(Employees!$A$3:$A$500)&gt;0)*(Employees!$O$3:$O$500=1)*(COUNTIFS($B$3:$B$500,Employees!$A$3:$A$500,$H$3:$H$500,"Approved",$D$3:$D$500,"&lt;="&amp;E149,$E$3:$E$500,"&gt;="&amp;D149,$A$3:$A$500,"&lt;&gt;"&amp;A149)&gt;0)),0))</f>
        <v/>
      </c>
      <c r="S149">
        <f>IF(OR(B149="",IFERROR(XLOOKUP(B149,Employees!$A$3:$A$500,Employees!$G$3:$G$500,""),"")=""),"",IFERROR(SUMPRODUCT((LEN(Employees!$A$3:$A$500)&gt;0)*(Employees!$G$3:$G$500=IFERROR(XLOOKUP(B149,Employees!$A$3:$A$500,Employees!$G$3:$G$500,""),""))*(COUNTIFS($B$3:$B$500,Employees!$A$3:$A$500,$H$3:$H$500,"Approved",$D$3:$D$500,"&lt;="&amp;E149,$E$3:$E$500,"&gt;="&amp;D149,$A$3:$A$500,"&lt;&gt;"&amp;A149)&gt;0)),0))</f>
        <v/>
      </c>
    </row>
    <row r="150">
      <c r="C150">
        <f>IFERROR(XLOOKUP(B150,Employees!$A$3:$A$500,Employees!$B$3:$B$500,""),"")</f>
        <v/>
      </c>
      <c r="I150">
        <f>IF(AND(B150&lt;&gt;"",D150&lt;&gt;"",E150&lt;&gt;""),E150-D150+1,"")</f>
        <v/>
      </c>
      <c r="J150">
        <f>IF(OR(B150="",D150="",E150=""),"",IF(OR(L150&lt;'Coverage Rules'!E7,M150&lt;'Coverage Rules'!E8,N150&lt;'Coverage Rules'!C8,O150&lt;'Coverage Rules'!E9,P150&lt;'Coverage Rules'!E10,Q150&gt;='Coverage Rules'!B16,R150&gt;='Coverage Rules'!B17,IF(S150="",FALSE,S150&gt;='Coverage Rules'!D24)),"Denied","OK"))</f>
        <v/>
      </c>
      <c r="L150">
        <f>IF(B150="","",IFERROR(SUMPRODUCT((LEN(Employees!$A$3:$A$500)&gt;0)*(Employees!$T$3:$T$500=1)*(COUNTIFS($B$3:$B$500,Employees!$A$3:$A$500,$H$3:$H$500,"Approved",$D$3:$D$500,"&lt;="&amp;E150,$E$3:$E$500,"&gt;="&amp;D150,$A$3:$A$500,"&lt;&gt;"&amp;A150)=0)),0))</f>
        <v/>
      </c>
      <c r="M150">
        <f>IF(B150="","",IFERROR(SUMPRODUCT((LEN(Employees!$A$3:$A$500)&gt;0)*(Employees!$U$3:$U$500=1)*(COUNTIFS($B$3:$B$500,Employees!$A$3:$A$500,$H$3:$H$500,"Approved",$D$3:$D$500,"&lt;="&amp;E150,$E$3:$E$500,"&gt;="&amp;D150,$A$3:$A$500,"&lt;&gt;"&amp;A150)=0)),0))</f>
        <v/>
      </c>
      <c r="N150">
        <f>IF(B150="","",IFERROR(SUMPRODUCT((LEN(Employees!$A$3:$A$500)&gt;0)*(Employees!$B$3:$B$500="Manager")*(Employees!$U$3:$U$500=1)*(COUNTIFS($B$3:$B$500,Employees!$A$3:$A$500,$H$3:$H$500,"Approved",$D$3:$D$500,"&lt;="&amp;E150,$E$3:$E$500,"&gt;="&amp;D150,$A$3:$A$500,"&lt;&gt;"&amp;A150)=0)),0))</f>
        <v/>
      </c>
      <c r="O150">
        <f>IF(B150="","",IFERROR(SUMPRODUCT((LEN(Employees!$A$3:$A$500)&gt;0)*(Employees!$V$3:$V$500=1)*(COUNTIFS($B$3:$B$500,Employees!$A$3:$A$500,$H$3:$H$500,"Approved",$D$3:$D$500,"&lt;="&amp;E150,$E$3:$E$500,"&gt;="&amp;D150,$A$3:$A$500,"&lt;&gt;"&amp;A150)=0)),0))</f>
        <v/>
      </c>
      <c r="P150">
        <f>IF(B150="","",IFERROR(SUMPRODUCT((LEN(Employees!$A$3:$A$500)&gt;0)*(Employees!$W$3:$W$500=1)*(COUNTIFS($B$3:$B$500,Employees!$A$3:$A$500,$H$3:$H$500,"Approved",$D$3:$D$500,"&lt;="&amp;E150,$E$3:$E$500,"&gt;="&amp;D150,$A$3:$A$500,"&lt;&gt;"&amp;A150)=0)),0))</f>
        <v/>
      </c>
      <c r="Q150">
        <f>IF(B150="","",IFERROR(SUMPRODUCT((LEN(Employees!$A$3:$A$500)&gt;0)*(Employees!$N$3:$N$500=1)*(COUNTIFS($B$3:$B$500,Employees!$A$3:$A$500,$H$3:$H$500,"Approved",$D$3:$D$500,"&lt;="&amp;E150,$E$3:$E$500,"&gt;="&amp;D150,$A$3:$A$500,"&lt;&gt;"&amp;A150)&gt;0)),0))</f>
        <v/>
      </c>
      <c r="R150">
        <f>IF(B150="","",IFERROR(SUMPRODUCT((LEN(Employees!$A$3:$A$500)&gt;0)*(Employees!$O$3:$O$500=1)*(COUNTIFS($B$3:$B$500,Employees!$A$3:$A$500,$H$3:$H$500,"Approved",$D$3:$D$500,"&lt;="&amp;E150,$E$3:$E$500,"&gt;="&amp;D150,$A$3:$A$500,"&lt;&gt;"&amp;A150)&gt;0)),0))</f>
        <v/>
      </c>
      <c r="S150">
        <f>IF(OR(B150="",IFERROR(XLOOKUP(B150,Employees!$A$3:$A$500,Employees!$G$3:$G$500,""),"")=""),"",IFERROR(SUMPRODUCT((LEN(Employees!$A$3:$A$500)&gt;0)*(Employees!$G$3:$G$500=IFERROR(XLOOKUP(B150,Employees!$A$3:$A$500,Employees!$G$3:$G$500,""),""))*(COUNTIFS($B$3:$B$500,Employees!$A$3:$A$500,$H$3:$H$500,"Approved",$D$3:$D$500,"&lt;="&amp;E150,$E$3:$E$500,"&gt;="&amp;D150,$A$3:$A$500,"&lt;&gt;"&amp;A150)&gt;0)),0))</f>
        <v/>
      </c>
    </row>
    <row r="151">
      <c r="C151">
        <f>IFERROR(XLOOKUP(B151,Employees!$A$3:$A$500,Employees!$B$3:$B$500,""),"")</f>
        <v/>
      </c>
      <c r="I151">
        <f>IF(AND(B151&lt;&gt;"",D151&lt;&gt;"",E151&lt;&gt;""),E151-D151+1,"")</f>
        <v/>
      </c>
      <c r="J151">
        <f>IF(OR(B151="",D151="",E151=""),"",IF(OR(L151&lt;'Coverage Rules'!E7,M151&lt;'Coverage Rules'!E8,N151&lt;'Coverage Rules'!C8,O151&lt;'Coverage Rules'!E9,P151&lt;'Coverage Rules'!E10,Q151&gt;='Coverage Rules'!B16,R151&gt;='Coverage Rules'!B17,IF(S151="",FALSE,S151&gt;='Coverage Rules'!D24)),"Denied","OK"))</f>
        <v/>
      </c>
      <c r="L151">
        <f>IF(B151="","",IFERROR(SUMPRODUCT((LEN(Employees!$A$3:$A$500)&gt;0)*(Employees!$T$3:$T$500=1)*(COUNTIFS($B$3:$B$500,Employees!$A$3:$A$500,$H$3:$H$500,"Approved",$D$3:$D$500,"&lt;="&amp;E151,$E$3:$E$500,"&gt;="&amp;D151,$A$3:$A$500,"&lt;&gt;"&amp;A151)=0)),0))</f>
        <v/>
      </c>
      <c r="M151">
        <f>IF(B151="","",IFERROR(SUMPRODUCT((LEN(Employees!$A$3:$A$500)&gt;0)*(Employees!$U$3:$U$500=1)*(COUNTIFS($B$3:$B$500,Employees!$A$3:$A$500,$H$3:$H$500,"Approved",$D$3:$D$500,"&lt;="&amp;E151,$E$3:$E$500,"&gt;="&amp;D151,$A$3:$A$500,"&lt;&gt;"&amp;A151)=0)),0))</f>
        <v/>
      </c>
      <c r="N151">
        <f>IF(B151="","",IFERROR(SUMPRODUCT((LEN(Employees!$A$3:$A$500)&gt;0)*(Employees!$B$3:$B$500="Manager")*(Employees!$U$3:$U$500=1)*(COUNTIFS($B$3:$B$500,Employees!$A$3:$A$500,$H$3:$H$500,"Approved",$D$3:$D$500,"&lt;="&amp;E151,$E$3:$E$500,"&gt;="&amp;D151,$A$3:$A$500,"&lt;&gt;"&amp;A151)=0)),0))</f>
        <v/>
      </c>
      <c r="O151">
        <f>IF(B151="","",IFERROR(SUMPRODUCT((LEN(Employees!$A$3:$A$500)&gt;0)*(Employees!$V$3:$V$500=1)*(COUNTIFS($B$3:$B$500,Employees!$A$3:$A$500,$H$3:$H$500,"Approved",$D$3:$D$500,"&lt;="&amp;E151,$E$3:$E$500,"&gt;="&amp;D151,$A$3:$A$500,"&lt;&gt;"&amp;A151)=0)),0))</f>
        <v/>
      </c>
      <c r="P151">
        <f>IF(B151="","",IFERROR(SUMPRODUCT((LEN(Employees!$A$3:$A$500)&gt;0)*(Employees!$W$3:$W$500=1)*(COUNTIFS($B$3:$B$500,Employees!$A$3:$A$500,$H$3:$H$500,"Approved",$D$3:$D$500,"&lt;="&amp;E151,$E$3:$E$500,"&gt;="&amp;D151,$A$3:$A$500,"&lt;&gt;"&amp;A151)=0)),0))</f>
        <v/>
      </c>
      <c r="Q151">
        <f>IF(B151="","",IFERROR(SUMPRODUCT((LEN(Employees!$A$3:$A$500)&gt;0)*(Employees!$N$3:$N$500=1)*(COUNTIFS($B$3:$B$500,Employees!$A$3:$A$500,$H$3:$H$500,"Approved",$D$3:$D$500,"&lt;="&amp;E151,$E$3:$E$500,"&gt;="&amp;D151,$A$3:$A$500,"&lt;&gt;"&amp;A151)&gt;0)),0))</f>
        <v/>
      </c>
      <c r="R151">
        <f>IF(B151="","",IFERROR(SUMPRODUCT((LEN(Employees!$A$3:$A$500)&gt;0)*(Employees!$O$3:$O$500=1)*(COUNTIFS($B$3:$B$500,Employees!$A$3:$A$500,$H$3:$H$500,"Approved",$D$3:$D$500,"&lt;="&amp;E151,$E$3:$E$500,"&gt;="&amp;D151,$A$3:$A$500,"&lt;&gt;"&amp;A151)&gt;0)),0))</f>
        <v/>
      </c>
      <c r="S151">
        <f>IF(OR(B151="",IFERROR(XLOOKUP(B151,Employees!$A$3:$A$500,Employees!$G$3:$G$500,""),"")=""),"",IFERROR(SUMPRODUCT((LEN(Employees!$A$3:$A$500)&gt;0)*(Employees!$G$3:$G$500=IFERROR(XLOOKUP(B151,Employees!$A$3:$A$500,Employees!$G$3:$G$500,""),""))*(COUNTIFS($B$3:$B$500,Employees!$A$3:$A$500,$H$3:$H$500,"Approved",$D$3:$D$500,"&lt;="&amp;E151,$E$3:$E$500,"&gt;="&amp;D151,$A$3:$A$500,"&lt;&gt;"&amp;A151)&gt;0)),0))</f>
        <v/>
      </c>
    </row>
    <row r="152">
      <c r="C152">
        <f>IFERROR(XLOOKUP(B152,Employees!$A$3:$A$500,Employees!$B$3:$B$500,""),"")</f>
        <v/>
      </c>
      <c r="I152">
        <f>IF(AND(B152&lt;&gt;"",D152&lt;&gt;"",E152&lt;&gt;""),E152-D152+1,"")</f>
        <v/>
      </c>
      <c r="J152">
        <f>IF(OR(B152="",D152="",E152=""),"",IF(OR(L152&lt;'Coverage Rules'!E7,M152&lt;'Coverage Rules'!E8,N152&lt;'Coverage Rules'!C8,O152&lt;'Coverage Rules'!E9,P152&lt;'Coverage Rules'!E10,Q152&gt;='Coverage Rules'!B16,R152&gt;='Coverage Rules'!B17,IF(S152="",FALSE,S152&gt;='Coverage Rules'!D24)),"Denied","OK"))</f>
        <v/>
      </c>
      <c r="L152">
        <f>IF(B152="","",IFERROR(SUMPRODUCT((LEN(Employees!$A$3:$A$500)&gt;0)*(Employees!$T$3:$T$500=1)*(COUNTIFS($B$3:$B$500,Employees!$A$3:$A$500,$H$3:$H$500,"Approved",$D$3:$D$500,"&lt;="&amp;E152,$E$3:$E$500,"&gt;="&amp;D152,$A$3:$A$500,"&lt;&gt;"&amp;A152)=0)),0))</f>
        <v/>
      </c>
      <c r="M152">
        <f>IF(B152="","",IFERROR(SUMPRODUCT((LEN(Employees!$A$3:$A$500)&gt;0)*(Employees!$U$3:$U$500=1)*(COUNTIFS($B$3:$B$500,Employees!$A$3:$A$500,$H$3:$H$500,"Approved",$D$3:$D$500,"&lt;="&amp;E152,$E$3:$E$500,"&gt;="&amp;D152,$A$3:$A$500,"&lt;&gt;"&amp;A152)=0)),0))</f>
        <v/>
      </c>
      <c r="N152">
        <f>IF(B152="","",IFERROR(SUMPRODUCT((LEN(Employees!$A$3:$A$500)&gt;0)*(Employees!$B$3:$B$500="Manager")*(Employees!$U$3:$U$500=1)*(COUNTIFS($B$3:$B$500,Employees!$A$3:$A$500,$H$3:$H$500,"Approved",$D$3:$D$500,"&lt;="&amp;E152,$E$3:$E$500,"&gt;="&amp;D152,$A$3:$A$500,"&lt;&gt;"&amp;A152)=0)),0))</f>
        <v/>
      </c>
      <c r="O152">
        <f>IF(B152="","",IFERROR(SUMPRODUCT((LEN(Employees!$A$3:$A$500)&gt;0)*(Employees!$V$3:$V$500=1)*(COUNTIFS($B$3:$B$500,Employees!$A$3:$A$500,$H$3:$H$500,"Approved",$D$3:$D$500,"&lt;="&amp;E152,$E$3:$E$500,"&gt;="&amp;D152,$A$3:$A$500,"&lt;&gt;"&amp;A152)=0)),0))</f>
        <v/>
      </c>
      <c r="P152">
        <f>IF(B152="","",IFERROR(SUMPRODUCT((LEN(Employees!$A$3:$A$500)&gt;0)*(Employees!$W$3:$W$500=1)*(COUNTIFS($B$3:$B$500,Employees!$A$3:$A$500,$H$3:$H$500,"Approved",$D$3:$D$500,"&lt;="&amp;E152,$E$3:$E$500,"&gt;="&amp;D152,$A$3:$A$500,"&lt;&gt;"&amp;A152)=0)),0))</f>
        <v/>
      </c>
      <c r="Q152">
        <f>IF(B152="","",IFERROR(SUMPRODUCT((LEN(Employees!$A$3:$A$500)&gt;0)*(Employees!$N$3:$N$500=1)*(COUNTIFS($B$3:$B$500,Employees!$A$3:$A$500,$H$3:$H$500,"Approved",$D$3:$D$500,"&lt;="&amp;E152,$E$3:$E$500,"&gt;="&amp;D152,$A$3:$A$500,"&lt;&gt;"&amp;A152)&gt;0)),0))</f>
        <v/>
      </c>
      <c r="R152">
        <f>IF(B152="","",IFERROR(SUMPRODUCT((LEN(Employees!$A$3:$A$500)&gt;0)*(Employees!$O$3:$O$500=1)*(COUNTIFS($B$3:$B$500,Employees!$A$3:$A$500,$H$3:$H$500,"Approved",$D$3:$D$500,"&lt;="&amp;E152,$E$3:$E$500,"&gt;="&amp;D152,$A$3:$A$500,"&lt;&gt;"&amp;A152)&gt;0)),0))</f>
        <v/>
      </c>
      <c r="S152">
        <f>IF(OR(B152="",IFERROR(XLOOKUP(B152,Employees!$A$3:$A$500,Employees!$G$3:$G$500,""),"")=""),"",IFERROR(SUMPRODUCT((LEN(Employees!$A$3:$A$500)&gt;0)*(Employees!$G$3:$G$500=IFERROR(XLOOKUP(B152,Employees!$A$3:$A$500,Employees!$G$3:$G$500,""),""))*(COUNTIFS($B$3:$B$500,Employees!$A$3:$A$500,$H$3:$H$500,"Approved",$D$3:$D$500,"&lt;="&amp;E152,$E$3:$E$500,"&gt;="&amp;D152,$A$3:$A$500,"&lt;&gt;"&amp;A152)&gt;0)),0))</f>
        <v/>
      </c>
    </row>
    <row r="153">
      <c r="C153">
        <f>IFERROR(XLOOKUP(B153,Employees!$A$3:$A$500,Employees!$B$3:$B$500,""),"")</f>
        <v/>
      </c>
      <c r="I153">
        <f>IF(AND(B153&lt;&gt;"",D153&lt;&gt;"",E153&lt;&gt;""),E153-D153+1,"")</f>
        <v/>
      </c>
      <c r="J153">
        <f>IF(OR(B153="",D153="",E153=""),"",IF(OR(L153&lt;'Coverage Rules'!E7,M153&lt;'Coverage Rules'!E8,N153&lt;'Coverage Rules'!C8,O153&lt;'Coverage Rules'!E9,P153&lt;'Coverage Rules'!E10,Q153&gt;='Coverage Rules'!B16,R153&gt;='Coverage Rules'!B17,IF(S153="",FALSE,S153&gt;='Coverage Rules'!D24)),"Denied","OK"))</f>
        <v/>
      </c>
      <c r="L153">
        <f>IF(B153="","",IFERROR(SUMPRODUCT((LEN(Employees!$A$3:$A$500)&gt;0)*(Employees!$T$3:$T$500=1)*(COUNTIFS($B$3:$B$500,Employees!$A$3:$A$500,$H$3:$H$500,"Approved",$D$3:$D$500,"&lt;="&amp;E153,$E$3:$E$500,"&gt;="&amp;D153,$A$3:$A$500,"&lt;&gt;"&amp;A153)=0)),0))</f>
        <v/>
      </c>
      <c r="M153">
        <f>IF(B153="","",IFERROR(SUMPRODUCT((LEN(Employees!$A$3:$A$500)&gt;0)*(Employees!$U$3:$U$500=1)*(COUNTIFS($B$3:$B$500,Employees!$A$3:$A$500,$H$3:$H$500,"Approved",$D$3:$D$500,"&lt;="&amp;E153,$E$3:$E$500,"&gt;="&amp;D153,$A$3:$A$500,"&lt;&gt;"&amp;A153)=0)),0))</f>
        <v/>
      </c>
      <c r="N153">
        <f>IF(B153="","",IFERROR(SUMPRODUCT((LEN(Employees!$A$3:$A$500)&gt;0)*(Employees!$B$3:$B$500="Manager")*(Employees!$U$3:$U$500=1)*(COUNTIFS($B$3:$B$500,Employees!$A$3:$A$500,$H$3:$H$500,"Approved",$D$3:$D$500,"&lt;="&amp;E153,$E$3:$E$500,"&gt;="&amp;D153,$A$3:$A$500,"&lt;&gt;"&amp;A153)=0)),0))</f>
        <v/>
      </c>
      <c r="O153">
        <f>IF(B153="","",IFERROR(SUMPRODUCT((LEN(Employees!$A$3:$A$500)&gt;0)*(Employees!$V$3:$V$500=1)*(COUNTIFS($B$3:$B$500,Employees!$A$3:$A$500,$H$3:$H$500,"Approved",$D$3:$D$500,"&lt;="&amp;E153,$E$3:$E$500,"&gt;="&amp;D153,$A$3:$A$500,"&lt;&gt;"&amp;A153)=0)),0))</f>
        <v/>
      </c>
      <c r="P153">
        <f>IF(B153="","",IFERROR(SUMPRODUCT((LEN(Employees!$A$3:$A$500)&gt;0)*(Employees!$W$3:$W$500=1)*(COUNTIFS($B$3:$B$500,Employees!$A$3:$A$500,$H$3:$H$500,"Approved",$D$3:$D$500,"&lt;="&amp;E153,$E$3:$E$500,"&gt;="&amp;D153,$A$3:$A$500,"&lt;&gt;"&amp;A153)=0)),0))</f>
        <v/>
      </c>
      <c r="Q153">
        <f>IF(B153="","",IFERROR(SUMPRODUCT((LEN(Employees!$A$3:$A$500)&gt;0)*(Employees!$N$3:$N$500=1)*(COUNTIFS($B$3:$B$500,Employees!$A$3:$A$500,$H$3:$H$500,"Approved",$D$3:$D$500,"&lt;="&amp;E153,$E$3:$E$500,"&gt;="&amp;D153,$A$3:$A$500,"&lt;&gt;"&amp;A153)&gt;0)),0))</f>
        <v/>
      </c>
      <c r="R153">
        <f>IF(B153="","",IFERROR(SUMPRODUCT((LEN(Employees!$A$3:$A$500)&gt;0)*(Employees!$O$3:$O$500=1)*(COUNTIFS($B$3:$B$500,Employees!$A$3:$A$500,$H$3:$H$500,"Approved",$D$3:$D$500,"&lt;="&amp;E153,$E$3:$E$500,"&gt;="&amp;D153,$A$3:$A$500,"&lt;&gt;"&amp;A153)&gt;0)),0))</f>
        <v/>
      </c>
      <c r="S153">
        <f>IF(OR(B153="",IFERROR(XLOOKUP(B153,Employees!$A$3:$A$500,Employees!$G$3:$G$500,""),"")=""),"",IFERROR(SUMPRODUCT((LEN(Employees!$A$3:$A$500)&gt;0)*(Employees!$G$3:$G$500=IFERROR(XLOOKUP(B153,Employees!$A$3:$A$500,Employees!$G$3:$G$500,""),""))*(COUNTIFS($B$3:$B$500,Employees!$A$3:$A$500,$H$3:$H$500,"Approved",$D$3:$D$500,"&lt;="&amp;E153,$E$3:$E$500,"&gt;="&amp;D153,$A$3:$A$500,"&lt;&gt;"&amp;A153)&gt;0)),0))</f>
        <v/>
      </c>
    </row>
    <row r="154">
      <c r="C154">
        <f>IFERROR(XLOOKUP(B154,Employees!$A$3:$A$500,Employees!$B$3:$B$500,""),"")</f>
        <v/>
      </c>
      <c r="I154">
        <f>IF(AND(B154&lt;&gt;"",D154&lt;&gt;"",E154&lt;&gt;""),E154-D154+1,"")</f>
        <v/>
      </c>
      <c r="J154">
        <f>IF(OR(B154="",D154="",E154=""),"",IF(OR(L154&lt;'Coverage Rules'!E7,M154&lt;'Coverage Rules'!E8,N154&lt;'Coverage Rules'!C8,O154&lt;'Coverage Rules'!E9,P154&lt;'Coverage Rules'!E10,Q154&gt;='Coverage Rules'!B16,R154&gt;='Coverage Rules'!B17,IF(S154="",FALSE,S154&gt;='Coverage Rules'!D24)),"Denied","OK"))</f>
        <v/>
      </c>
      <c r="L154">
        <f>IF(B154="","",IFERROR(SUMPRODUCT((LEN(Employees!$A$3:$A$500)&gt;0)*(Employees!$T$3:$T$500=1)*(COUNTIFS($B$3:$B$500,Employees!$A$3:$A$500,$H$3:$H$500,"Approved",$D$3:$D$500,"&lt;="&amp;E154,$E$3:$E$500,"&gt;="&amp;D154,$A$3:$A$500,"&lt;&gt;"&amp;A154)=0)),0))</f>
        <v/>
      </c>
      <c r="M154">
        <f>IF(B154="","",IFERROR(SUMPRODUCT((LEN(Employees!$A$3:$A$500)&gt;0)*(Employees!$U$3:$U$500=1)*(COUNTIFS($B$3:$B$500,Employees!$A$3:$A$500,$H$3:$H$500,"Approved",$D$3:$D$500,"&lt;="&amp;E154,$E$3:$E$500,"&gt;="&amp;D154,$A$3:$A$500,"&lt;&gt;"&amp;A154)=0)),0))</f>
        <v/>
      </c>
      <c r="N154">
        <f>IF(B154="","",IFERROR(SUMPRODUCT((LEN(Employees!$A$3:$A$500)&gt;0)*(Employees!$B$3:$B$500="Manager")*(Employees!$U$3:$U$500=1)*(COUNTIFS($B$3:$B$500,Employees!$A$3:$A$500,$H$3:$H$500,"Approved",$D$3:$D$500,"&lt;="&amp;E154,$E$3:$E$500,"&gt;="&amp;D154,$A$3:$A$500,"&lt;&gt;"&amp;A154)=0)),0))</f>
        <v/>
      </c>
      <c r="O154">
        <f>IF(B154="","",IFERROR(SUMPRODUCT((LEN(Employees!$A$3:$A$500)&gt;0)*(Employees!$V$3:$V$500=1)*(COUNTIFS($B$3:$B$500,Employees!$A$3:$A$500,$H$3:$H$500,"Approved",$D$3:$D$500,"&lt;="&amp;E154,$E$3:$E$500,"&gt;="&amp;D154,$A$3:$A$500,"&lt;&gt;"&amp;A154)=0)),0))</f>
        <v/>
      </c>
      <c r="P154">
        <f>IF(B154="","",IFERROR(SUMPRODUCT((LEN(Employees!$A$3:$A$500)&gt;0)*(Employees!$W$3:$W$500=1)*(COUNTIFS($B$3:$B$500,Employees!$A$3:$A$500,$H$3:$H$500,"Approved",$D$3:$D$500,"&lt;="&amp;E154,$E$3:$E$500,"&gt;="&amp;D154,$A$3:$A$500,"&lt;&gt;"&amp;A154)=0)),0))</f>
        <v/>
      </c>
      <c r="Q154">
        <f>IF(B154="","",IFERROR(SUMPRODUCT((LEN(Employees!$A$3:$A$500)&gt;0)*(Employees!$N$3:$N$500=1)*(COUNTIFS($B$3:$B$500,Employees!$A$3:$A$500,$H$3:$H$500,"Approved",$D$3:$D$500,"&lt;="&amp;E154,$E$3:$E$500,"&gt;="&amp;D154,$A$3:$A$500,"&lt;&gt;"&amp;A154)&gt;0)),0))</f>
        <v/>
      </c>
      <c r="R154">
        <f>IF(B154="","",IFERROR(SUMPRODUCT((LEN(Employees!$A$3:$A$500)&gt;0)*(Employees!$O$3:$O$500=1)*(COUNTIFS($B$3:$B$500,Employees!$A$3:$A$500,$H$3:$H$500,"Approved",$D$3:$D$500,"&lt;="&amp;E154,$E$3:$E$500,"&gt;="&amp;D154,$A$3:$A$500,"&lt;&gt;"&amp;A154)&gt;0)),0))</f>
        <v/>
      </c>
      <c r="S154">
        <f>IF(OR(B154="",IFERROR(XLOOKUP(B154,Employees!$A$3:$A$500,Employees!$G$3:$G$500,""),"")=""),"",IFERROR(SUMPRODUCT((LEN(Employees!$A$3:$A$500)&gt;0)*(Employees!$G$3:$G$500=IFERROR(XLOOKUP(B154,Employees!$A$3:$A$500,Employees!$G$3:$G$500,""),""))*(COUNTIFS($B$3:$B$500,Employees!$A$3:$A$500,$H$3:$H$500,"Approved",$D$3:$D$500,"&lt;="&amp;E154,$E$3:$E$500,"&gt;="&amp;D154,$A$3:$A$500,"&lt;&gt;"&amp;A154)&gt;0)),0))</f>
        <v/>
      </c>
    </row>
    <row r="155">
      <c r="C155">
        <f>IFERROR(XLOOKUP(B155,Employees!$A$3:$A$500,Employees!$B$3:$B$500,""),"")</f>
        <v/>
      </c>
      <c r="I155">
        <f>IF(AND(B155&lt;&gt;"",D155&lt;&gt;"",E155&lt;&gt;""),E155-D155+1,"")</f>
        <v/>
      </c>
      <c r="J155">
        <f>IF(OR(B155="",D155="",E155=""),"",IF(OR(L155&lt;'Coverage Rules'!E7,M155&lt;'Coverage Rules'!E8,N155&lt;'Coverage Rules'!C8,O155&lt;'Coverage Rules'!E9,P155&lt;'Coverage Rules'!E10,Q155&gt;='Coverage Rules'!B16,R155&gt;='Coverage Rules'!B17,IF(S155="",FALSE,S155&gt;='Coverage Rules'!D24)),"Denied","OK"))</f>
        <v/>
      </c>
      <c r="L155">
        <f>IF(B155="","",IFERROR(SUMPRODUCT((LEN(Employees!$A$3:$A$500)&gt;0)*(Employees!$T$3:$T$500=1)*(COUNTIFS($B$3:$B$500,Employees!$A$3:$A$500,$H$3:$H$500,"Approved",$D$3:$D$500,"&lt;="&amp;E155,$E$3:$E$500,"&gt;="&amp;D155,$A$3:$A$500,"&lt;&gt;"&amp;A155)=0)),0))</f>
        <v/>
      </c>
      <c r="M155">
        <f>IF(B155="","",IFERROR(SUMPRODUCT((LEN(Employees!$A$3:$A$500)&gt;0)*(Employees!$U$3:$U$500=1)*(COUNTIFS($B$3:$B$500,Employees!$A$3:$A$500,$H$3:$H$500,"Approved",$D$3:$D$500,"&lt;="&amp;E155,$E$3:$E$500,"&gt;="&amp;D155,$A$3:$A$500,"&lt;&gt;"&amp;A155)=0)),0))</f>
        <v/>
      </c>
      <c r="N155">
        <f>IF(B155="","",IFERROR(SUMPRODUCT((LEN(Employees!$A$3:$A$500)&gt;0)*(Employees!$B$3:$B$500="Manager")*(Employees!$U$3:$U$500=1)*(COUNTIFS($B$3:$B$500,Employees!$A$3:$A$500,$H$3:$H$500,"Approved",$D$3:$D$500,"&lt;="&amp;E155,$E$3:$E$500,"&gt;="&amp;D155,$A$3:$A$500,"&lt;&gt;"&amp;A155)=0)),0))</f>
        <v/>
      </c>
      <c r="O155">
        <f>IF(B155="","",IFERROR(SUMPRODUCT((LEN(Employees!$A$3:$A$500)&gt;0)*(Employees!$V$3:$V$500=1)*(COUNTIFS($B$3:$B$500,Employees!$A$3:$A$500,$H$3:$H$500,"Approved",$D$3:$D$500,"&lt;="&amp;E155,$E$3:$E$500,"&gt;="&amp;D155,$A$3:$A$500,"&lt;&gt;"&amp;A155)=0)),0))</f>
        <v/>
      </c>
      <c r="P155">
        <f>IF(B155="","",IFERROR(SUMPRODUCT((LEN(Employees!$A$3:$A$500)&gt;0)*(Employees!$W$3:$W$500=1)*(COUNTIFS($B$3:$B$500,Employees!$A$3:$A$500,$H$3:$H$500,"Approved",$D$3:$D$500,"&lt;="&amp;E155,$E$3:$E$500,"&gt;="&amp;D155,$A$3:$A$500,"&lt;&gt;"&amp;A155)=0)),0))</f>
        <v/>
      </c>
      <c r="Q155">
        <f>IF(B155="","",IFERROR(SUMPRODUCT((LEN(Employees!$A$3:$A$500)&gt;0)*(Employees!$N$3:$N$500=1)*(COUNTIFS($B$3:$B$500,Employees!$A$3:$A$500,$H$3:$H$500,"Approved",$D$3:$D$500,"&lt;="&amp;E155,$E$3:$E$500,"&gt;="&amp;D155,$A$3:$A$500,"&lt;&gt;"&amp;A155)&gt;0)),0))</f>
        <v/>
      </c>
      <c r="R155">
        <f>IF(B155="","",IFERROR(SUMPRODUCT((LEN(Employees!$A$3:$A$500)&gt;0)*(Employees!$O$3:$O$500=1)*(COUNTIFS($B$3:$B$500,Employees!$A$3:$A$500,$H$3:$H$500,"Approved",$D$3:$D$500,"&lt;="&amp;E155,$E$3:$E$500,"&gt;="&amp;D155,$A$3:$A$500,"&lt;&gt;"&amp;A155)&gt;0)),0))</f>
        <v/>
      </c>
      <c r="S155">
        <f>IF(OR(B155="",IFERROR(XLOOKUP(B155,Employees!$A$3:$A$500,Employees!$G$3:$G$500,""),"")=""),"",IFERROR(SUMPRODUCT((LEN(Employees!$A$3:$A$500)&gt;0)*(Employees!$G$3:$G$500=IFERROR(XLOOKUP(B155,Employees!$A$3:$A$500,Employees!$G$3:$G$500,""),""))*(COUNTIFS($B$3:$B$500,Employees!$A$3:$A$500,$H$3:$H$500,"Approved",$D$3:$D$500,"&lt;="&amp;E155,$E$3:$E$500,"&gt;="&amp;D155,$A$3:$A$500,"&lt;&gt;"&amp;A155)&gt;0)),0))</f>
        <v/>
      </c>
    </row>
    <row r="156">
      <c r="C156">
        <f>IFERROR(XLOOKUP(B156,Employees!$A$3:$A$500,Employees!$B$3:$B$500,""),"")</f>
        <v/>
      </c>
      <c r="I156">
        <f>IF(AND(B156&lt;&gt;"",D156&lt;&gt;"",E156&lt;&gt;""),E156-D156+1,"")</f>
        <v/>
      </c>
      <c r="J156">
        <f>IF(OR(B156="",D156="",E156=""),"",IF(OR(L156&lt;'Coverage Rules'!E7,M156&lt;'Coverage Rules'!E8,N156&lt;'Coverage Rules'!C8,O156&lt;'Coverage Rules'!E9,P156&lt;'Coverage Rules'!E10,Q156&gt;='Coverage Rules'!B16,R156&gt;='Coverage Rules'!B17,IF(S156="",FALSE,S156&gt;='Coverage Rules'!D24)),"Denied","OK"))</f>
        <v/>
      </c>
      <c r="L156">
        <f>IF(B156="","",IFERROR(SUMPRODUCT((LEN(Employees!$A$3:$A$500)&gt;0)*(Employees!$T$3:$T$500=1)*(COUNTIFS($B$3:$B$500,Employees!$A$3:$A$500,$H$3:$H$500,"Approved",$D$3:$D$500,"&lt;="&amp;E156,$E$3:$E$500,"&gt;="&amp;D156,$A$3:$A$500,"&lt;&gt;"&amp;A156)=0)),0))</f>
        <v/>
      </c>
      <c r="M156">
        <f>IF(B156="","",IFERROR(SUMPRODUCT((LEN(Employees!$A$3:$A$500)&gt;0)*(Employees!$U$3:$U$500=1)*(COUNTIFS($B$3:$B$500,Employees!$A$3:$A$500,$H$3:$H$500,"Approved",$D$3:$D$500,"&lt;="&amp;E156,$E$3:$E$500,"&gt;="&amp;D156,$A$3:$A$500,"&lt;&gt;"&amp;A156)=0)),0))</f>
        <v/>
      </c>
      <c r="N156">
        <f>IF(B156="","",IFERROR(SUMPRODUCT((LEN(Employees!$A$3:$A$500)&gt;0)*(Employees!$B$3:$B$500="Manager")*(Employees!$U$3:$U$500=1)*(COUNTIFS($B$3:$B$500,Employees!$A$3:$A$500,$H$3:$H$500,"Approved",$D$3:$D$500,"&lt;="&amp;E156,$E$3:$E$500,"&gt;="&amp;D156,$A$3:$A$500,"&lt;&gt;"&amp;A156)=0)),0))</f>
        <v/>
      </c>
      <c r="O156">
        <f>IF(B156="","",IFERROR(SUMPRODUCT((LEN(Employees!$A$3:$A$500)&gt;0)*(Employees!$V$3:$V$500=1)*(COUNTIFS($B$3:$B$500,Employees!$A$3:$A$500,$H$3:$H$500,"Approved",$D$3:$D$500,"&lt;="&amp;E156,$E$3:$E$500,"&gt;="&amp;D156,$A$3:$A$500,"&lt;&gt;"&amp;A156)=0)),0))</f>
        <v/>
      </c>
      <c r="P156">
        <f>IF(B156="","",IFERROR(SUMPRODUCT((LEN(Employees!$A$3:$A$500)&gt;0)*(Employees!$W$3:$W$500=1)*(COUNTIFS($B$3:$B$500,Employees!$A$3:$A$500,$H$3:$H$500,"Approved",$D$3:$D$500,"&lt;="&amp;E156,$E$3:$E$500,"&gt;="&amp;D156,$A$3:$A$500,"&lt;&gt;"&amp;A156)=0)),0))</f>
        <v/>
      </c>
      <c r="Q156">
        <f>IF(B156="","",IFERROR(SUMPRODUCT((LEN(Employees!$A$3:$A$500)&gt;0)*(Employees!$N$3:$N$500=1)*(COUNTIFS($B$3:$B$500,Employees!$A$3:$A$500,$H$3:$H$500,"Approved",$D$3:$D$500,"&lt;="&amp;E156,$E$3:$E$500,"&gt;="&amp;D156,$A$3:$A$500,"&lt;&gt;"&amp;A156)&gt;0)),0))</f>
        <v/>
      </c>
      <c r="R156">
        <f>IF(B156="","",IFERROR(SUMPRODUCT((LEN(Employees!$A$3:$A$500)&gt;0)*(Employees!$O$3:$O$500=1)*(COUNTIFS($B$3:$B$500,Employees!$A$3:$A$500,$H$3:$H$500,"Approved",$D$3:$D$500,"&lt;="&amp;E156,$E$3:$E$500,"&gt;="&amp;D156,$A$3:$A$500,"&lt;&gt;"&amp;A156)&gt;0)),0))</f>
        <v/>
      </c>
      <c r="S156">
        <f>IF(OR(B156="",IFERROR(XLOOKUP(B156,Employees!$A$3:$A$500,Employees!$G$3:$G$500,""),"")=""),"",IFERROR(SUMPRODUCT((LEN(Employees!$A$3:$A$500)&gt;0)*(Employees!$G$3:$G$500=IFERROR(XLOOKUP(B156,Employees!$A$3:$A$500,Employees!$G$3:$G$500,""),""))*(COUNTIFS($B$3:$B$500,Employees!$A$3:$A$500,$H$3:$H$500,"Approved",$D$3:$D$500,"&lt;="&amp;E156,$E$3:$E$500,"&gt;="&amp;D156,$A$3:$A$500,"&lt;&gt;"&amp;A156)&gt;0)),0))</f>
        <v/>
      </c>
    </row>
    <row r="157">
      <c r="C157">
        <f>IFERROR(XLOOKUP(B157,Employees!$A$3:$A$500,Employees!$B$3:$B$500,""),"")</f>
        <v/>
      </c>
      <c r="I157">
        <f>IF(AND(B157&lt;&gt;"",D157&lt;&gt;"",E157&lt;&gt;""),E157-D157+1,"")</f>
        <v/>
      </c>
      <c r="J157">
        <f>IF(OR(B157="",D157="",E157=""),"",IF(OR(L157&lt;'Coverage Rules'!E7,M157&lt;'Coverage Rules'!E8,N157&lt;'Coverage Rules'!C8,O157&lt;'Coverage Rules'!E9,P157&lt;'Coverage Rules'!E10,Q157&gt;='Coverage Rules'!B16,R157&gt;='Coverage Rules'!B17,IF(S157="",FALSE,S157&gt;='Coverage Rules'!D24)),"Denied","OK"))</f>
        <v/>
      </c>
      <c r="L157">
        <f>IF(B157="","",IFERROR(SUMPRODUCT((LEN(Employees!$A$3:$A$500)&gt;0)*(Employees!$T$3:$T$500=1)*(COUNTIFS($B$3:$B$500,Employees!$A$3:$A$500,$H$3:$H$500,"Approved",$D$3:$D$500,"&lt;="&amp;E157,$E$3:$E$500,"&gt;="&amp;D157,$A$3:$A$500,"&lt;&gt;"&amp;A157)=0)),0))</f>
        <v/>
      </c>
      <c r="M157">
        <f>IF(B157="","",IFERROR(SUMPRODUCT((LEN(Employees!$A$3:$A$500)&gt;0)*(Employees!$U$3:$U$500=1)*(COUNTIFS($B$3:$B$500,Employees!$A$3:$A$500,$H$3:$H$500,"Approved",$D$3:$D$500,"&lt;="&amp;E157,$E$3:$E$500,"&gt;="&amp;D157,$A$3:$A$500,"&lt;&gt;"&amp;A157)=0)),0))</f>
        <v/>
      </c>
      <c r="N157">
        <f>IF(B157="","",IFERROR(SUMPRODUCT((LEN(Employees!$A$3:$A$500)&gt;0)*(Employees!$B$3:$B$500="Manager")*(Employees!$U$3:$U$500=1)*(COUNTIFS($B$3:$B$500,Employees!$A$3:$A$500,$H$3:$H$500,"Approved",$D$3:$D$500,"&lt;="&amp;E157,$E$3:$E$500,"&gt;="&amp;D157,$A$3:$A$500,"&lt;&gt;"&amp;A157)=0)),0))</f>
        <v/>
      </c>
      <c r="O157">
        <f>IF(B157="","",IFERROR(SUMPRODUCT((LEN(Employees!$A$3:$A$500)&gt;0)*(Employees!$V$3:$V$500=1)*(COUNTIFS($B$3:$B$500,Employees!$A$3:$A$500,$H$3:$H$500,"Approved",$D$3:$D$500,"&lt;="&amp;E157,$E$3:$E$500,"&gt;="&amp;D157,$A$3:$A$500,"&lt;&gt;"&amp;A157)=0)),0))</f>
        <v/>
      </c>
      <c r="P157">
        <f>IF(B157="","",IFERROR(SUMPRODUCT((LEN(Employees!$A$3:$A$500)&gt;0)*(Employees!$W$3:$W$500=1)*(COUNTIFS($B$3:$B$500,Employees!$A$3:$A$500,$H$3:$H$500,"Approved",$D$3:$D$500,"&lt;="&amp;E157,$E$3:$E$500,"&gt;="&amp;D157,$A$3:$A$500,"&lt;&gt;"&amp;A157)=0)),0))</f>
        <v/>
      </c>
      <c r="Q157">
        <f>IF(B157="","",IFERROR(SUMPRODUCT((LEN(Employees!$A$3:$A$500)&gt;0)*(Employees!$N$3:$N$500=1)*(COUNTIFS($B$3:$B$500,Employees!$A$3:$A$500,$H$3:$H$500,"Approved",$D$3:$D$500,"&lt;="&amp;E157,$E$3:$E$500,"&gt;="&amp;D157,$A$3:$A$500,"&lt;&gt;"&amp;A157)&gt;0)),0))</f>
        <v/>
      </c>
      <c r="R157">
        <f>IF(B157="","",IFERROR(SUMPRODUCT((LEN(Employees!$A$3:$A$500)&gt;0)*(Employees!$O$3:$O$500=1)*(COUNTIFS($B$3:$B$500,Employees!$A$3:$A$500,$H$3:$H$500,"Approved",$D$3:$D$500,"&lt;="&amp;E157,$E$3:$E$500,"&gt;="&amp;D157,$A$3:$A$500,"&lt;&gt;"&amp;A157)&gt;0)),0))</f>
        <v/>
      </c>
      <c r="S157">
        <f>IF(OR(B157="",IFERROR(XLOOKUP(B157,Employees!$A$3:$A$500,Employees!$G$3:$G$500,""),"")=""),"",IFERROR(SUMPRODUCT((LEN(Employees!$A$3:$A$500)&gt;0)*(Employees!$G$3:$G$500=IFERROR(XLOOKUP(B157,Employees!$A$3:$A$500,Employees!$G$3:$G$500,""),""))*(COUNTIFS($B$3:$B$500,Employees!$A$3:$A$500,$H$3:$H$500,"Approved",$D$3:$D$500,"&lt;="&amp;E157,$E$3:$E$500,"&gt;="&amp;D157,$A$3:$A$500,"&lt;&gt;"&amp;A157)&gt;0)),0))</f>
        <v/>
      </c>
    </row>
    <row r="158">
      <c r="C158">
        <f>IFERROR(XLOOKUP(B158,Employees!$A$3:$A$500,Employees!$B$3:$B$500,""),"")</f>
        <v/>
      </c>
      <c r="I158">
        <f>IF(AND(B158&lt;&gt;"",D158&lt;&gt;"",E158&lt;&gt;""),E158-D158+1,"")</f>
        <v/>
      </c>
      <c r="J158">
        <f>IF(OR(B158="",D158="",E158=""),"",IF(OR(L158&lt;'Coverage Rules'!E7,M158&lt;'Coverage Rules'!E8,N158&lt;'Coverage Rules'!C8,O158&lt;'Coverage Rules'!E9,P158&lt;'Coverage Rules'!E10,Q158&gt;='Coverage Rules'!B16,R158&gt;='Coverage Rules'!B17,IF(S158="",FALSE,S158&gt;='Coverage Rules'!D24)),"Denied","OK"))</f>
        <v/>
      </c>
      <c r="L158">
        <f>IF(B158="","",IFERROR(SUMPRODUCT((LEN(Employees!$A$3:$A$500)&gt;0)*(Employees!$T$3:$T$500=1)*(COUNTIFS($B$3:$B$500,Employees!$A$3:$A$500,$H$3:$H$500,"Approved",$D$3:$D$500,"&lt;="&amp;E158,$E$3:$E$500,"&gt;="&amp;D158,$A$3:$A$500,"&lt;&gt;"&amp;A158)=0)),0))</f>
        <v/>
      </c>
      <c r="M158">
        <f>IF(B158="","",IFERROR(SUMPRODUCT((LEN(Employees!$A$3:$A$500)&gt;0)*(Employees!$U$3:$U$500=1)*(COUNTIFS($B$3:$B$500,Employees!$A$3:$A$500,$H$3:$H$500,"Approved",$D$3:$D$500,"&lt;="&amp;E158,$E$3:$E$500,"&gt;="&amp;D158,$A$3:$A$500,"&lt;&gt;"&amp;A158)=0)),0))</f>
        <v/>
      </c>
      <c r="N158">
        <f>IF(B158="","",IFERROR(SUMPRODUCT((LEN(Employees!$A$3:$A$500)&gt;0)*(Employees!$B$3:$B$500="Manager")*(Employees!$U$3:$U$500=1)*(COUNTIFS($B$3:$B$500,Employees!$A$3:$A$500,$H$3:$H$500,"Approved",$D$3:$D$500,"&lt;="&amp;E158,$E$3:$E$500,"&gt;="&amp;D158,$A$3:$A$500,"&lt;&gt;"&amp;A158)=0)),0))</f>
        <v/>
      </c>
      <c r="O158">
        <f>IF(B158="","",IFERROR(SUMPRODUCT((LEN(Employees!$A$3:$A$500)&gt;0)*(Employees!$V$3:$V$500=1)*(COUNTIFS($B$3:$B$500,Employees!$A$3:$A$500,$H$3:$H$500,"Approved",$D$3:$D$500,"&lt;="&amp;E158,$E$3:$E$500,"&gt;="&amp;D158,$A$3:$A$500,"&lt;&gt;"&amp;A158)=0)),0))</f>
        <v/>
      </c>
      <c r="P158">
        <f>IF(B158="","",IFERROR(SUMPRODUCT((LEN(Employees!$A$3:$A$500)&gt;0)*(Employees!$W$3:$W$500=1)*(COUNTIFS($B$3:$B$500,Employees!$A$3:$A$500,$H$3:$H$500,"Approved",$D$3:$D$500,"&lt;="&amp;E158,$E$3:$E$500,"&gt;="&amp;D158,$A$3:$A$500,"&lt;&gt;"&amp;A158)=0)),0))</f>
        <v/>
      </c>
      <c r="Q158">
        <f>IF(B158="","",IFERROR(SUMPRODUCT((LEN(Employees!$A$3:$A$500)&gt;0)*(Employees!$N$3:$N$500=1)*(COUNTIFS($B$3:$B$500,Employees!$A$3:$A$500,$H$3:$H$500,"Approved",$D$3:$D$500,"&lt;="&amp;E158,$E$3:$E$500,"&gt;="&amp;D158,$A$3:$A$500,"&lt;&gt;"&amp;A158)&gt;0)),0))</f>
        <v/>
      </c>
      <c r="R158">
        <f>IF(B158="","",IFERROR(SUMPRODUCT((LEN(Employees!$A$3:$A$500)&gt;0)*(Employees!$O$3:$O$500=1)*(COUNTIFS($B$3:$B$500,Employees!$A$3:$A$500,$H$3:$H$500,"Approved",$D$3:$D$500,"&lt;="&amp;E158,$E$3:$E$500,"&gt;="&amp;D158,$A$3:$A$500,"&lt;&gt;"&amp;A158)&gt;0)),0))</f>
        <v/>
      </c>
      <c r="S158">
        <f>IF(OR(B158="",IFERROR(XLOOKUP(B158,Employees!$A$3:$A$500,Employees!$G$3:$G$500,""),"")=""),"",IFERROR(SUMPRODUCT((LEN(Employees!$A$3:$A$500)&gt;0)*(Employees!$G$3:$G$500=IFERROR(XLOOKUP(B158,Employees!$A$3:$A$500,Employees!$G$3:$G$500,""),""))*(COUNTIFS($B$3:$B$500,Employees!$A$3:$A$500,$H$3:$H$500,"Approved",$D$3:$D$500,"&lt;="&amp;E158,$E$3:$E$500,"&gt;="&amp;D158,$A$3:$A$500,"&lt;&gt;"&amp;A158)&gt;0)),0))</f>
        <v/>
      </c>
    </row>
    <row r="159">
      <c r="C159">
        <f>IFERROR(XLOOKUP(B159,Employees!$A$3:$A$500,Employees!$B$3:$B$500,""),"")</f>
        <v/>
      </c>
      <c r="I159">
        <f>IF(AND(B159&lt;&gt;"",D159&lt;&gt;"",E159&lt;&gt;""),E159-D159+1,"")</f>
        <v/>
      </c>
      <c r="J159">
        <f>IF(OR(B159="",D159="",E159=""),"",IF(OR(L159&lt;'Coverage Rules'!E7,M159&lt;'Coverage Rules'!E8,N159&lt;'Coverage Rules'!C8,O159&lt;'Coverage Rules'!E9,P159&lt;'Coverage Rules'!E10,Q159&gt;='Coverage Rules'!B16,R159&gt;='Coverage Rules'!B17,IF(S159="",FALSE,S159&gt;='Coverage Rules'!D24)),"Denied","OK"))</f>
        <v/>
      </c>
      <c r="L159">
        <f>IF(B159="","",IFERROR(SUMPRODUCT((LEN(Employees!$A$3:$A$500)&gt;0)*(Employees!$T$3:$T$500=1)*(COUNTIFS($B$3:$B$500,Employees!$A$3:$A$500,$H$3:$H$500,"Approved",$D$3:$D$500,"&lt;="&amp;E159,$E$3:$E$500,"&gt;="&amp;D159,$A$3:$A$500,"&lt;&gt;"&amp;A159)=0)),0))</f>
        <v/>
      </c>
      <c r="M159">
        <f>IF(B159="","",IFERROR(SUMPRODUCT((LEN(Employees!$A$3:$A$500)&gt;0)*(Employees!$U$3:$U$500=1)*(COUNTIFS($B$3:$B$500,Employees!$A$3:$A$500,$H$3:$H$500,"Approved",$D$3:$D$500,"&lt;="&amp;E159,$E$3:$E$500,"&gt;="&amp;D159,$A$3:$A$500,"&lt;&gt;"&amp;A159)=0)),0))</f>
        <v/>
      </c>
      <c r="N159">
        <f>IF(B159="","",IFERROR(SUMPRODUCT((LEN(Employees!$A$3:$A$500)&gt;0)*(Employees!$B$3:$B$500="Manager")*(Employees!$U$3:$U$500=1)*(COUNTIFS($B$3:$B$500,Employees!$A$3:$A$500,$H$3:$H$500,"Approved",$D$3:$D$500,"&lt;="&amp;E159,$E$3:$E$500,"&gt;="&amp;D159,$A$3:$A$500,"&lt;&gt;"&amp;A159)=0)),0))</f>
        <v/>
      </c>
      <c r="O159">
        <f>IF(B159="","",IFERROR(SUMPRODUCT((LEN(Employees!$A$3:$A$500)&gt;0)*(Employees!$V$3:$V$500=1)*(COUNTIFS($B$3:$B$500,Employees!$A$3:$A$500,$H$3:$H$500,"Approved",$D$3:$D$500,"&lt;="&amp;E159,$E$3:$E$500,"&gt;="&amp;D159,$A$3:$A$500,"&lt;&gt;"&amp;A159)=0)),0))</f>
        <v/>
      </c>
      <c r="P159">
        <f>IF(B159="","",IFERROR(SUMPRODUCT((LEN(Employees!$A$3:$A$500)&gt;0)*(Employees!$W$3:$W$500=1)*(COUNTIFS($B$3:$B$500,Employees!$A$3:$A$500,$H$3:$H$500,"Approved",$D$3:$D$500,"&lt;="&amp;E159,$E$3:$E$500,"&gt;="&amp;D159,$A$3:$A$500,"&lt;&gt;"&amp;A159)=0)),0))</f>
        <v/>
      </c>
      <c r="Q159">
        <f>IF(B159="","",IFERROR(SUMPRODUCT((LEN(Employees!$A$3:$A$500)&gt;0)*(Employees!$N$3:$N$500=1)*(COUNTIFS($B$3:$B$500,Employees!$A$3:$A$500,$H$3:$H$500,"Approved",$D$3:$D$500,"&lt;="&amp;E159,$E$3:$E$500,"&gt;="&amp;D159,$A$3:$A$500,"&lt;&gt;"&amp;A159)&gt;0)),0))</f>
        <v/>
      </c>
      <c r="R159">
        <f>IF(B159="","",IFERROR(SUMPRODUCT((LEN(Employees!$A$3:$A$500)&gt;0)*(Employees!$O$3:$O$500=1)*(COUNTIFS($B$3:$B$500,Employees!$A$3:$A$500,$H$3:$H$500,"Approved",$D$3:$D$500,"&lt;="&amp;E159,$E$3:$E$500,"&gt;="&amp;D159,$A$3:$A$500,"&lt;&gt;"&amp;A159)&gt;0)),0))</f>
        <v/>
      </c>
      <c r="S159">
        <f>IF(OR(B159="",IFERROR(XLOOKUP(B159,Employees!$A$3:$A$500,Employees!$G$3:$G$500,""),"")=""),"",IFERROR(SUMPRODUCT((LEN(Employees!$A$3:$A$500)&gt;0)*(Employees!$G$3:$G$500=IFERROR(XLOOKUP(B159,Employees!$A$3:$A$500,Employees!$G$3:$G$500,""),""))*(COUNTIFS($B$3:$B$500,Employees!$A$3:$A$500,$H$3:$H$500,"Approved",$D$3:$D$500,"&lt;="&amp;E159,$E$3:$E$500,"&gt;="&amp;D159,$A$3:$A$500,"&lt;&gt;"&amp;A159)&gt;0)),0))</f>
        <v/>
      </c>
    </row>
    <row r="160">
      <c r="C160">
        <f>IFERROR(XLOOKUP(B160,Employees!$A$3:$A$500,Employees!$B$3:$B$500,""),"")</f>
        <v/>
      </c>
      <c r="I160">
        <f>IF(AND(B160&lt;&gt;"",D160&lt;&gt;"",E160&lt;&gt;""),E160-D160+1,"")</f>
        <v/>
      </c>
      <c r="J160">
        <f>IF(OR(B160="",D160="",E160=""),"",IF(OR(L160&lt;'Coverage Rules'!E7,M160&lt;'Coverage Rules'!E8,N160&lt;'Coverage Rules'!C8,O160&lt;'Coverage Rules'!E9,P160&lt;'Coverage Rules'!E10,Q160&gt;='Coverage Rules'!B16,R160&gt;='Coverage Rules'!B17,IF(S160="",FALSE,S160&gt;='Coverage Rules'!D24)),"Denied","OK"))</f>
        <v/>
      </c>
      <c r="L160">
        <f>IF(B160="","",IFERROR(SUMPRODUCT((LEN(Employees!$A$3:$A$500)&gt;0)*(Employees!$T$3:$T$500=1)*(COUNTIFS($B$3:$B$500,Employees!$A$3:$A$500,$H$3:$H$500,"Approved",$D$3:$D$500,"&lt;="&amp;E160,$E$3:$E$500,"&gt;="&amp;D160,$A$3:$A$500,"&lt;&gt;"&amp;A160)=0)),0))</f>
        <v/>
      </c>
      <c r="M160">
        <f>IF(B160="","",IFERROR(SUMPRODUCT((LEN(Employees!$A$3:$A$500)&gt;0)*(Employees!$U$3:$U$500=1)*(COUNTIFS($B$3:$B$500,Employees!$A$3:$A$500,$H$3:$H$500,"Approved",$D$3:$D$500,"&lt;="&amp;E160,$E$3:$E$500,"&gt;="&amp;D160,$A$3:$A$500,"&lt;&gt;"&amp;A160)=0)),0))</f>
        <v/>
      </c>
      <c r="N160">
        <f>IF(B160="","",IFERROR(SUMPRODUCT((LEN(Employees!$A$3:$A$500)&gt;0)*(Employees!$B$3:$B$500="Manager")*(Employees!$U$3:$U$500=1)*(COUNTIFS($B$3:$B$500,Employees!$A$3:$A$500,$H$3:$H$500,"Approved",$D$3:$D$500,"&lt;="&amp;E160,$E$3:$E$500,"&gt;="&amp;D160,$A$3:$A$500,"&lt;&gt;"&amp;A160)=0)),0))</f>
        <v/>
      </c>
      <c r="O160">
        <f>IF(B160="","",IFERROR(SUMPRODUCT((LEN(Employees!$A$3:$A$500)&gt;0)*(Employees!$V$3:$V$500=1)*(COUNTIFS($B$3:$B$500,Employees!$A$3:$A$500,$H$3:$H$500,"Approved",$D$3:$D$500,"&lt;="&amp;E160,$E$3:$E$500,"&gt;="&amp;D160,$A$3:$A$500,"&lt;&gt;"&amp;A160)=0)),0))</f>
        <v/>
      </c>
      <c r="P160">
        <f>IF(B160="","",IFERROR(SUMPRODUCT((LEN(Employees!$A$3:$A$500)&gt;0)*(Employees!$W$3:$W$500=1)*(COUNTIFS($B$3:$B$500,Employees!$A$3:$A$500,$H$3:$H$500,"Approved",$D$3:$D$500,"&lt;="&amp;E160,$E$3:$E$500,"&gt;="&amp;D160,$A$3:$A$500,"&lt;&gt;"&amp;A160)=0)),0))</f>
        <v/>
      </c>
      <c r="Q160">
        <f>IF(B160="","",IFERROR(SUMPRODUCT((LEN(Employees!$A$3:$A$500)&gt;0)*(Employees!$N$3:$N$500=1)*(COUNTIFS($B$3:$B$500,Employees!$A$3:$A$500,$H$3:$H$500,"Approved",$D$3:$D$500,"&lt;="&amp;E160,$E$3:$E$500,"&gt;="&amp;D160,$A$3:$A$500,"&lt;&gt;"&amp;A160)&gt;0)),0))</f>
        <v/>
      </c>
      <c r="R160">
        <f>IF(B160="","",IFERROR(SUMPRODUCT((LEN(Employees!$A$3:$A$500)&gt;0)*(Employees!$O$3:$O$500=1)*(COUNTIFS($B$3:$B$500,Employees!$A$3:$A$500,$H$3:$H$500,"Approved",$D$3:$D$500,"&lt;="&amp;E160,$E$3:$E$500,"&gt;="&amp;D160,$A$3:$A$500,"&lt;&gt;"&amp;A160)&gt;0)),0))</f>
        <v/>
      </c>
      <c r="S160">
        <f>IF(OR(B160="",IFERROR(XLOOKUP(B160,Employees!$A$3:$A$500,Employees!$G$3:$G$500,""),"")=""),"",IFERROR(SUMPRODUCT((LEN(Employees!$A$3:$A$500)&gt;0)*(Employees!$G$3:$G$500=IFERROR(XLOOKUP(B160,Employees!$A$3:$A$500,Employees!$G$3:$G$500,""),""))*(COUNTIFS($B$3:$B$500,Employees!$A$3:$A$500,$H$3:$H$500,"Approved",$D$3:$D$500,"&lt;="&amp;E160,$E$3:$E$500,"&gt;="&amp;D160,$A$3:$A$500,"&lt;&gt;"&amp;A160)&gt;0)),0))</f>
        <v/>
      </c>
    </row>
    <row r="161">
      <c r="C161">
        <f>IFERROR(XLOOKUP(B161,Employees!$A$3:$A$500,Employees!$B$3:$B$500,""),"")</f>
        <v/>
      </c>
      <c r="I161">
        <f>IF(AND(B161&lt;&gt;"",D161&lt;&gt;"",E161&lt;&gt;""),E161-D161+1,"")</f>
        <v/>
      </c>
      <c r="J161">
        <f>IF(OR(B161="",D161="",E161=""),"",IF(OR(L161&lt;'Coverage Rules'!E7,M161&lt;'Coverage Rules'!E8,N161&lt;'Coverage Rules'!C8,O161&lt;'Coverage Rules'!E9,P161&lt;'Coverage Rules'!E10,Q161&gt;='Coverage Rules'!B16,R161&gt;='Coverage Rules'!B17,IF(S161="",FALSE,S161&gt;='Coverage Rules'!D24)),"Denied","OK"))</f>
        <v/>
      </c>
      <c r="L161">
        <f>IF(B161="","",IFERROR(SUMPRODUCT((LEN(Employees!$A$3:$A$500)&gt;0)*(Employees!$T$3:$T$500=1)*(COUNTIFS($B$3:$B$500,Employees!$A$3:$A$500,$H$3:$H$500,"Approved",$D$3:$D$500,"&lt;="&amp;E161,$E$3:$E$500,"&gt;="&amp;D161,$A$3:$A$500,"&lt;&gt;"&amp;A161)=0)),0))</f>
        <v/>
      </c>
      <c r="M161">
        <f>IF(B161="","",IFERROR(SUMPRODUCT((LEN(Employees!$A$3:$A$500)&gt;0)*(Employees!$U$3:$U$500=1)*(COUNTIFS($B$3:$B$500,Employees!$A$3:$A$500,$H$3:$H$500,"Approved",$D$3:$D$500,"&lt;="&amp;E161,$E$3:$E$500,"&gt;="&amp;D161,$A$3:$A$500,"&lt;&gt;"&amp;A161)=0)),0))</f>
        <v/>
      </c>
      <c r="N161">
        <f>IF(B161="","",IFERROR(SUMPRODUCT((LEN(Employees!$A$3:$A$500)&gt;0)*(Employees!$B$3:$B$500="Manager")*(Employees!$U$3:$U$500=1)*(COUNTIFS($B$3:$B$500,Employees!$A$3:$A$500,$H$3:$H$500,"Approved",$D$3:$D$500,"&lt;="&amp;E161,$E$3:$E$500,"&gt;="&amp;D161,$A$3:$A$500,"&lt;&gt;"&amp;A161)=0)),0))</f>
        <v/>
      </c>
      <c r="O161">
        <f>IF(B161="","",IFERROR(SUMPRODUCT((LEN(Employees!$A$3:$A$500)&gt;0)*(Employees!$V$3:$V$500=1)*(COUNTIFS($B$3:$B$500,Employees!$A$3:$A$500,$H$3:$H$500,"Approved",$D$3:$D$500,"&lt;="&amp;E161,$E$3:$E$500,"&gt;="&amp;D161,$A$3:$A$500,"&lt;&gt;"&amp;A161)=0)),0))</f>
        <v/>
      </c>
      <c r="P161">
        <f>IF(B161="","",IFERROR(SUMPRODUCT((LEN(Employees!$A$3:$A$500)&gt;0)*(Employees!$W$3:$W$500=1)*(COUNTIFS($B$3:$B$500,Employees!$A$3:$A$500,$H$3:$H$500,"Approved",$D$3:$D$500,"&lt;="&amp;E161,$E$3:$E$500,"&gt;="&amp;D161,$A$3:$A$500,"&lt;&gt;"&amp;A161)=0)),0))</f>
        <v/>
      </c>
      <c r="Q161">
        <f>IF(B161="","",IFERROR(SUMPRODUCT((LEN(Employees!$A$3:$A$500)&gt;0)*(Employees!$N$3:$N$500=1)*(COUNTIFS($B$3:$B$500,Employees!$A$3:$A$500,$H$3:$H$500,"Approved",$D$3:$D$500,"&lt;="&amp;E161,$E$3:$E$500,"&gt;="&amp;D161,$A$3:$A$500,"&lt;&gt;"&amp;A161)&gt;0)),0))</f>
        <v/>
      </c>
      <c r="R161">
        <f>IF(B161="","",IFERROR(SUMPRODUCT((LEN(Employees!$A$3:$A$500)&gt;0)*(Employees!$O$3:$O$500=1)*(COUNTIFS($B$3:$B$500,Employees!$A$3:$A$500,$H$3:$H$500,"Approved",$D$3:$D$500,"&lt;="&amp;E161,$E$3:$E$500,"&gt;="&amp;D161,$A$3:$A$500,"&lt;&gt;"&amp;A161)&gt;0)),0))</f>
        <v/>
      </c>
      <c r="S161">
        <f>IF(OR(B161="",IFERROR(XLOOKUP(B161,Employees!$A$3:$A$500,Employees!$G$3:$G$500,""),"")=""),"",IFERROR(SUMPRODUCT((LEN(Employees!$A$3:$A$500)&gt;0)*(Employees!$G$3:$G$500=IFERROR(XLOOKUP(B161,Employees!$A$3:$A$500,Employees!$G$3:$G$500,""),""))*(COUNTIFS($B$3:$B$500,Employees!$A$3:$A$500,$H$3:$H$500,"Approved",$D$3:$D$500,"&lt;="&amp;E161,$E$3:$E$500,"&gt;="&amp;D161,$A$3:$A$500,"&lt;&gt;"&amp;A161)&gt;0)),0))</f>
        <v/>
      </c>
    </row>
    <row r="162">
      <c r="C162">
        <f>IFERROR(XLOOKUP(B162,Employees!$A$3:$A$500,Employees!$B$3:$B$500,""),"")</f>
        <v/>
      </c>
      <c r="I162">
        <f>IF(AND(B162&lt;&gt;"",D162&lt;&gt;"",E162&lt;&gt;""),E162-D162+1,"")</f>
        <v/>
      </c>
      <c r="J162">
        <f>IF(OR(B162="",D162="",E162=""),"",IF(OR(L162&lt;'Coverage Rules'!E7,M162&lt;'Coverage Rules'!E8,N162&lt;'Coverage Rules'!C8,O162&lt;'Coverage Rules'!E9,P162&lt;'Coverage Rules'!E10,Q162&gt;='Coverage Rules'!B16,R162&gt;='Coverage Rules'!B17,IF(S162="",FALSE,S162&gt;='Coverage Rules'!D24)),"Denied","OK"))</f>
        <v/>
      </c>
      <c r="L162">
        <f>IF(B162="","",IFERROR(SUMPRODUCT((LEN(Employees!$A$3:$A$500)&gt;0)*(Employees!$T$3:$T$500=1)*(COUNTIFS($B$3:$B$500,Employees!$A$3:$A$500,$H$3:$H$500,"Approved",$D$3:$D$500,"&lt;="&amp;E162,$E$3:$E$500,"&gt;="&amp;D162,$A$3:$A$500,"&lt;&gt;"&amp;A162)=0)),0))</f>
        <v/>
      </c>
      <c r="M162">
        <f>IF(B162="","",IFERROR(SUMPRODUCT((LEN(Employees!$A$3:$A$500)&gt;0)*(Employees!$U$3:$U$500=1)*(COUNTIFS($B$3:$B$500,Employees!$A$3:$A$500,$H$3:$H$500,"Approved",$D$3:$D$500,"&lt;="&amp;E162,$E$3:$E$500,"&gt;="&amp;D162,$A$3:$A$500,"&lt;&gt;"&amp;A162)=0)),0))</f>
        <v/>
      </c>
      <c r="N162">
        <f>IF(B162="","",IFERROR(SUMPRODUCT((LEN(Employees!$A$3:$A$500)&gt;0)*(Employees!$B$3:$B$500="Manager")*(Employees!$U$3:$U$500=1)*(COUNTIFS($B$3:$B$500,Employees!$A$3:$A$500,$H$3:$H$500,"Approved",$D$3:$D$500,"&lt;="&amp;E162,$E$3:$E$500,"&gt;="&amp;D162,$A$3:$A$500,"&lt;&gt;"&amp;A162)=0)),0))</f>
        <v/>
      </c>
      <c r="O162">
        <f>IF(B162="","",IFERROR(SUMPRODUCT((LEN(Employees!$A$3:$A$500)&gt;0)*(Employees!$V$3:$V$500=1)*(COUNTIFS($B$3:$B$500,Employees!$A$3:$A$500,$H$3:$H$500,"Approved",$D$3:$D$500,"&lt;="&amp;E162,$E$3:$E$500,"&gt;="&amp;D162,$A$3:$A$500,"&lt;&gt;"&amp;A162)=0)),0))</f>
        <v/>
      </c>
      <c r="P162">
        <f>IF(B162="","",IFERROR(SUMPRODUCT((LEN(Employees!$A$3:$A$500)&gt;0)*(Employees!$W$3:$W$500=1)*(COUNTIFS($B$3:$B$500,Employees!$A$3:$A$500,$H$3:$H$500,"Approved",$D$3:$D$500,"&lt;="&amp;E162,$E$3:$E$500,"&gt;="&amp;D162,$A$3:$A$500,"&lt;&gt;"&amp;A162)=0)),0))</f>
        <v/>
      </c>
      <c r="Q162">
        <f>IF(B162="","",IFERROR(SUMPRODUCT((LEN(Employees!$A$3:$A$500)&gt;0)*(Employees!$N$3:$N$500=1)*(COUNTIFS($B$3:$B$500,Employees!$A$3:$A$500,$H$3:$H$500,"Approved",$D$3:$D$500,"&lt;="&amp;E162,$E$3:$E$500,"&gt;="&amp;D162,$A$3:$A$500,"&lt;&gt;"&amp;A162)&gt;0)),0))</f>
        <v/>
      </c>
      <c r="R162">
        <f>IF(B162="","",IFERROR(SUMPRODUCT((LEN(Employees!$A$3:$A$500)&gt;0)*(Employees!$O$3:$O$500=1)*(COUNTIFS($B$3:$B$500,Employees!$A$3:$A$500,$H$3:$H$500,"Approved",$D$3:$D$500,"&lt;="&amp;E162,$E$3:$E$500,"&gt;="&amp;D162,$A$3:$A$500,"&lt;&gt;"&amp;A162)&gt;0)),0))</f>
        <v/>
      </c>
      <c r="S162">
        <f>IF(OR(B162="",IFERROR(XLOOKUP(B162,Employees!$A$3:$A$500,Employees!$G$3:$G$500,""),"")=""),"",IFERROR(SUMPRODUCT((LEN(Employees!$A$3:$A$500)&gt;0)*(Employees!$G$3:$G$500=IFERROR(XLOOKUP(B162,Employees!$A$3:$A$500,Employees!$G$3:$G$500,""),""))*(COUNTIFS($B$3:$B$500,Employees!$A$3:$A$500,$H$3:$H$500,"Approved",$D$3:$D$500,"&lt;="&amp;E162,$E$3:$E$500,"&gt;="&amp;D162,$A$3:$A$500,"&lt;&gt;"&amp;A162)&gt;0)),0))</f>
        <v/>
      </c>
    </row>
    <row r="163">
      <c r="C163">
        <f>IFERROR(XLOOKUP(B163,Employees!$A$3:$A$500,Employees!$B$3:$B$500,""),"")</f>
        <v/>
      </c>
      <c r="I163">
        <f>IF(AND(B163&lt;&gt;"",D163&lt;&gt;"",E163&lt;&gt;""),E163-D163+1,"")</f>
        <v/>
      </c>
      <c r="J163">
        <f>IF(OR(B163="",D163="",E163=""),"",IF(OR(L163&lt;'Coverage Rules'!E7,M163&lt;'Coverage Rules'!E8,N163&lt;'Coverage Rules'!C8,O163&lt;'Coverage Rules'!E9,P163&lt;'Coverage Rules'!E10,Q163&gt;='Coverage Rules'!B16,R163&gt;='Coverage Rules'!B17,IF(S163="",FALSE,S163&gt;='Coverage Rules'!D24)),"Denied","OK"))</f>
        <v/>
      </c>
      <c r="L163">
        <f>IF(B163="","",IFERROR(SUMPRODUCT((LEN(Employees!$A$3:$A$500)&gt;0)*(Employees!$T$3:$T$500=1)*(COUNTIFS($B$3:$B$500,Employees!$A$3:$A$500,$H$3:$H$500,"Approved",$D$3:$D$500,"&lt;="&amp;E163,$E$3:$E$500,"&gt;="&amp;D163,$A$3:$A$500,"&lt;&gt;"&amp;A163)=0)),0))</f>
        <v/>
      </c>
      <c r="M163">
        <f>IF(B163="","",IFERROR(SUMPRODUCT((LEN(Employees!$A$3:$A$500)&gt;0)*(Employees!$U$3:$U$500=1)*(COUNTIFS($B$3:$B$500,Employees!$A$3:$A$500,$H$3:$H$500,"Approved",$D$3:$D$500,"&lt;="&amp;E163,$E$3:$E$500,"&gt;="&amp;D163,$A$3:$A$500,"&lt;&gt;"&amp;A163)=0)),0))</f>
        <v/>
      </c>
      <c r="N163">
        <f>IF(B163="","",IFERROR(SUMPRODUCT((LEN(Employees!$A$3:$A$500)&gt;0)*(Employees!$B$3:$B$500="Manager")*(Employees!$U$3:$U$500=1)*(COUNTIFS($B$3:$B$500,Employees!$A$3:$A$500,$H$3:$H$500,"Approved",$D$3:$D$500,"&lt;="&amp;E163,$E$3:$E$500,"&gt;="&amp;D163,$A$3:$A$500,"&lt;&gt;"&amp;A163)=0)),0))</f>
        <v/>
      </c>
      <c r="O163">
        <f>IF(B163="","",IFERROR(SUMPRODUCT((LEN(Employees!$A$3:$A$500)&gt;0)*(Employees!$V$3:$V$500=1)*(COUNTIFS($B$3:$B$500,Employees!$A$3:$A$500,$H$3:$H$500,"Approved",$D$3:$D$500,"&lt;="&amp;E163,$E$3:$E$500,"&gt;="&amp;D163,$A$3:$A$500,"&lt;&gt;"&amp;A163)=0)),0))</f>
        <v/>
      </c>
      <c r="P163">
        <f>IF(B163="","",IFERROR(SUMPRODUCT((LEN(Employees!$A$3:$A$500)&gt;0)*(Employees!$W$3:$W$500=1)*(COUNTIFS($B$3:$B$500,Employees!$A$3:$A$500,$H$3:$H$500,"Approved",$D$3:$D$500,"&lt;="&amp;E163,$E$3:$E$500,"&gt;="&amp;D163,$A$3:$A$500,"&lt;&gt;"&amp;A163)=0)),0))</f>
        <v/>
      </c>
      <c r="Q163">
        <f>IF(B163="","",IFERROR(SUMPRODUCT((LEN(Employees!$A$3:$A$500)&gt;0)*(Employees!$N$3:$N$500=1)*(COUNTIFS($B$3:$B$500,Employees!$A$3:$A$500,$H$3:$H$500,"Approved",$D$3:$D$500,"&lt;="&amp;E163,$E$3:$E$500,"&gt;="&amp;D163,$A$3:$A$500,"&lt;&gt;"&amp;A163)&gt;0)),0))</f>
        <v/>
      </c>
      <c r="R163">
        <f>IF(B163="","",IFERROR(SUMPRODUCT((LEN(Employees!$A$3:$A$500)&gt;0)*(Employees!$O$3:$O$500=1)*(COUNTIFS($B$3:$B$500,Employees!$A$3:$A$500,$H$3:$H$500,"Approved",$D$3:$D$500,"&lt;="&amp;E163,$E$3:$E$500,"&gt;="&amp;D163,$A$3:$A$500,"&lt;&gt;"&amp;A163)&gt;0)),0))</f>
        <v/>
      </c>
      <c r="S163">
        <f>IF(OR(B163="",IFERROR(XLOOKUP(B163,Employees!$A$3:$A$500,Employees!$G$3:$G$500,""),"")=""),"",IFERROR(SUMPRODUCT((LEN(Employees!$A$3:$A$500)&gt;0)*(Employees!$G$3:$G$500=IFERROR(XLOOKUP(B163,Employees!$A$3:$A$500,Employees!$G$3:$G$500,""),""))*(COUNTIFS($B$3:$B$500,Employees!$A$3:$A$500,$H$3:$H$500,"Approved",$D$3:$D$500,"&lt;="&amp;E163,$E$3:$E$500,"&gt;="&amp;D163,$A$3:$A$500,"&lt;&gt;"&amp;A163)&gt;0)),0))</f>
        <v/>
      </c>
    </row>
    <row r="164">
      <c r="C164">
        <f>IFERROR(XLOOKUP(B164,Employees!$A$3:$A$500,Employees!$B$3:$B$500,""),"")</f>
        <v/>
      </c>
      <c r="I164">
        <f>IF(AND(B164&lt;&gt;"",D164&lt;&gt;"",E164&lt;&gt;""),E164-D164+1,"")</f>
        <v/>
      </c>
      <c r="J164">
        <f>IF(OR(B164="",D164="",E164=""),"",IF(OR(L164&lt;'Coverage Rules'!E7,M164&lt;'Coverage Rules'!E8,N164&lt;'Coverage Rules'!C8,O164&lt;'Coverage Rules'!E9,P164&lt;'Coverage Rules'!E10,Q164&gt;='Coverage Rules'!B16,R164&gt;='Coverage Rules'!B17,IF(S164="",FALSE,S164&gt;='Coverage Rules'!D24)),"Denied","OK"))</f>
        <v/>
      </c>
      <c r="L164">
        <f>IF(B164="","",IFERROR(SUMPRODUCT((LEN(Employees!$A$3:$A$500)&gt;0)*(Employees!$T$3:$T$500=1)*(COUNTIFS($B$3:$B$500,Employees!$A$3:$A$500,$H$3:$H$500,"Approved",$D$3:$D$500,"&lt;="&amp;E164,$E$3:$E$500,"&gt;="&amp;D164,$A$3:$A$500,"&lt;&gt;"&amp;A164)=0)),0))</f>
        <v/>
      </c>
      <c r="M164">
        <f>IF(B164="","",IFERROR(SUMPRODUCT((LEN(Employees!$A$3:$A$500)&gt;0)*(Employees!$U$3:$U$500=1)*(COUNTIFS($B$3:$B$500,Employees!$A$3:$A$500,$H$3:$H$500,"Approved",$D$3:$D$500,"&lt;="&amp;E164,$E$3:$E$500,"&gt;="&amp;D164,$A$3:$A$500,"&lt;&gt;"&amp;A164)=0)),0))</f>
        <v/>
      </c>
      <c r="N164">
        <f>IF(B164="","",IFERROR(SUMPRODUCT((LEN(Employees!$A$3:$A$500)&gt;0)*(Employees!$B$3:$B$500="Manager")*(Employees!$U$3:$U$500=1)*(COUNTIFS($B$3:$B$500,Employees!$A$3:$A$500,$H$3:$H$500,"Approved",$D$3:$D$500,"&lt;="&amp;E164,$E$3:$E$500,"&gt;="&amp;D164,$A$3:$A$500,"&lt;&gt;"&amp;A164)=0)),0))</f>
        <v/>
      </c>
      <c r="O164">
        <f>IF(B164="","",IFERROR(SUMPRODUCT((LEN(Employees!$A$3:$A$500)&gt;0)*(Employees!$V$3:$V$500=1)*(COUNTIFS($B$3:$B$500,Employees!$A$3:$A$500,$H$3:$H$500,"Approved",$D$3:$D$500,"&lt;="&amp;E164,$E$3:$E$500,"&gt;="&amp;D164,$A$3:$A$500,"&lt;&gt;"&amp;A164)=0)),0))</f>
        <v/>
      </c>
      <c r="P164">
        <f>IF(B164="","",IFERROR(SUMPRODUCT((LEN(Employees!$A$3:$A$500)&gt;0)*(Employees!$W$3:$W$500=1)*(COUNTIFS($B$3:$B$500,Employees!$A$3:$A$500,$H$3:$H$500,"Approved",$D$3:$D$500,"&lt;="&amp;E164,$E$3:$E$500,"&gt;="&amp;D164,$A$3:$A$500,"&lt;&gt;"&amp;A164)=0)),0))</f>
        <v/>
      </c>
      <c r="Q164">
        <f>IF(B164="","",IFERROR(SUMPRODUCT((LEN(Employees!$A$3:$A$500)&gt;0)*(Employees!$N$3:$N$500=1)*(COUNTIFS($B$3:$B$500,Employees!$A$3:$A$500,$H$3:$H$500,"Approved",$D$3:$D$500,"&lt;="&amp;E164,$E$3:$E$500,"&gt;="&amp;D164,$A$3:$A$500,"&lt;&gt;"&amp;A164)&gt;0)),0))</f>
        <v/>
      </c>
      <c r="R164">
        <f>IF(B164="","",IFERROR(SUMPRODUCT((LEN(Employees!$A$3:$A$500)&gt;0)*(Employees!$O$3:$O$500=1)*(COUNTIFS($B$3:$B$500,Employees!$A$3:$A$500,$H$3:$H$500,"Approved",$D$3:$D$500,"&lt;="&amp;E164,$E$3:$E$500,"&gt;="&amp;D164,$A$3:$A$500,"&lt;&gt;"&amp;A164)&gt;0)),0))</f>
        <v/>
      </c>
      <c r="S164">
        <f>IF(OR(B164="",IFERROR(XLOOKUP(B164,Employees!$A$3:$A$500,Employees!$G$3:$G$500,""),"")=""),"",IFERROR(SUMPRODUCT((LEN(Employees!$A$3:$A$500)&gt;0)*(Employees!$G$3:$G$500=IFERROR(XLOOKUP(B164,Employees!$A$3:$A$500,Employees!$G$3:$G$500,""),""))*(COUNTIFS($B$3:$B$500,Employees!$A$3:$A$500,$H$3:$H$500,"Approved",$D$3:$D$500,"&lt;="&amp;E164,$E$3:$E$500,"&gt;="&amp;D164,$A$3:$A$500,"&lt;&gt;"&amp;A164)&gt;0)),0))</f>
        <v/>
      </c>
    </row>
    <row r="165">
      <c r="C165">
        <f>IFERROR(XLOOKUP(B165,Employees!$A$3:$A$500,Employees!$B$3:$B$500,""),"")</f>
        <v/>
      </c>
      <c r="I165">
        <f>IF(AND(B165&lt;&gt;"",D165&lt;&gt;"",E165&lt;&gt;""),E165-D165+1,"")</f>
        <v/>
      </c>
      <c r="J165">
        <f>IF(OR(B165="",D165="",E165=""),"",IF(OR(L165&lt;'Coverage Rules'!E7,M165&lt;'Coverage Rules'!E8,N165&lt;'Coverage Rules'!C8,O165&lt;'Coverage Rules'!E9,P165&lt;'Coverage Rules'!E10,Q165&gt;='Coverage Rules'!B16,R165&gt;='Coverage Rules'!B17,IF(S165="",FALSE,S165&gt;='Coverage Rules'!D24)),"Denied","OK"))</f>
        <v/>
      </c>
      <c r="L165">
        <f>IF(B165="","",IFERROR(SUMPRODUCT((LEN(Employees!$A$3:$A$500)&gt;0)*(Employees!$T$3:$T$500=1)*(COUNTIFS($B$3:$B$500,Employees!$A$3:$A$500,$H$3:$H$500,"Approved",$D$3:$D$500,"&lt;="&amp;E165,$E$3:$E$500,"&gt;="&amp;D165,$A$3:$A$500,"&lt;&gt;"&amp;A165)=0)),0))</f>
        <v/>
      </c>
      <c r="M165">
        <f>IF(B165="","",IFERROR(SUMPRODUCT((LEN(Employees!$A$3:$A$500)&gt;0)*(Employees!$U$3:$U$500=1)*(COUNTIFS($B$3:$B$500,Employees!$A$3:$A$500,$H$3:$H$500,"Approved",$D$3:$D$500,"&lt;="&amp;E165,$E$3:$E$500,"&gt;="&amp;D165,$A$3:$A$500,"&lt;&gt;"&amp;A165)=0)),0))</f>
        <v/>
      </c>
      <c r="N165">
        <f>IF(B165="","",IFERROR(SUMPRODUCT((LEN(Employees!$A$3:$A$500)&gt;0)*(Employees!$B$3:$B$500="Manager")*(Employees!$U$3:$U$500=1)*(COUNTIFS($B$3:$B$500,Employees!$A$3:$A$500,$H$3:$H$500,"Approved",$D$3:$D$500,"&lt;="&amp;E165,$E$3:$E$500,"&gt;="&amp;D165,$A$3:$A$500,"&lt;&gt;"&amp;A165)=0)),0))</f>
        <v/>
      </c>
      <c r="O165">
        <f>IF(B165="","",IFERROR(SUMPRODUCT((LEN(Employees!$A$3:$A$500)&gt;0)*(Employees!$V$3:$V$500=1)*(COUNTIFS($B$3:$B$500,Employees!$A$3:$A$500,$H$3:$H$500,"Approved",$D$3:$D$500,"&lt;="&amp;E165,$E$3:$E$500,"&gt;="&amp;D165,$A$3:$A$500,"&lt;&gt;"&amp;A165)=0)),0))</f>
        <v/>
      </c>
      <c r="P165">
        <f>IF(B165="","",IFERROR(SUMPRODUCT((LEN(Employees!$A$3:$A$500)&gt;0)*(Employees!$W$3:$W$500=1)*(COUNTIFS($B$3:$B$500,Employees!$A$3:$A$500,$H$3:$H$500,"Approved",$D$3:$D$500,"&lt;="&amp;E165,$E$3:$E$500,"&gt;="&amp;D165,$A$3:$A$500,"&lt;&gt;"&amp;A165)=0)),0))</f>
        <v/>
      </c>
      <c r="Q165">
        <f>IF(B165="","",IFERROR(SUMPRODUCT((LEN(Employees!$A$3:$A$500)&gt;0)*(Employees!$N$3:$N$500=1)*(COUNTIFS($B$3:$B$500,Employees!$A$3:$A$500,$H$3:$H$500,"Approved",$D$3:$D$500,"&lt;="&amp;E165,$E$3:$E$500,"&gt;="&amp;D165,$A$3:$A$500,"&lt;&gt;"&amp;A165)&gt;0)),0))</f>
        <v/>
      </c>
      <c r="R165">
        <f>IF(B165="","",IFERROR(SUMPRODUCT((LEN(Employees!$A$3:$A$500)&gt;0)*(Employees!$O$3:$O$500=1)*(COUNTIFS($B$3:$B$500,Employees!$A$3:$A$500,$H$3:$H$500,"Approved",$D$3:$D$500,"&lt;="&amp;E165,$E$3:$E$500,"&gt;="&amp;D165,$A$3:$A$500,"&lt;&gt;"&amp;A165)&gt;0)),0))</f>
        <v/>
      </c>
      <c r="S165">
        <f>IF(OR(B165="",IFERROR(XLOOKUP(B165,Employees!$A$3:$A$500,Employees!$G$3:$G$500,""),"")=""),"",IFERROR(SUMPRODUCT((LEN(Employees!$A$3:$A$500)&gt;0)*(Employees!$G$3:$G$500=IFERROR(XLOOKUP(B165,Employees!$A$3:$A$500,Employees!$G$3:$G$500,""),""))*(COUNTIFS($B$3:$B$500,Employees!$A$3:$A$500,$H$3:$H$500,"Approved",$D$3:$D$500,"&lt;="&amp;E165,$E$3:$E$500,"&gt;="&amp;D165,$A$3:$A$500,"&lt;&gt;"&amp;A165)&gt;0)),0))</f>
        <v/>
      </c>
    </row>
    <row r="166">
      <c r="C166">
        <f>IFERROR(XLOOKUP(B166,Employees!$A$3:$A$500,Employees!$B$3:$B$500,""),"")</f>
        <v/>
      </c>
      <c r="I166">
        <f>IF(AND(B166&lt;&gt;"",D166&lt;&gt;"",E166&lt;&gt;""),E166-D166+1,"")</f>
        <v/>
      </c>
      <c r="J166">
        <f>IF(OR(B166="",D166="",E166=""),"",IF(OR(L166&lt;'Coverage Rules'!E7,M166&lt;'Coverage Rules'!E8,N166&lt;'Coverage Rules'!C8,O166&lt;'Coverage Rules'!E9,P166&lt;'Coverage Rules'!E10,Q166&gt;='Coverage Rules'!B16,R166&gt;='Coverage Rules'!B17,IF(S166="",FALSE,S166&gt;='Coverage Rules'!D24)),"Denied","OK"))</f>
        <v/>
      </c>
      <c r="L166">
        <f>IF(B166="","",IFERROR(SUMPRODUCT((LEN(Employees!$A$3:$A$500)&gt;0)*(Employees!$T$3:$T$500=1)*(COUNTIFS($B$3:$B$500,Employees!$A$3:$A$500,$H$3:$H$500,"Approved",$D$3:$D$500,"&lt;="&amp;E166,$E$3:$E$500,"&gt;="&amp;D166,$A$3:$A$500,"&lt;&gt;"&amp;A166)=0)),0))</f>
        <v/>
      </c>
      <c r="M166">
        <f>IF(B166="","",IFERROR(SUMPRODUCT((LEN(Employees!$A$3:$A$500)&gt;0)*(Employees!$U$3:$U$500=1)*(COUNTIFS($B$3:$B$500,Employees!$A$3:$A$500,$H$3:$H$500,"Approved",$D$3:$D$500,"&lt;="&amp;E166,$E$3:$E$500,"&gt;="&amp;D166,$A$3:$A$500,"&lt;&gt;"&amp;A166)=0)),0))</f>
        <v/>
      </c>
      <c r="N166">
        <f>IF(B166="","",IFERROR(SUMPRODUCT((LEN(Employees!$A$3:$A$500)&gt;0)*(Employees!$B$3:$B$500="Manager")*(Employees!$U$3:$U$500=1)*(COUNTIFS($B$3:$B$500,Employees!$A$3:$A$500,$H$3:$H$500,"Approved",$D$3:$D$500,"&lt;="&amp;E166,$E$3:$E$500,"&gt;="&amp;D166,$A$3:$A$500,"&lt;&gt;"&amp;A166)=0)),0))</f>
        <v/>
      </c>
      <c r="O166">
        <f>IF(B166="","",IFERROR(SUMPRODUCT((LEN(Employees!$A$3:$A$500)&gt;0)*(Employees!$V$3:$V$500=1)*(COUNTIFS($B$3:$B$500,Employees!$A$3:$A$500,$H$3:$H$500,"Approved",$D$3:$D$500,"&lt;="&amp;E166,$E$3:$E$500,"&gt;="&amp;D166,$A$3:$A$500,"&lt;&gt;"&amp;A166)=0)),0))</f>
        <v/>
      </c>
      <c r="P166">
        <f>IF(B166="","",IFERROR(SUMPRODUCT((LEN(Employees!$A$3:$A$500)&gt;0)*(Employees!$W$3:$W$500=1)*(COUNTIFS($B$3:$B$500,Employees!$A$3:$A$500,$H$3:$H$500,"Approved",$D$3:$D$500,"&lt;="&amp;E166,$E$3:$E$500,"&gt;="&amp;D166,$A$3:$A$500,"&lt;&gt;"&amp;A166)=0)),0))</f>
        <v/>
      </c>
      <c r="Q166">
        <f>IF(B166="","",IFERROR(SUMPRODUCT((LEN(Employees!$A$3:$A$500)&gt;0)*(Employees!$N$3:$N$500=1)*(COUNTIFS($B$3:$B$500,Employees!$A$3:$A$500,$H$3:$H$500,"Approved",$D$3:$D$500,"&lt;="&amp;E166,$E$3:$E$500,"&gt;="&amp;D166,$A$3:$A$500,"&lt;&gt;"&amp;A166)&gt;0)),0))</f>
        <v/>
      </c>
      <c r="R166">
        <f>IF(B166="","",IFERROR(SUMPRODUCT((LEN(Employees!$A$3:$A$500)&gt;0)*(Employees!$O$3:$O$500=1)*(COUNTIFS($B$3:$B$500,Employees!$A$3:$A$500,$H$3:$H$500,"Approved",$D$3:$D$500,"&lt;="&amp;E166,$E$3:$E$500,"&gt;="&amp;D166,$A$3:$A$500,"&lt;&gt;"&amp;A166)&gt;0)),0))</f>
        <v/>
      </c>
      <c r="S166">
        <f>IF(OR(B166="",IFERROR(XLOOKUP(B166,Employees!$A$3:$A$500,Employees!$G$3:$G$500,""),"")=""),"",IFERROR(SUMPRODUCT((LEN(Employees!$A$3:$A$500)&gt;0)*(Employees!$G$3:$G$500=IFERROR(XLOOKUP(B166,Employees!$A$3:$A$500,Employees!$G$3:$G$500,""),""))*(COUNTIFS($B$3:$B$500,Employees!$A$3:$A$500,$H$3:$H$500,"Approved",$D$3:$D$500,"&lt;="&amp;E166,$E$3:$E$500,"&gt;="&amp;D166,$A$3:$A$500,"&lt;&gt;"&amp;A166)&gt;0)),0))</f>
        <v/>
      </c>
    </row>
    <row r="167">
      <c r="C167">
        <f>IFERROR(XLOOKUP(B167,Employees!$A$3:$A$500,Employees!$B$3:$B$500,""),"")</f>
        <v/>
      </c>
      <c r="I167">
        <f>IF(AND(B167&lt;&gt;"",D167&lt;&gt;"",E167&lt;&gt;""),E167-D167+1,"")</f>
        <v/>
      </c>
      <c r="J167">
        <f>IF(OR(B167="",D167="",E167=""),"",IF(OR(L167&lt;'Coverage Rules'!E7,M167&lt;'Coverage Rules'!E8,N167&lt;'Coverage Rules'!C8,O167&lt;'Coverage Rules'!E9,P167&lt;'Coverage Rules'!E10,Q167&gt;='Coverage Rules'!B16,R167&gt;='Coverage Rules'!B17,IF(S167="",FALSE,S167&gt;='Coverage Rules'!D24)),"Denied","OK"))</f>
        <v/>
      </c>
      <c r="L167">
        <f>IF(B167="","",IFERROR(SUMPRODUCT((LEN(Employees!$A$3:$A$500)&gt;0)*(Employees!$T$3:$T$500=1)*(COUNTIFS($B$3:$B$500,Employees!$A$3:$A$500,$H$3:$H$500,"Approved",$D$3:$D$500,"&lt;="&amp;E167,$E$3:$E$500,"&gt;="&amp;D167,$A$3:$A$500,"&lt;&gt;"&amp;A167)=0)),0))</f>
        <v/>
      </c>
      <c r="M167">
        <f>IF(B167="","",IFERROR(SUMPRODUCT((LEN(Employees!$A$3:$A$500)&gt;0)*(Employees!$U$3:$U$500=1)*(COUNTIFS($B$3:$B$500,Employees!$A$3:$A$500,$H$3:$H$500,"Approved",$D$3:$D$500,"&lt;="&amp;E167,$E$3:$E$500,"&gt;="&amp;D167,$A$3:$A$500,"&lt;&gt;"&amp;A167)=0)),0))</f>
        <v/>
      </c>
      <c r="N167">
        <f>IF(B167="","",IFERROR(SUMPRODUCT((LEN(Employees!$A$3:$A$500)&gt;0)*(Employees!$B$3:$B$500="Manager")*(Employees!$U$3:$U$500=1)*(COUNTIFS($B$3:$B$500,Employees!$A$3:$A$500,$H$3:$H$500,"Approved",$D$3:$D$500,"&lt;="&amp;E167,$E$3:$E$500,"&gt;="&amp;D167,$A$3:$A$500,"&lt;&gt;"&amp;A167)=0)),0))</f>
        <v/>
      </c>
      <c r="O167">
        <f>IF(B167="","",IFERROR(SUMPRODUCT((LEN(Employees!$A$3:$A$500)&gt;0)*(Employees!$V$3:$V$500=1)*(COUNTIFS($B$3:$B$500,Employees!$A$3:$A$500,$H$3:$H$500,"Approved",$D$3:$D$500,"&lt;="&amp;E167,$E$3:$E$500,"&gt;="&amp;D167,$A$3:$A$500,"&lt;&gt;"&amp;A167)=0)),0))</f>
        <v/>
      </c>
      <c r="P167">
        <f>IF(B167="","",IFERROR(SUMPRODUCT((LEN(Employees!$A$3:$A$500)&gt;0)*(Employees!$W$3:$W$500=1)*(COUNTIFS($B$3:$B$500,Employees!$A$3:$A$500,$H$3:$H$500,"Approved",$D$3:$D$500,"&lt;="&amp;E167,$E$3:$E$500,"&gt;="&amp;D167,$A$3:$A$500,"&lt;&gt;"&amp;A167)=0)),0))</f>
        <v/>
      </c>
      <c r="Q167">
        <f>IF(B167="","",IFERROR(SUMPRODUCT((LEN(Employees!$A$3:$A$500)&gt;0)*(Employees!$N$3:$N$500=1)*(COUNTIFS($B$3:$B$500,Employees!$A$3:$A$500,$H$3:$H$500,"Approved",$D$3:$D$500,"&lt;="&amp;E167,$E$3:$E$500,"&gt;="&amp;D167,$A$3:$A$500,"&lt;&gt;"&amp;A167)&gt;0)),0))</f>
        <v/>
      </c>
      <c r="R167">
        <f>IF(B167="","",IFERROR(SUMPRODUCT((LEN(Employees!$A$3:$A$500)&gt;0)*(Employees!$O$3:$O$500=1)*(COUNTIFS($B$3:$B$500,Employees!$A$3:$A$500,$H$3:$H$500,"Approved",$D$3:$D$500,"&lt;="&amp;E167,$E$3:$E$500,"&gt;="&amp;D167,$A$3:$A$500,"&lt;&gt;"&amp;A167)&gt;0)),0))</f>
        <v/>
      </c>
      <c r="S167">
        <f>IF(OR(B167="",IFERROR(XLOOKUP(B167,Employees!$A$3:$A$500,Employees!$G$3:$G$500,""),"")=""),"",IFERROR(SUMPRODUCT((LEN(Employees!$A$3:$A$500)&gt;0)*(Employees!$G$3:$G$500=IFERROR(XLOOKUP(B167,Employees!$A$3:$A$500,Employees!$G$3:$G$500,""),""))*(COUNTIFS($B$3:$B$500,Employees!$A$3:$A$500,$H$3:$H$500,"Approved",$D$3:$D$500,"&lt;="&amp;E167,$E$3:$E$500,"&gt;="&amp;D167,$A$3:$A$500,"&lt;&gt;"&amp;A167)&gt;0)),0))</f>
        <v/>
      </c>
    </row>
    <row r="168">
      <c r="C168">
        <f>IFERROR(XLOOKUP(B168,Employees!$A$3:$A$500,Employees!$B$3:$B$500,""),"")</f>
        <v/>
      </c>
      <c r="I168">
        <f>IF(AND(B168&lt;&gt;"",D168&lt;&gt;"",E168&lt;&gt;""),E168-D168+1,"")</f>
        <v/>
      </c>
      <c r="J168">
        <f>IF(OR(B168="",D168="",E168=""),"",IF(OR(L168&lt;'Coverage Rules'!E7,M168&lt;'Coverage Rules'!E8,N168&lt;'Coverage Rules'!C8,O168&lt;'Coverage Rules'!E9,P168&lt;'Coverage Rules'!E10,Q168&gt;='Coverage Rules'!B16,R168&gt;='Coverage Rules'!B17,IF(S168="",FALSE,S168&gt;='Coverage Rules'!D24)),"Denied","OK"))</f>
        <v/>
      </c>
      <c r="L168">
        <f>IF(B168="","",IFERROR(SUMPRODUCT((LEN(Employees!$A$3:$A$500)&gt;0)*(Employees!$T$3:$T$500=1)*(COUNTIFS($B$3:$B$500,Employees!$A$3:$A$500,$H$3:$H$500,"Approved",$D$3:$D$500,"&lt;="&amp;E168,$E$3:$E$500,"&gt;="&amp;D168,$A$3:$A$500,"&lt;&gt;"&amp;A168)=0)),0))</f>
        <v/>
      </c>
      <c r="M168">
        <f>IF(B168="","",IFERROR(SUMPRODUCT((LEN(Employees!$A$3:$A$500)&gt;0)*(Employees!$U$3:$U$500=1)*(COUNTIFS($B$3:$B$500,Employees!$A$3:$A$500,$H$3:$H$500,"Approved",$D$3:$D$500,"&lt;="&amp;E168,$E$3:$E$500,"&gt;="&amp;D168,$A$3:$A$500,"&lt;&gt;"&amp;A168)=0)),0))</f>
        <v/>
      </c>
      <c r="N168">
        <f>IF(B168="","",IFERROR(SUMPRODUCT((LEN(Employees!$A$3:$A$500)&gt;0)*(Employees!$B$3:$B$500="Manager")*(Employees!$U$3:$U$500=1)*(COUNTIFS($B$3:$B$500,Employees!$A$3:$A$500,$H$3:$H$500,"Approved",$D$3:$D$500,"&lt;="&amp;E168,$E$3:$E$500,"&gt;="&amp;D168,$A$3:$A$500,"&lt;&gt;"&amp;A168)=0)),0))</f>
        <v/>
      </c>
      <c r="O168">
        <f>IF(B168="","",IFERROR(SUMPRODUCT((LEN(Employees!$A$3:$A$500)&gt;0)*(Employees!$V$3:$V$500=1)*(COUNTIFS($B$3:$B$500,Employees!$A$3:$A$500,$H$3:$H$500,"Approved",$D$3:$D$500,"&lt;="&amp;E168,$E$3:$E$500,"&gt;="&amp;D168,$A$3:$A$500,"&lt;&gt;"&amp;A168)=0)),0))</f>
        <v/>
      </c>
      <c r="P168">
        <f>IF(B168="","",IFERROR(SUMPRODUCT((LEN(Employees!$A$3:$A$500)&gt;0)*(Employees!$W$3:$W$500=1)*(COUNTIFS($B$3:$B$500,Employees!$A$3:$A$500,$H$3:$H$500,"Approved",$D$3:$D$500,"&lt;="&amp;E168,$E$3:$E$500,"&gt;="&amp;D168,$A$3:$A$500,"&lt;&gt;"&amp;A168)=0)),0))</f>
        <v/>
      </c>
      <c r="Q168">
        <f>IF(B168="","",IFERROR(SUMPRODUCT((LEN(Employees!$A$3:$A$500)&gt;0)*(Employees!$N$3:$N$500=1)*(COUNTIFS($B$3:$B$500,Employees!$A$3:$A$500,$H$3:$H$500,"Approved",$D$3:$D$500,"&lt;="&amp;E168,$E$3:$E$500,"&gt;="&amp;D168,$A$3:$A$500,"&lt;&gt;"&amp;A168)&gt;0)),0))</f>
        <v/>
      </c>
      <c r="R168">
        <f>IF(B168="","",IFERROR(SUMPRODUCT((LEN(Employees!$A$3:$A$500)&gt;0)*(Employees!$O$3:$O$500=1)*(COUNTIFS($B$3:$B$500,Employees!$A$3:$A$500,$H$3:$H$500,"Approved",$D$3:$D$500,"&lt;="&amp;E168,$E$3:$E$500,"&gt;="&amp;D168,$A$3:$A$500,"&lt;&gt;"&amp;A168)&gt;0)),0))</f>
        <v/>
      </c>
      <c r="S168">
        <f>IF(OR(B168="",IFERROR(XLOOKUP(B168,Employees!$A$3:$A$500,Employees!$G$3:$G$500,""),"")=""),"",IFERROR(SUMPRODUCT((LEN(Employees!$A$3:$A$500)&gt;0)*(Employees!$G$3:$G$500=IFERROR(XLOOKUP(B168,Employees!$A$3:$A$500,Employees!$G$3:$G$500,""),""))*(COUNTIFS($B$3:$B$500,Employees!$A$3:$A$500,$H$3:$H$500,"Approved",$D$3:$D$500,"&lt;="&amp;E168,$E$3:$E$500,"&gt;="&amp;D168,$A$3:$A$500,"&lt;&gt;"&amp;A168)&gt;0)),0))</f>
        <v/>
      </c>
    </row>
    <row r="169">
      <c r="C169">
        <f>IFERROR(XLOOKUP(B169,Employees!$A$3:$A$500,Employees!$B$3:$B$500,""),"")</f>
        <v/>
      </c>
      <c r="I169">
        <f>IF(AND(B169&lt;&gt;"",D169&lt;&gt;"",E169&lt;&gt;""),E169-D169+1,"")</f>
        <v/>
      </c>
      <c r="J169">
        <f>IF(OR(B169="",D169="",E169=""),"",IF(OR(L169&lt;'Coverage Rules'!E7,M169&lt;'Coverage Rules'!E8,N169&lt;'Coverage Rules'!C8,O169&lt;'Coverage Rules'!E9,P169&lt;'Coverage Rules'!E10,Q169&gt;='Coverage Rules'!B16,R169&gt;='Coverage Rules'!B17,IF(S169="",FALSE,S169&gt;='Coverage Rules'!D24)),"Denied","OK"))</f>
        <v/>
      </c>
      <c r="L169">
        <f>IF(B169="","",IFERROR(SUMPRODUCT((LEN(Employees!$A$3:$A$500)&gt;0)*(Employees!$T$3:$T$500=1)*(COUNTIFS($B$3:$B$500,Employees!$A$3:$A$500,$H$3:$H$500,"Approved",$D$3:$D$500,"&lt;="&amp;E169,$E$3:$E$500,"&gt;="&amp;D169,$A$3:$A$500,"&lt;&gt;"&amp;A169)=0)),0))</f>
        <v/>
      </c>
      <c r="M169">
        <f>IF(B169="","",IFERROR(SUMPRODUCT((LEN(Employees!$A$3:$A$500)&gt;0)*(Employees!$U$3:$U$500=1)*(COUNTIFS($B$3:$B$500,Employees!$A$3:$A$500,$H$3:$H$500,"Approved",$D$3:$D$500,"&lt;="&amp;E169,$E$3:$E$500,"&gt;="&amp;D169,$A$3:$A$500,"&lt;&gt;"&amp;A169)=0)),0))</f>
        <v/>
      </c>
      <c r="N169">
        <f>IF(B169="","",IFERROR(SUMPRODUCT((LEN(Employees!$A$3:$A$500)&gt;0)*(Employees!$B$3:$B$500="Manager")*(Employees!$U$3:$U$500=1)*(COUNTIFS($B$3:$B$500,Employees!$A$3:$A$500,$H$3:$H$500,"Approved",$D$3:$D$500,"&lt;="&amp;E169,$E$3:$E$500,"&gt;="&amp;D169,$A$3:$A$500,"&lt;&gt;"&amp;A169)=0)),0))</f>
        <v/>
      </c>
      <c r="O169">
        <f>IF(B169="","",IFERROR(SUMPRODUCT((LEN(Employees!$A$3:$A$500)&gt;0)*(Employees!$V$3:$V$500=1)*(COUNTIFS($B$3:$B$500,Employees!$A$3:$A$500,$H$3:$H$500,"Approved",$D$3:$D$500,"&lt;="&amp;E169,$E$3:$E$500,"&gt;="&amp;D169,$A$3:$A$500,"&lt;&gt;"&amp;A169)=0)),0))</f>
        <v/>
      </c>
      <c r="P169">
        <f>IF(B169="","",IFERROR(SUMPRODUCT((LEN(Employees!$A$3:$A$500)&gt;0)*(Employees!$W$3:$W$500=1)*(COUNTIFS($B$3:$B$500,Employees!$A$3:$A$500,$H$3:$H$500,"Approved",$D$3:$D$500,"&lt;="&amp;E169,$E$3:$E$500,"&gt;="&amp;D169,$A$3:$A$500,"&lt;&gt;"&amp;A169)=0)),0))</f>
        <v/>
      </c>
      <c r="Q169">
        <f>IF(B169="","",IFERROR(SUMPRODUCT((LEN(Employees!$A$3:$A$500)&gt;0)*(Employees!$N$3:$N$500=1)*(COUNTIFS($B$3:$B$500,Employees!$A$3:$A$500,$H$3:$H$500,"Approved",$D$3:$D$500,"&lt;="&amp;E169,$E$3:$E$500,"&gt;="&amp;D169,$A$3:$A$500,"&lt;&gt;"&amp;A169)&gt;0)),0))</f>
        <v/>
      </c>
      <c r="R169">
        <f>IF(B169="","",IFERROR(SUMPRODUCT((LEN(Employees!$A$3:$A$500)&gt;0)*(Employees!$O$3:$O$500=1)*(COUNTIFS($B$3:$B$500,Employees!$A$3:$A$500,$H$3:$H$500,"Approved",$D$3:$D$500,"&lt;="&amp;E169,$E$3:$E$500,"&gt;="&amp;D169,$A$3:$A$500,"&lt;&gt;"&amp;A169)&gt;0)),0))</f>
        <v/>
      </c>
      <c r="S169">
        <f>IF(OR(B169="",IFERROR(XLOOKUP(B169,Employees!$A$3:$A$500,Employees!$G$3:$G$500,""),"")=""),"",IFERROR(SUMPRODUCT((LEN(Employees!$A$3:$A$500)&gt;0)*(Employees!$G$3:$G$500=IFERROR(XLOOKUP(B169,Employees!$A$3:$A$500,Employees!$G$3:$G$500,""),""))*(COUNTIFS($B$3:$B$500,Employees!$A$3:$A$500,$H$3:$H$500,"Approved",$D$3:$D$500,"&lt;="&amp;E169,$E$3:$E$500,"&gt;="&amp;D169,$A$3:$A$500,"&lt;&gt;"&amp;A169)&gt;0)),0))</f>
        <v/>
      </c>
    </row>
    <row r="170">
      <c r="C170">
        <f>IFERROR(XLOOKUP(B170,Employees!$A$3:$A$500,Employees!$B$3:$B$500,""),"")</f>
        <v/>
      </c>
      <c r="I170">
        <f>IF(AND(B170&lt;&gt;"",D170&lt;&gt;"",E170&lt;&gt;""),E170-D170+1,"")</f>
        <v/>
      </c>
      <c r="J170">
        <f>IF(OR(B170="",D170="",E170=""),"",IF(OR(L170&lt;'Coverage Rules'!E7,M170&lt;'Coverage Rules'!E8,N170&lt;'Coverage Rules'!C8,O170&lt;'Coverage Rules'!E9,P170&lt;'Coverage Rules'!E10,Q170&gt;='Coverage Rules'!B16,R170&gt;='Coverage Rules'!B17,IF(S170="",FALSE,S170&gt;='Coverage Rules'!D24)),"Denied","OK"))</f>
        <v/>
      </c>
      <c r="L170">
        <f>IF(B170="","",IFERROR(SUMPRODUCT((LEN(Employees!$A$3:$A$500)&gt;0)*(Employees!$T$3:$T$500=1)*(COUNTIFS($B$3:$B$500,Employees!$A$3:$A$500,$H$3:$H$500,"Approved",$D$3:$D$500,"&lt;="&amp;E170,$E$3:$E$500,"&gt;="&amp;D170,$A$3:$A$500,"&lt;&gt;"&amp;A170)=0)),0))</f>
        <v/>
      </c>
      <c r="M170">
        <f>IF(B170="","",IFERROR(SUMPRODUCT((LEN(Employees!$A$3:$A$500)&gt;0)*(Employees!$U$3:$U$500=1)*(COUNTIFS($B$3:$B$500,Employees!$A$3:$A$500,$H$3:$H$500,"Approved",$D$3:$D$500,"&lt;="&amp;E170,$E$3:$E$500,"&gt;="&amp;D170,$A$3:$A$500,"&lt;&gt;"&amp;A170)=0)),0))</f>
        <v/>
      </c>
      <c r="N170">
        <f>IF(B170="","",IFERROR(SUMPRODUCT((LEN(Employees!$A$3:$A$500)&gt;0)*(Employees!$B$3:$B$500="Manager")*(Employees!$U$3:$U$500=1)*(COUNTIFS($B$3:$B$500,Employees!$A$3:$A$500,$H$3:$H$500,"Approved",$D$3:$D$500,"&lt;="&amp;E170,$E$3:$E$500,"&gt;="&amp;D170,$A$3:$A$500,"&lt;&gt;"&amp;A170)=0)),0))</f>
        <v/>
      </c>
      <c r="O170">
        <f>IF(B170="","",IFERROR(SUMPRODUCT((LEN(Employees!$A$3:$A$500)&gt;0)*(Employees!$V$3:$V$500=1)*(COUNTIFS($B$3:$B$500,Employees!$A$3:$A$500,$H$3:$H$500,"Approved",$D$3:$D$500,"&lt;="&amp;E170,$E$3:$E$500,"&gt;="&amp;D170,$A$3:$A$500,"&lt;&gt;"&amp;A170)=0)),0))</f>
        <v/>
      </c>
      <c r="P170">
        <f>IF(B170="","",IFERROR(SUMPRODUCT((LEN(Employees!$A$3:$A$500)&gt;0)*(Employees!$W$3:$W$500=1)*(COUNTIFS($B$3:$B$500,Employees!$A$3:$A$500,$H$3:$H$500,"Approved",$D$3:$D$500,"&lt;="&amp;E170,$E$3:$E$500,"&gt;="&amp;D170,$A$3:$A$500,"&lt;&gt;"&amp;A170)=0)),0))</f>
        <v/>
      </c>
      <c r="Q170">
        <f>IF(B170="","",IFERROR(SUMPRODUCT((LEN(Employees!$A$3:$A$500)&gt;0)*(Employees!$N$3:$N$500=1)*(COUNTIFS($B$3:$B$500,Employees!$A$3:$A$500,$H$3:$H$500,"Approved",$D$3:$D$500,"&lt;="&amp;E170,$E$3:$E$500,"&gt;="&amp;D170,$A$3:$A$500,"&lt;&gt;"&amp;A170)&gt;0)),0))</f>
        <v/>
      </c>
      <c r="R170">
        <f>IF(B170="","",IFERROR(SUMPRODUCT((LEN(Employees!$A$3:$A$500)&gt;0)*(Employees!$O$3:$O$500=1)*(COUNTIFS($B$3:$B$500,Employees!$A$3:$A$500,$H$3:$H$500,"Approved",$D$3:$D$500,"&lt;="&amp;E170,$E$3:$E$500,"&gt;="&amp;D170,$A$3:$A$500,"&lt;&gt;"&amp;A170)&gt;0)),0))</f>
        <v/>
      </c>
      <c r="S170">
        <f>IF(OR(B170="",IFERROR(XLOOKUP(B170,Employees!$A$3:$A$500,Employees!$G$3:$G$500,""),"")=""),"",IFERROR(SUMPRODUCT((LEN(Employees!$A$3:$A$500)&gt;0)*(Employees!$G$3:$G$500=IFERROR(XLOOKUP(B170,Employees!$A$3:$A$500,Employees!$G$3:$G$500,""),""))*(COUNTIFS($B$3:$B$500,Employees!$A$3:$A$500,$H$3:$H$500,"Approved",$D$3:$D$500,"&lt;="&amp;E170,$E$3:$E$500,"&gt;="&amp;D170,$A$3:$A$500,"&lt;&gt;"&amp;A170)&gt;0)),0))</f>
        <v/>
      </c>
    </row>
    <row r="171">
      <c r="C171">
        <f>IFERROR(XLOOKUP(B171,Employees!$A$3:$A$500,Employees!$B$3:$B$500,""),"")</f>
        <v/>
      </c>
      <c r="I171">
        <f>IF(AND(B171&lt;&gt;"",D171&lt;&gt;"",E171&lt;&gt;""),E171-D171+1,"")</f>
        <v/>
      </c>
      <c r="J171">
        <f>IF(OR(B171="",D171="",E171=""),"",IF(OR(L171&lt;'Coverage Rules'!E7,M171&lt;'Coverage Rules'!E8,N171&lt;'Coverage Rules'!C8,O171&lt;'Coverage Rules'!E9,P171&lt;'Coverage Rules'!E10,Q171&gt;='Coverage Rules'!B16,R171&gt;='Coverage Rules'!B17,IF(S171="",FALSE,S171&gt;='Coverage Rules'!D24)),"Denied","OK"))</f>
        <v/>
      </c>
      <c r="L171">
        <f>IF(B171="","",IFERROR(SUMPRODUCT((LEN(Employees!$A$3:$A$500)&gt;0)*(Employees!$T$3:$T$500=1)*(COUNTIFS($B$3:$B$500,Employees!$A$3:$A$500,$H$3:$H$500,"Approved",$D$3:$D$500,"&lt;="&amp;E171,$E$3:$E$500,"&gt;="&amp;D171,$A$3:$A$500,"&lt;&gt;"&amp;A171)=0)),0))</f>
        <v/>
      </c>
      <c r="M171">
        <f>IF(B171="","",IFERROR(SUMPRODUCT((LEN(Employees!$A$3:$A$500)&gt;0)*(Employees!$U$3:$U$500=1)*(COUNTIFS($B$3:$B$500,Employees!$A$3:$A$500,$H$3:$H$500,"Approved",$D$3:$D$500,"&lt;="&amp;E171,$E$3:$E$500,"&gt;="&amp;D171,$A$3:$A$500,"&lt;&gt;"&amp;A171)=0)),0))</f>
        <v/>
      </c>
      <c r="N171">
        <f>IF(B171="","",IFERROR(SUMPRODUCT((LEN(Employees!$A$3:$A$500)&gt;0)*(Employees!$B$3:$B$500="Manager")*(Employees!$U$3:$U$500=1)*(COUNTIFS($B$3:$B$500,Employees!$A$3:$A$500,$H$3:$H$500,"Approved",$D$3:$D$500,"&lt;="&amp;E171,$E$3:$E$500,"&gt;="&amp;D171,$A$3:$A$500,"&lt;&gt;"&amp;A171)=0)),0))</f>
        <v/>
      </c>
      <c r="O171">
        <f>IF(B171="","",IFERROR(SUMPRODUCT((LEN(Employees!$A$3:$A$500)&gt;0)*(Employees!$V$3:$V$500=1)*(COUNTIFS($B$3:$B$500,Employees!$A$3:$A$500,$H$3:$H$500,"Approved",$D$3:$D$500,"&lt;="&amp;E171,$E$3:$E$500,"&gt;="&amp;D171,$A$3:$A$500,"&lt;&gt;"&amp;A171)=0)),0))</f>
        <v/>
      </c>
      <c r="P171">
        <f>IF(B171="","",IFERROR(SUMPRODUCT((LEN(Employees!$A$3:$A$500)&gt;0)*(Employees!$W$3:$W$500=1)*(COUNTIFS($B$3:$B$500,Employees!$A$3:$A$500,$H$3:$H$500,"Approved",$D$3:$D$500,"&lt;="&amp;E171,$E$3:$E$500,"&gt;="&amp;D171,$A$3:$A$500,"&lt;&gt;"&amp;A171)=0)),0))</f>
        <v/>
      </c>
      <c r="Q171">
        <f>IF(B171="","",IFERROR(SUMPRODUCT((LEN(Employees!$A$3:$A$500)&gt;0)*(Employees!$N$3:$N$500=1)*(COUNTIFS($B$3:$B$500,Employees!$A$3:$A$500,$H$3:$H$500,"Approved",$D$3:$D$500,"&lt;="&amp;E171,$E$3:$E$500,"&gt;="&amp;D171,$A$3:$A$500,"&lt;&gt;"&amp;A171)&gt;0)),0))</f>
        <v/>
      </c>
      <c r="R171">
        <f>IF(B171="","",IFERROR(SUMPRODUCT((LEN(Employees!$A$3:$A$500)&gt;0)*(Employees!$O$3:$O$500=1)*(COUNTIFS($B$3:$B$500,Employees!$A$3:$A$500,$H$3:$H$500,"Approved",$D$3:$D$500,"&lt;="&amp;E171,$E$3:$E$500,"&gt;="&amp;D171,$A$3:$A$500,"&lt;&gt;"&amp;A171)&gt;0)),0))</f>
        <v/>
      </c>
      <c r="S171">
        <f>IF(OR(B171="",IFERROR(XLOOKUP(B171,Employees!$A$3:$A$500,Employees!$G$3:$G$500,""),"")=""),"",IFERROR(SUMPRODUCT((LEN(Employees!$A$3:$A$500)&gt;0)*(Employees!$G$3:$G$500=IFERROR(XLOOKUP(B171,Employees!$A$3:$A$500,Employees!$G$3:$G$500,""),""))*(COUNTIFS($B$3:$B$500,Employees!$A$3:$A$500,$H$3:$H$500,"Approved",$D$3:$D$500,"&lt;="&amp;E171,$E$3:$E$500,"&gt;="&amp;D171,$A$3:$A$500,"&lt;&gt;"&amp;A171)&gt;0)),0))</f>
        <v/>
      </c>
    </row>
    <row r="172">
      <c r="C172">
        <f>IFERROR(XLOOKUP(B172,Employees!$A$3:$A$500,Employees!$B$3:$B$500,""),"")</f>
        <v/>
      </c>
      <c r="I172">
        <f>IF(AND(B172&lt;&gt;"",D172&lt;&gt;"",E172&lt;&gt;""),E172-D172+1,"")</f>
        <v/>
      </c>
      <c r="J172">
        <f>IF(OR(B172="",D172="",E172=""),"",IF(OR(L172&lt;'Coverage Rules'!E7,M172&lt;'Coverage Rules'!E8,N172&lt;'Coverage Rules'!C8,O172&lt;'Coverage Rules'!E9,P172&lt;'Coverage Rules'!E10,Q172&gt;='Coverage Rules'!B16,R172&gt;='Coverage Rules'!B17,IF(S172="",FALSE,S172&gt;='Coverage Rules'!D24)),"Denied","OK"))</f>
        <v/>
      </c>
      <c r="L172">
        <f>IF(B172="","",IFERROR(SUMPRODUCT((LEN(Employees!$A$3:$A$500)&gt;0)*(Employees!$T$3:$T$500=1)*(COUNTIFS($B$3:$B$500,Employees!$A$3:$A$500,$H$3:$H$500,"Approved",$D$3:$D$500,"&lt;="&amp;E172,$E$3:$E$500,"&gt;="&amp;D172,$A$3:$A$500,"&lt;&gt;"&amp;A172)=0)),0))</f>
        <v/>
      </c>
      <c r="M172">
        <f>IF(B172="","",IFERROR(SUMPRODUCT((LEN(Employees!$A$3:$A$500)&gt;0)*(Employees!$U$3:$U$500=1)*(COUNTIFS($B$3:$B$500,Employees!$A$3:$A$500,$H$3:$H$500,"Approved",$D$3:$D$500,"&lt;="&amp;E172,$E$3:$E$500,"&gt;="&amp;D172,$A$3:$A$500,"&lt;&gt;"&amp;A172)=0)),0))</f>
        <v/>
      </c>
      <c r="N172">
        <f>IF(B172="","",IFERROR(SUMPRODUCT((LEN(Employees!$A$3:$A$500)&gt;0)*(Employees!$B$3:$B$500="Manager")*(Employees!$U$3:$U$500=1)*(COUNTIFS($B$3:$B$500,Employees!$A$3:$A$500,$H$3:$H$500,"Approved",$D$3:$D$500,"&lt;="&amp;E172,$E$3:$E$500,"&gt;="&amp;D172,$A$3:$A$500,"&lt;&gt;"&amp;A172)=0)),0))</f>
        <v/>
      </c>
      <c r="O172">
        <f>IF(B172="","",IFERROR(SUMPRODUCT((LEN(Employees!$A$3:$A$500)&gt;0)*(Employees!$V$3:$V$500=1)*(COUNTIFS($B$3:$B$500,Employees!$A$3:$A$500,$H$3:$H$500,"Approved",$D$3:$D$500,"&lt;="&amp;E172,$E$3:$E$500,"&gt;="&amp;D172,$A$3:$A$500,"&lt;&gt;"&amp;A172)=0)),0))</f>
        <v/>
      </c>
      <c r="P172">
        <f>IF(B172="","",IFERROR(SUMPRODUCT((LEN(Employees!$A$3:$A$500)&gt;0)*(Employees!$W$3:$W$500=1)*(COUNTIFS($B$3:$B$500,Employees!$A$3:$A$500,$H$3:$H$500,"Approved",$D$3:$D$500,"&lt;="&amp;E172,$E$3:$E$500,"&gt;="&amp;D172,$A$3:$A$500,"&lt;&gt;"&amp;A172)=0)),0))</f>
        <v/>
      </c>
      <c r="Q172">
        <f>IF(B172="","",IFERROR(SUMPRODUCT((LEN(Employees!$A$3:$A$500)&gt;0)*(Employees!$N$3:$N$500=1)*(COUNTIFS($B$3:$B$500,Employees!$A$3:$A$500,$H$3:$H$500,"Approved",$D$3:$D$500,"&lt;="&amp;E172,$E$3:$E$500,"&gt;="&amp;D172,$A$3:$A$500,"&lt;&gt;"&amp;A172)&gt;0)),0))</f>
        <v/>
      </c>
      <c r="R172">
        <f>IF(B172="","",IFERROR(SUMPRODUCT((LEN(Employees!$A$3:$A$500)&gt;0)*(Employees!$O$3:$O$500=1)*(COUNTIFS($B$3:$B$500,Employees!$A$3:$A$500,$H$3:$H$500,"Approved",$D$3:$D$500,"&lt;="&amp;E172,$E$3:$E$500,"&gt;="&amp;D172,$A$3:$A$500,"&lt;&gt;"&amp;A172)&gt;0)),0))</f>
        <v/>
      </c>
      <c r="S172">
        <f>IF(OR(B172="",IFERROR(XLOOKUP(B172,Employees!$A$3:$A$500,Employees!$G$3:$G$500,""),"")=""),"",IFERROR(SUMPRODUCT((LEN(Employees!$A$3:$A$500)&gt;0)*(Employees!$G$3:$G$500=IFERROR(XLOOKUP(B172,Employees!$A$3:$A$500,Employees!$G$3:$G$500,""),""))*(COUNTIFS($B$3:$B$500,Employees!$A$3:$A$500,$H$3:$H$500,"Approved",$D$3:$D$500,"&lt;="&amp;E172,$E$3:$E$500,"&gt;="&amp;D172,$A$3:$A$500,"&lt;&gt;"&amp;A172)&gt;0)),0))</f>
        <v/>
      </c>
    </row>
    <row r="173">
      <c r="C173">
        <f>IFERROR(XLOOKUP(B173,Employees!$A$3:$A$500,Employees!$B$3:$B$500,""),"")</f>
        <v/>
      </c>
      <c r="I173">
        <f>IF(AND(B173&lt;&gt;"",D173&lt;&gt;"",E173&lt;&gt;""),E173-D173+1,"")</f>
        <v/>
      </c>
      <c r="J173">
        <f>IF(OR(B173="",D173="",E173=""),"",IF(OR(L173&lt;'Coverage Rules'!E7,M173&lt;'Coverage Rules'!E8,N173&lt;'Coverage Rules'!C8,O173&lt;'Coverage Rules'!E9,P173&lt;'Coverage Rules'!E10,Q173&gt;='Coverage Rules'!B16,R173&gt;='Coverage Rules'!B17,IF(S173="",FALSE,S173&gt;='Coverage Rules'!D24)),"Denied","OK"))</f>
        <v/>
      </c>
      <c r="L173">
        <f>IF(B173="","",IFERROR(SUMPRODUCT((LEN(Employees!$A$3:$A$500)&gt;0)*(Employees!$T$3:$T$500=1)*(COUNTIFS($B$3:$B$500,Employees!$A$3:$A$500,$H$3:$H$500,"Approved",$D$3:$D$500,"&lt;="&amp;E173,$E$3:$E$500,"&gt;="&amp;D173,$A$3:$A$500,"&lt;&gt;"&amp;A173)=0)),0))</f>
        <v/>
      </c>
      <c r="M173">
        <f>IF(B173="","",IFERROR(SUMPRODUCT((LEN(Employees!$A$3:$A$500)&gt;0)*(Employees!$U$3:$U$500=1)*(COUNTIFS($B$3:$B$500,Employees!$A$3:$A$500,$H$3:$H$500,"Approved",$D$3:$D$500,"&lt;="&amp;E173,$E$3:$E$500,"&gt;="&amp;D173,$A$3:$A$500,"&lt;&gt;"&amp;A173)=0)),0))</f>
        <v/>
      </c>
      <c r="N173">
        <f>IF(B173="","",IFERROR(SUMPRODUCT((LEN(Employees!$A$3:$A$500)&gt;0)*(Employees!$B$3:$B$500="Manager")*(Employees!$U$3:$U$500=1)*(COUNTIFS($B$3:$B$500,Employees!$A$3:$A$500,$H$3:$H$500,"Approved",$D$3:$D$500,"&lt;="&amp;E173,$E$3:$E$500,"&gt;="&amp;D173,$A$3:$A$500,"&lt;&gt;"&amp;A173)=0)),0))</f>
        <v/>
      </c>
      <c r="O173">
        <f>IF(B173="","",IFERROR(SUMPRODUCT((LEN(Employees!$A$3:$A$500)&gt;0)*(Employees!$V$3:$V$500=1)*(COUNTIFS($B$3:$B$500,Employees!$A$3:$A$500,$H$3:$H$500,"Approved",$D$3:$D$500,"&lt;="&amp;E173,$E$3:$E$500,"&gt;="&amp;D173,$A$3:$A$500,"&lt;&gt;"&amp;A173)=0)),0))</f>
        <v/>
      </c>
      <c r="P173">
        <f>IF(B173="","",IFERROR(SUMPRODUCT((LEN(Employees!$A$3:$A$500)&gt;0)*(Employees!$W$3:$W$500=1)*(COUNTIFS($B$3:$B$500,Employees!$A$3:$A$500,$H$3:$H$500,"Approved",$D$3:$D$500,"&lt;="&amp;E173,$E$3:$E$500,"&gt;="&amp;D173,$A$3:$A$500,"&lt;&gt;"&amp;A173)=0)),0))</f>
        <v/>
      </c>
      <c r="Q173">
        <f>IF(B173="","",IFERROR(SUMPRODUCT((LEN(Employees!$A$3:$A$500)&gt;0)*(Employees!$N$3:$N$500=1)*(COUNTIFS($B$3:$B$500,Employees!$A$3:$A$500,$H$3:$H$500,"Approved",$D$3:$D$500,"&lt;="&amp;E173,$E$3:$E$500,"&gt;="&amp;D173,$A$3:$A$500,"&lt;&gt;"&amp;A173)&gt;0)),0))</f>
        <v/>
      </c>
      <c r="R173">
        <f>IF(B173="","",IFERROR(SUMPRODUCT((LEN(Employees!$A$3:$A$500)&gt;0)*(Employees!$O$3:$O$500=1)*(COUNTIFS($B$3:$B$500,Employees!$A$3:$A$500,$H$3:$H$500,"Approved",$D$3:$D$500,"&lt;="&amp;E173,$E$3:$E$500,"&gt;="&amp;D173,$A$3:$A$500,"&lt;&gt;"&amp;A173)&gt;0)),0))</f>
        <v/>
      </c>
      <c r="S173">
        <f>IF(OR(B173="",IFERROR(XLOOKUP(B173,Employees!$A$3:$A$500,Employees!$G$3:$G$500,""),"")=""),"",IFERROR(SUMPRODUCT((LEN(Employees!$A$3:$A$500)&gt;0)*(Employees!$G$3:$G$500=IFERROR(XLOOKUP(B173,Employees!$A$3:$A$500,Employees!$G$3:$G$500,""),""))*(COUNTIFS($B$3:$B$500,Employees!$A$3:$A$500,$H$3:$H$500,"Approved",$D$3:$D$500,"&lt;="&amp;E173,$E$3:$E$500,"&gt;="&amp;D173,$A$3:$A$500,"&lt;&gt;"&amp;A173)&gt;0)),0))</f>
        <v/>
      </c>
    </row>
    <row r="174">
      <c r="C174">
        <f>IFERROR(XLOOKUP(B174,Employees!$A$3:$A$500,Employees!$B$3:$B$500,""),"")</f>
        <v/>
      </c>
      <c r="I174">
        <f>IF(AND(B174&lt;&gt;"",D174&lt;&gt;"",E174&lt;&gt;""),E174-D174+1,"")</f>
        <v/>
      </c>
      <c r="J174">
        <f>IF(OR(B174="",D174="",E174=""),"",IF(OR(L174&lt;'Coverage Rules'!E7,M174&lt;'Coverage Rules'!E8,N174&lt;'Coverage Rules'!C8,O174&lt;'Coverage Rules'!E9,P174&lt;'Coverage Rules'!E10,Q174&gt;='Coverage Rules'!B16,R174&gt;='Coverage Rules'!B17,IF(S174="",FALSE,S174&gt;='Coverage Rules'!D24)),"Denied","OK"))</f>
        <v/>
      </c>
      <c r="L174">
        <f>IF(B174="","",IFERROR(SUMPRODUCT((LEN(Employees!$A$3:$A$500)&gt;0)*(Employees!$T$3:$T$500=1)*(COUNTIFS($B$3:$B$500,Employees!$A$3:$A$500,$H$3:$H$500,"Approved",$D$3:$D$500,"&lt;="&amp;E174,$E$3:$E$500,"&gt;="&amp;D174,$A$3:$A$500,"&lt;&gt;"&amp;A174)=0)),0))</f>
        <v/>
      </c>
      <c r="M174">
        <f>IF(B174="","",IFERROR(SUMPRODUCT((LEN(Employees!$A$3:$A$500)&gt;0)*(Employees!$U$3:$U$500=1)*(COUNTIFS($B$3:$B$500,Employees!$A$3:$A$500,$H$3:$H$500,"Approved",$D$3:$D$500,"&lt;="&amp;E174,$E$3:$E$500,"&gt;="&amp;D174,$A$3:$A$500,"&lt;&gt;"&amp;A174)=0)),0))</f>
        <v/>
      </c>
      <c r="N174">
        <f>IF(B174="","",IFERROR(SUMPRODUCT((LEN(Employees!$A$3:$A$500)&gt;0)*(Employees!$B$3:$B$500="Manager")*(Employees!$U$3:$U$500=1)*(COUNTIFS($B$3:$B$500,Employees!$A$3:$A$500,$H$3:$H$500,"Approved",$D$3:$D$500,"&lt;="&amp;E174,$E$3:$E$500,"&gt;="&amp;D174,$A$3:$A$500,"&lt;&gt;"&amp;A174)=0)),0))</f>
        <v/>
      </c>
      <c r="O174">
        <f>IF(B174="","",IFERROR(SUMPRODUCT((LEN(Employees!$A$3:$A$500)&gt;0)*(Employees!$V$3:$V$500=1)*(COUNTIFS($B$3:$B$500,Employees!$A$3:$A$500,$H$3:$H$500,"Approved",$D$3:$D$500,"&lt;="&amp;E174,$E$3:$E$500,"&gt;="&amp;D174,$A$3:$A$500,"&lt;&gt;"&amp;A174)=0)),0))</f>
        <v/>
      </c>
      <c r="P174">
        <f>IF(B174="","",IFERROR(SUMPRODUCT((LEN(Employees!$A$3:$A$500)&gt;0)*(Employees!$W$3:$W$500=1)*(COUNTIFS($B$3:$B$500,Employees!$A$3:$A$500,$H$3:$H$500,"Approved",$D$3:$D$500,"&lt;="&amp;E174,$E$3:$E$500,"&gt;="&amp;D174,$A$3:$A$500,"&lt;&gt;"&amp;A174)=0)),0))</f>
        <v/>
      </c>
      <c r="Q174">
        <f>IF(B174="","",IFERROR(SUMPRODUCT((LEN(Employees!$A$3:$A$500)&gt;0)*(Employees!$N$3:$N$500=1)*(COUNTIFS($B$3:$B$500,Employees!$A$3:$A$500,$H$3:$H$500,"Approved",$D$3:$D$500,"&lt;="&amp;E174,$E$3:$E$500,"&gt;="&amp;D174,$A$3:$A$500,"&lt;&gt;"&amp;A174)&gt;0)),0))</f>
        <v/>
      </c>
      <c r="R174">
        <f>IF(B174="","",IFERROR(SUMPRODUCT((LEN(Employees!$A$3:$A$500)&gt;0)*(Employees!$O$3:$O$500=1)*(COUNTIFS($B$3:$B$500,Employees!$A$3:$A$500,$H$3:$H$500,"Approved",$D$3:$D$500,"&lt;="&amp;E174,$E$3:$E$500,"&gt;="&amp;D174,$A$3:$A$500,"&lt;&gt;"&amp;A174)&gt;0)),0))</f>
        <v/>
      </c>
      <c r="S174">
        <f>IF(OR(B174="",IFERROR(XLOOKUP(B174,Employees!$A$3:$A$500,Employees!$G$3:$G$500,""),"")=""),"",IFERROR(SUMPRODUCT((LEN(Employees!$A$3:$A$500)&gt;0)*(Employees!$G$3:$G$500=IFERROR(XLOOKUP(B174,Employees!$A$3:$A$500,Employees!$G$3:$G$500,""),""))*(COUNTIFS($B$3:$B$500,Employees!$A$3:$A$500,$H$3:$H$500,"Approved",$D$3:$D$500,"&lt;="&amp;E174,$E$3:$E$500,"&gt;="&amp;D174,$A$3:$A$500,"&lt;&gt;"&amp;A174)&gt;0)),0))</f>
        <v/>
      </c>
    </row>
    <row r="175">
      <c r="C175">
        <f>IFERROR(XLOOKUP(B175,Employees!$A$3:$A$500,Employees!$B$3:$B$500,""),"")</f>
        <v/>
      </c>
      <c r="I175">
        <f>IF(AND(B175&lt;&gt;"",D175&lt;&gt;"",E175&lt;&gt;""),E175-D175+1,"")</f>
        <v/>
      </c>
      <c r="J175">
        <f>IF(OR(B175="",D175="",E175=""),"",IF(OR(L175&lt;'Coverage Rules'!E7,M175&lt;'Coverage Rules'!E8,N175&lt;'Coverage Rules'!C8,O175&lt;'Coverage Rules'!E9,P175&lt;'Coverage Rules'!E10,Q175&gt;='Coverage Rules'!B16,R175&gt;='Coverage Rules'!B17,IF(S175="",FALSE,S175&gt;='Coverage Rules'!D24)),"Denied","OK"))</f>
        <v/>
      </c>
      <c r="L175">
        <f>IF(B175="","",IFERROR(SUMPRODUCT((LEN(Employees!$A$3:$A$500)&gt;0)*(Employees!$T$3:$T$500=1)*(COUNTIFS($B$3:$B$500,Employees!$A$3:$A$500,$H$3:$H$500,"Approved",$D$3:$D$500,"&lt;="&amp;E175,$E$3:$E$500,"&gt;="&amp;D175,$A$3:$A$500,"&lt;&gt;"&amp;A175)=0)),0))</f>
        <v/>
      </c>
      <c r="M175">
        <f>IF(B175="","",IFERROR(SUMPRODUCT((LEN(Employees!$A$3:$A$500)&gt;0)*(Employees!$U$3:$U$500=1)*(COUNTIFS($B$3:$B$500,Employees!$A$3:$A$500,$H$3:$H$500,"Approved",$D$3:$D$500,"&lt;="&amp;E175,$E$3:$E$500,"&gt;="&amp;D175,$A$3:$A$500,"&lt;&gt;"&amp;A175)=0)),0))</f>
        <v/>
      </c>
      <c r="N175">
        <f>IF(B175="","",IFERROR(SUMPRODUCT((LEN(Employees!$A$3:$A$500)&gt;0)*(Employees!$B$3:$B$500="Manager")*(Employees!$U$3:$U$500=1)*(COUNTIFS($B$3:$B$500,Employees!$A$3:$A$500,$H$3:$H$500,"Approved",$D$3:$D$500,"&lt;="&amp;E175,$E$3:$E$500,"&gt;="&amp;D175,$A$3:$A$500,"&lt;&gt;"&amp;A175)=0)),0))</f>
        <v/>
      </c>
      <c r="O175">
        <f>IF(B175="","",IFERROR(SUMPRODUCT((LEN(Employees!$A$3:$A$500)&gt;0)*(Employees!$V$3:$V$500=1)*(COUNTIFS($B$3:$B$500,Employees!$A$3:$A$500,$H$3:$H$500,"Approved",$D$3:$D$500,"&lt;="&amp;E175,$E$3:$E$500,"&gt;="&amp;D175,$A$3:$A$500,"&lt;&gt;"&amp;A175)=0)),0))</f>
        <v/>
      </c>
      <c r="P175">
        <f>IF(B175="","",IFERROR(SUMPRODUCT((LEN(Employees!$A$3:$A$500)&gt;0)*(Employees!$W$3:$W$500=1)*(COUNTIFS($B$3:$B$500,Employees!$A$3:$A$500,$H$3:$H$500,"Approved",$D$3:$D$500,"&lt;="&amp;E175,$E$3:$E$500,"&gt;="&amp;D175,$A$3:$A$500,"&lt;&gt;"&amp;A175)=0)),0))</f>
        <v/>
      </c>
      <c r="Q175">
        <f>IF(B175="","",IFERROR(SUMPRODUCT((LEN(Employees!$A$3:$A$500)&gt;0)*(Employees!$N$3:$N$500=1)*(COUNTIFS($B$3:$B$500,Employees!$A$3:$A$500,$H$3:$H$500,"Approved",$D$3:$D$500,"&lt;="&amp;E175,$E$3:$E$500,"&gt;="&amp;D175,$A$3:$A$500,"&lt;&gt;"&amp;A175)&gt;0)),0))</f>
        <v/>
      </c>
      <c r="R175">
        <f>IF(B175="","",IFERROR(SUMPRODUCT((LEN(Employees!$A$3:$A$500)&gt;0)*(Employees!$O$3:$O$500=1)*(COUNTIFS($B$3:$B$500,Employees!$A$3:$A$500,$H$3:$H$500,"Approved",$D$3:$D$500,"&lt;="&amp;E175,$E$3:$E$500,"&gt;="&amp;D175,$A$3:$A$500,"&lt;&gt;"&amp;A175)&gt;0)),0))</f>
        <v/>
      </c>
      <c r="S175">
        <f>IF(OR(B175="",IFERROR(XLOOKUP(B175,Employees!$A$3:$A$500,Employees!$G$3:$G$500,""),"")=""),"",IFERROR(SUMPRODUCT((LEN(Employees!$A$3:$A$500)&gt;0)*(Employees!$G$3:$G$500=IFERROR(XLOOKUP(B175,Employees!$A$3:$A$500,Employees!$G$3:$G$500,""),""))*(COUNTIFS($B$3:$B$500,Employees!$A$3:$A$500,$H$3:$H$500,"Approved",$D$3:$D$500,"&lt;="&amp;E175,$E$3:$E$500,"&gt;="&amp;D175,$A$3:$A$500,"&lt;&gt;"&amp;A175)&gt;0)),0))</f>
        <v/>
      </c>
    </row>
    <row r="176">
      <c r="C176">
        <f>IFERROR(XLOOKUP(B176,Employees!$A$3:$A$500,Employees!$B$3:$B$500,""),"")</f>
        <v/>
      </c>
      <c r="I176">
        <f>IF(AND(B176&lt;&gt;"",D176&lt;&gt;"",E176&lt;&gt;""),E176-D176+1,"")</f>
        <v/>
      </c>
      <c r="J176">
        <f>IF(OR(B176="",D176="",E176=""),"",IF(OR(L176&lt;'Coverage Rules'!E7,M176&lt;'Coverage Rules'!E8,N176&lt;'Coverage Rules'!C8,O176&lt;'Coverage Rules'!E9,P176&lt;'Coverage Rules'!E10,Q176&gt;='Coverage Rules'!B16,R176&gt;='Coverage Rules'!B17,IF(S176="",FALSE,S176&gt;='Coverage Rules'!D24)),"Denied","OK"))</f>
        <v/>
      </c>
      <c r="L176">
        <f>IF(B176="","",IFERROR(SUMPRODUCT((LEN(Employees!$A$3:$A$500)&gt;0)*(Employees!$T$3:$T$500=1)*(COUNTIFS($B$3:$B$500,Employees!$A$3:$A$500,$H$3:$H$500,"Approved",$D$3:$D$500,"&lt;="&amp;E176,$E$3:$E$500,"&gt;="&amp;D176,$A$3:$A$500,"&lt;&gt;"&amp;A176)=0)),0))</f>
        <v/>
      </c>
      <c r="M176">
        <f>IF(B176="","",IFERROR(SUMPRODUCT((LEN(Employees!$A$3:$A$500)&gt;0)*(Employees!$U$3:$U$500=1)*(COUNTIFS($B$3:$B$500,Employees!$A$3:$A$500,$H$3:$H$500,"Approved",$D$3:$D$500,"&lt;="&amp;E176,$E$3:$E$500,"&gt;="&amp;D176,$A$3:$A$500,"&lt;&gt;"&amp;A176)=0)),0))</f>
        <v/>
      </c>
      <c r="N176">
        <f>IF(B176="","",IFERROR(SUMPRODUCT((LEN(Employees!$A$3:$A$500)&gt;0)*(Employees!$B$3:$B$500="Manager")*(Employees!$U$3:$U$500=1)*(COUNTIFS($B$3:$B$500,Employees!$A$3:$A$500,$H$3:$H$500,"Approved",$D$3:$D$500,"&lt;="&amp;E176,$E$3:$E$500,"&gt;="&amp;D176,$A$3:$A$500,"&lt;&gt;"&amp;A176)=0)),0))</f>
        <v/>
      </c>
      <c r="O176">
        <f>IF(B176="","",IFERROR(SUMPRODUCT((LEN(Employees!$A$3:$A$500)&gt;0)*(Employees!$V$3:$V$500=1)*(COUNTIFS($B$3:$B$500,Employees!$A$3:$A$500,$H$3:$H$500,"Approved",$D$3:$D$500,"&lt;="&amp;E176,$E$3:$E$500,"&gt;="&amp;D176,$A$3:$A$500,"&lt;&gt;"&amp;A176)=0)),0))</f>
        <v/>
      </c>
      <c r="P176">
        <f>IF(B176="","",IFERROR(SUMPRODUCT((LEN(Employees!$A$3:$A$500)&gt;0)*(Employees!$W$3:$W$500=1)*(COUNTIFS($B$3:$B$500,Employees!$A$3:$A$500,$H$3:$H$500,"Approved",$D$3:$D$500,"&lt;="&amp;E176,$E$3:$E$500,"&gt;="&amp;D176,$A$3:$A$500,"&lt;&gt;"&amp;A176)=0)),0))</f>
        <v/>
      </c>
      <c r="Q176">
        <f>IF(B176="","",IFERROR(SUMPRODUCT((LEN(Employees!$A$3:$A$500)&gt;0)*(Employees!$N$3:$N$500=1)*(COUNTIFS($B$3:$B$500,Employees!$A$3:$A$500,$H$3:$H$500,"Approved",$D$3:$D$500,"&lt;="&amp;E176,$E$3:$E$500,"&gt;="&amp;D176,$A$3:$A$500,"&lt;&gt;"&amp;A176)&gt;0)),0))</f>
        <v/>
      </c>
      <c r="R176">
        <f>IF(B176="","",IFERROR(SUMPRODUCT((LEN(Employees!$A$3:$A$500)&gt;0)*(Employees!$O$3:$O$500=1)*(COUNTIFS($B$3:$B$500,Employees!$A$3:$A$500,$H$3:$H$500,"Approved",$D$3:$D$500,"&lt;="&amp;E176,$E$3:$E$500,"&gt;="&amp;D176,$A$3:$A$500,"&lt;&gt;"&amp;A176)&gt;0)),0))</f>
        <v/>
      </c>
      <c r="S176">
        <f>IF(OR(B176="",IFERROR(XLOOKUP(B176,Employees!$A$3:$A$500,Employees!$G$3:$G$500,""),"")=""),"",IFERROR(SUMPRODUCT((LEN(Employees!$A$3:$A$500)&gt;0)*(Employees!$G$3:$G$500=IFERROR(XLOOKUP(B176,Employees!$A$3:$A$500,Employees!$G$3:$G$500,""),""))*(COUNTIFS($B$3:$B$500,Employees!$A$3:$A$500,$H$3:$H$500,"Approved",$D$3:$D$500,"&lt;="&amp;E176,$E$3:$E$500,"&gt;="&amp;D176,$A$3:$A$500,"&lt;&gt;"&amp;A176)&gt;0)),0))</f>
        <v/>
      </c>
    </row>
    <row r="177">
      <c r="C177">
        <f>IFERROR(XLOOKUP(B177,Employees!$A$3:$A$500,Employees!$B$3:$B$500,""),"")</f>
        <v/>
      </c>
      <c r="I177">
        <f>IF(AND(B177&lt;&gt;"",D177&lt;&gt;"",E177&lt;&gt;""),E177-D177+1,"")</f>
        <v/>
      </c>
      <c r="J177">
        <f>IF(OR(B177="",D177="",E177=""),"",IF(OR(L177&lt;'Coverage Rules'!E7,M177&lt;'Coverage Rules'!E8,N177&lt;'Coverage Rules'!C8,O177&lt;'Coverage Rules'!E9,P177&lt;'Coverage Rules'!E10,Q177&gt;='Coverage Rules'!B16,R177&gt;='Coverage Rules'!B17,IF(S177="",FALSE,S177&gt;='Coverage Rules'!D24)),"Denied","OK"))</f>
        <v/>
      </c>
      <c r="L177">
        <f>IF(B177="","",IFERROR(SUMPRODUCT((LEN(Employees!$A$3:$A$500)&gt;0)*(Employees!$T$3:$T$500=1)*(COUNTIFS($B$3:$B$500,Employees!$A$3:$A$500,$H$3:$H$500,"Approved",$D$3:$D$500,"&lt;="&amp;E177,$E$3:$E$500,"&gt;="&amp;D177,$A$3:$A$500,"&lt;&gt;"&amp;A177)=0)),0))</f>
        <v/>
      </c>
      <c r="M177">
        <f>IF(B177="","",IFERROR(SUMPRODUCT((LEN(Employees!$A$3:$A$500)&gt;0)*(Employees!$U$3:$U$500=1)*(COUNTIFS($B$3:$B$500,Employees!$A$3:$A$500,$H$3:$H$500,"Approved",$D$3:$D$500,"&lt;="&amp;E177,$E$3:$E$500,"&gt;="&amp;D177,$A$3:$A$500,"&lt;&gt;"&amp;A177)=0)),0))</f>
        <v/>
      </c>
      <c r="N177">
        <f>IF(B177="","",IFERROR(SUMPRODUCT((LEN(Employees!$A$3:$A$500)&gt;0)*(Employees!$B$3:$B$500="Manager")*(Employees!$U$3:$U$500=1)*(COUNTIFS($B$3:$B$500,Employees!$A$3:$A$500,$H$3:$H$500,"Approved",$D$3:$D$500,"&lt;="&amp;E177,$E$3:$E$500,"&gt;="&amp;D177,$A$3:$A$500,"&lt;&gt;"&amp;A177)=0)),0))</f>
        <v/>
      </c>
      <c r="O177">
        <f>IF(B177="","",IFERROR(SUMPRODUCT((LEN(Employees!$A$3:$A$500)&gt;0)*(Employees!$V$3:$V$500=1)*(COUNTIFS($B$3:$B$500,Employees!$A$3:$A$500,$H$3:$H$500,"Approved",$D$3:$D$500,"&lt;="&amp;E177,$E$3:$E$500,"&gt;="&amp;D177,$A$3:$A$500,"&lt;&gt;"&amp;A177)=0)),0))</f>
        <v/>
      </c>
      <c r="P177">
        <f>IF(B177="","",IFERROR(SUMPRODUCT((LEN(Employees!$A$3:$A$500)&gt;0)*(Employees!$W$3:$W$500=1)*(COUNTIFS($B$3:$B$500,Employees!$A$3:$A$500,$H$3:$H$500,"Approved",$D$3:$D$500,"&lt;="&amp;E177,$E$3:$E$500,"&gt;="&amp;D177,$A$3:$A$500,"&lt;&gt;"&amp;A177)=0)),0))</f>
        <v/>
      </c>
      <c r="Q177">
        <f>IF(B177="","",IFERROR(SUMPRODUCT((LEN(Employees!$A$3:$A$500)&gt;0)*(Employees!$N$3:$N$500=1)*(COUNTIFS($B$3:$B$500,Employees!$A$3:$A$500,$H$3:$H$500,"Approved",$D$3:$D$500,"&lt;="&amp;E177,$E$3:$E$500,"&gt;="&amp;D177,$A$3:$A$500,"&lt;&gt;"&amp;A177)&gt;0)),0))</f>
        <v/>
      </c>
      <c r="R177">
        <f>IF(B177="","",IFERROR(SUMPRODUCT((LEN(Employees!$A$3:$A$500)&gt;0)*(Employees!$O$3:$O$500=1)*(COUNTIFS($B$3:$B$500,Employees!$A$3:$A$500,$H$3:$H$500,"Approved",$D$3:$D$500,"&lt;="&amp;E177,$E$3:$E$500,"&gt;="&amp;D177,$A$3:$A$500,"&lt;&gt;"&amp;A177)&gt;0)),0))</f>
        <v/>
      </c>
      <c r="S177">
        <f>IF(OR(B177="",IFERROR(XLOOKUP(B177,Employees!$A$3:$A$500,Employees!$G$3:$G$500,""),"")=""),"",IFERROR(SUMPRODUCT((LEN(Employees!$A$3:$A$500)&gt;0)*(Employees!$G$3:$G$500=IFERROR(XLOOKUP(B177,Employees!$A$3:$A$500,Employees!$G$3:$G$500,""),""))*(COUNTIFS($B$3:$B$500,Employees!$A$3:$A$500,$H$3:$H$500,"Approved",$D$3:$D$500,"&lt;="&amp;E177,$E$3:$E$500,"&gt;="&amp;D177,$A$3:$A$500,"&lt;&gt;"&amp;A177)&gt;0)),0))</f>
        <v/>
      </c>
    </row>
    <row r="178">
      <c r="C178">
        <f>IFERROR(XLOOKUP(B178,Employees!$A$3:$A$500,Employees!$B$3:$B$500,""),"")</f>
        <v/>
      </c>
      <c r="I178">
        <f>IF(AND(B178&lt;&gt;"",D178&lt;&gt;"",E178&lt;&gt;""),E178-D178+1,"")</f>
        <v/>
      </c>
      <c r="J178">
        <f>IF(OR(B178="",D178="",E178=""),"",IF(OR(L178&lt;'Coverage Rules'!E7,M178&lt;'Coverage Rules'!E8,N178&lt;'Coverage Rules'!C8,O178&lt;'Coverage Rules'!E9,P178&lt;'Coverage Rules'!E10,Q178&gt;='Coverage Rules'!B16,R178&gt;='Coverage Rules'!B17,IF(S178="",FALSE,S178&gt;='Coverage Rules'!D24)),"Denied","OK"))</f>
        <v/>
      </c>
      <c r="L178">
        <f>IF(B178="","",IFERROR(SUMPRODUCT((LEN(Employees!$A$3:$A$500)&gt;0)*(Employees!$T$3:$T$500=1)*(COUNTIFS($B$3:$B$500,Employees!$A$3:$A$500,$H$3:$H$500,"Approved",$D$3:$D$500,"&lt;="&amp;E178,$E$3:$E$500,"&gt;="&amp;D178,$A$3:$A$500,"&lt;&gt;"&amp;A178)=0)),0))</f>
        <v/>
      </c>
      <c r="M178">
        <f>IF(B178="","",IFERROR(SUMPRODUCT((LEN(Employees!$A$3:$A$500)&gt;0)*(Employees!$U$3:$U$500=1)*(COUNTIFS($B$3:$B$500,Employees!$A$3:$A$500,$H$3:$H$500,"Approved",$D$3:$D$500,"&lt;="&amp;E178,$E$3:$E$500,"&gt;="&amp;D178,$A$3:$A$500,"&lt;&gt;"&amp;A178)=0)),0))</f>
        <v/>
      </c>
      <c r="N178">
        <f>IF(B178="","",IFERROR(SUMPRODUCT((LEN(Employees!$A$3:$A$500)&gt;0)*(Employees!$B$3:$B$500="Manager")*(Employees!$U$3:$U$500=1)*(COUNTIFS($B$3:$B$500,Employees!$A$3:$A$500,$H$3:$H$500,"Approved",$D$3:$D$500,"&lt;="&amp;E178,$E$3:$E$500,"&gt;="&amp;D178,$A$3:$A$500,"&lt;&gt;"&amp;A178)=0)),0))</f>
        <v/>
      </c>
      <c r="O178">
        <f>IF(B178="","",IFERROR(SUMPRODUCT((LEN(Employees!$A$3:$A$500)&gt;0)*(Employees!$V$3:$V$500=1)*(COUNTIFS($B$3:$B$500,Employees!$A$3:$A$500,$H$3:$H$500,"Approved",$D$3:$D$500,"&lt;="&amp;E178,$E$3:$E$500,"&gt;="&amp;D178,$A$3:$A$500,"&lt;&gt;"&amp;A178)=0)),0))</f>
        <v/>
      </c>
      <c r="P178">
        <f>IF(B178="","",IFERROR(SUMPRODUCT((LEN(Employees!$A$3:$A$500)&gt;0)*(Employees!$W$3:$W$500=1)*(COUNTIFS($B$3:$B$500,Employees!$A$3:$A$500,$H$3:$H$500,"Approved",$D$3:$D$500,"&lt;="&amp;E178,$E$3:$E$500,"&gt;="&amp;D178,$A$3:$A$500,"&lt;&gt;"&amp;A178)=0)),0))</f>
        <v/>
      </c>
      <c r="Q178">
        <f>IF(B178="","",IFERROR(SUMPRODUCT((LEN(Employees!$A$3:$A$500)&gt;0)*(Employees!$N$3:$N$500=1)*(COUNTIFS($B$3:$B$500,Employees!$A$3:$A$500,$H$3:$H$500,"Approved",$D$3:$D$500,"&lt;="&amp;E178,$E$3:$E$500,"&gt;="&amp;D178,$A$3:$A$500,"&lt;&gt;"&amp;A178)&gt;0)),0))</f>
        <v/>
      </c>
      <c r="R178">
        <f>IF(B178="","",IFERROR(SUMPRODUCT((LEN(Employees!$A$3:$A$500)&gt;0)*(Employees!$O$3:$O$500=1)*(COUNTIFS($B$3:$B$500,Employees!$A$3:$A$500,$H$3:$H$500,"Approved",$D$3:$D$500,"&lt;="&amp;E178,$E$3:$E$500,"&gt;="&amp;D178,$A$3:$A$500,"&lt;&gt;"&amp;A178)&gt;0)),0))</f>
        <v/>
      </c>
      <c r="S178">
        <f>IF(OR(B178="",IFERROR(XLOOKUP(B178,Employees!$A$3:$A$500,Employees!$G$3:$G$500,""),"")=""),"",IFERROR(SUMPRODUCT((LEN(Employees!$A$3:$A$500)&gt;0)*(Employees!$G$3:$G$500=IFERROR(XLOOKUP(B178,Employees!$A$3:$A$500,Employees!$G$3:$G$500,""),""))*(COUNTIFS($B$3:$B$500,Employees!$A$3:$A$500,$H$3:$H$500,"Approved",$D$3:$D$500,"&lt;="&amp;E178,$E$3:$E$500,"&gt;="&amp;D178,$A$3:$A$500,"&lt;&gt;"&amp;A178)&gt;0)),0))</f>
        <v/>
      </c>
    </row>
    <row r="179">
      <c r="C179">
        <f>IFERROR(XLOOKUP(B179,Employees!$A$3:$A$500,Employees!$B$3:$B$500,""),"")</f>
        <v/>
      </c>
      <c r="I179">
        <f>IF(AND(B179&lt;&gt;"",D179&lt;&gt;"",E179&lt;&gt;""),E179-D179+1,"")</f>
        <v/>
      </c>
      <c r="J179">
        <f>IF(OR(B179="",D179="",E179=""),"",IF(OR(L179&lt;'Coverage Rules'!E7,M179&lt;'Coverage Rules'!E8,N179&lt;'Coverage Rules'!C8,O179&lt;'Coverage Rules'!E9,P179&lt;'Coverage Rules'!E10,Q179&gt;='Coverage Rules'!B16,R179&gt;='Coverage Rules'!B17,IF(S179="",FALSE,S179&gt;='Coverage Rules'!D24)),"Denied","OK"))</f>
        <v/>
      </c>
      <c r="L179">
        <f>IF(B179="","",IFERROR(SUMPRODUCT((LEN(Employees!$A$3:$A$500)&gt;0)*(Employees!$T$3:$T$500=1)*(COUNTIFS($B$3:$B$500,Employees!$A$3:$A$500,$H$3:$H$500,"Approved",$D$3:$D$500,"&lt;="&amp;E179,$E$3:$E$500,"&gt;="&amp;D179,$A$3:$A$500,"&lt;&gt;"&amp;A179)=0)),0))</f>
        <v/>
      </c>
      <c r="M179">
        <f>IF(B179="","",IFERROR(SUMPRODUCT((LEN(Employees!$A$3:$A$500)&gt;0)*(Employees!$U$3:$U$500=1)*(COUNTIFS($B$3:$B$500,Employees!$A$3:$A$500,$H$3:$H$500,"Approved",$D$3:$D$500,"&lt;="&amp;E179,$E$3:$E$500,"&gt;="&amp;D179,$A$3:$A$500,"&lt;&gt;"&amp;A179)=0)),0))</f>
        <v/>
      </c>
      <c r="N179">
        <f>IF(B179="","",IFERROR(SUMPRODUCT((LEN(Employees!$A$3:$A$500)&gt;0)*(Employees!$B$3:$B$500="Manager")*(Employees!$U$3:$U$500=1)*(COUNTIFS($B$3:$B$500,Employees!$A$3:$A$500,$H$3:$H$500,"Approved",$D$3:$D$500,"&lt;="&amp;E179,$E$3:$E$500,"&gt;="&amp;D179,$A$3:$A$500,"&lt;&gt;"&amp;A179)=0)),0))</f>
        <v/>
      </c>
      <c r="O179">
        <f>IF(B179="","",IFERROR(SUMPRODUCT((LEN(Employees!$A$3:$A$500)&gt;0)*(Employees!$V$3:$V$500=1)*(COUNTIFS($B$3:$B$500,Employees!$A$3:$A$500,$H$3:$H$500,"Approved",$D$3:$D$500,"&lt;="&amp;E179,$E$3:$E$500,"&gt;="&amp;D179,$A$3:$A$500,"&lt;&gt;"&amp;A179)=0)),0))</f>
        <v/>
      </c>
      <c r="P179">
        <f>IF(B179="","",IFERROR(SUMPRODUCT((LEN(Employees!$A$3:$A$500)&gt;0)*(Employees!$W$3:$W$500=1)*(COUNTIFS($B$3:$B$500,Employees!$A$3:$A$500,$H$3:$H$500,"Approved",$D$3:$D$500,"&lt;="&amp;E179,$E$3:$E$500,"&gt;="&amp;D179,$A$3:$A$500,"&lt;&gt;"&amp;A179)=0)),0))</f>
        <v/>
      </c>
      <c r="Q179">
        <f>IF(B179="","",IFERROR(SUMPRODUCT((LEN(Employees!$A$3:$A$500)&gt;0)*(Employees!$N$3:$N$500=1)*(COUNTIFS($B$3:$B$500,Employees!$A$3:$A$500,$H$3:$H$500,"Approved",$D$3:$D$500,"&lt;="&amp;E179,$E$3:$E$500,"&gt;="&amp;D179,$A$3:$A$500,"&lt;&gt;"&amp;A179)&gt;0)),0))</f>
        <v/>
      </c>
      <c r="R179">
        <f>IF(B179="","",IFERROR(SUMPRODUCT((LEN(Employees!$A$3:$A$500)&gt;0)*(Employees!$O$3:$O$500=1)*(COUNTIFS($B$3:$B$500,Employees!$A$3:$A$500,$H$3:$H$500,"Approved",$D$3:$D$500,"&lt;="&amp;E179,$E$3:$E$500,"&gt;="&amp;D179,$A$3:$A$500,"&lt;&gt;"&amp;A179)&gt;0)),0))</f>
        <v/>
      </c>
      <c r="S179">
        <f>IF(OR(B179="",IFERROR(XLOOKUP(B179,Employees!$A$3:$A$500,Employees!$G$3:$G$500,""),"")=""),"",IFERROR(SUMPRODUCT((LEN(Employees!$A$3:$A$500)&gt;0)*(Employees!$G$3:$G$500=IFERROR(XLOOKUP(B179,Employees!$A$3:$A$500,Employees!$G$3:$G$500,""),""))*(COUNTIFS($B$3:$B$500,Employees!$A$3:$A$500,$H$3:$H$500,"Approved",$D$3:$D$500,"&lt;="&amp;E179,$E$3:$E$500,"&gt;="&amp;D179,$A$3:$A$500,"&lt;&gt;"&amp;A179)&gt;0)),0))</f>
        <v/>
      </c>
    </row>
    <row r="180">
      <c r="C180">
        <f>IFERROR(XLOOKUP(B180,Employees!$A$3:$A$500,Employees!$B$3:$B$500,""),"")</f>
        <v/>
      </c>
      <c r="I180">
        <f>IF(AND(B180&lt;&gt;"",D180&lt;&gt;"",E180&lt;&gt;""),E180-D180+1,"")</f>
        <v/>
      </c>
      <c r="J180">
        <f>IF(OR(B180="",D180="",E180=""),"",IF(OR(L180&lt;'Coverage Rules'!E7,M180&lt;'Coverage Rules'!E8,N180&lt;'Coverage Rules'!C8,O180&lt;'Coverage Rules'!E9,P180&lt;'Coverage Rules'!E10,Q180&gt;='Coverage Rules'!B16,R180&gt;='Coverage Rules'!B17,IF(S180="",FALSE,S180&gt;='Coverage Rules'!D24)),"Denied","OK"))</f>
        <v/>
      </c>
      <c r="L180">
        <f>IF(B180="","",IFERROR(SUMPRODUCT((LEN(Employees!$A$3:$A$500)&gt;0)*(Employees!$T$3:$T$500=1)*(COUNTIFS($B$3:$B$500,Employees!$A$3:$A$500,$H$3:$H$500,"Approved",$D$3:$D$500,"&lt;="&amp;E180,$E$3:$E$500,"&gt;="&amp;D180,$A$3:$A$500,"&lt;&gt;"&amp;A180)=0)),0))</f>
        <v/>
      </c>
      <c r="M180">
        <f>IF(B180="","",IFERROR(SUMPRODUCT((LEN(Employees!$A$3:$A$500)&gt;0)*(Employees!$U$3:$U$500=1)*(COUNTIFS($B$3:$B$500,Employees!$A$3:$A$500,$H$3:$H$500,"Approved",$D$3:$D$500,"&lt;="&amp;E180,$E$3:$E$500,"&gt;="&amp;D180,$A$3:$A$500,"&lt;&gt;"&amp;A180)=0)),0))</f>
        <v/>
      </c>
      <c r="N180">
        <f>IF(B180="","",IFERROR(SUMPRODUCT((LEN(Employees!$A$3:$A$500)&gt;0)*(Employees!$B$3:$B$500="Manager")*(Employees!$U$3:$U$500=1)*(COUNTIFS($B$3:$B$500,Employees!$A$3:$A$500,$H$3:$H$500,"Approved",$D$3:$D$500,"&lt;="&amp;E180,$E$3:$E$500,"&gt;="&amp;D180,$A$3:$A$500,"&lt;&gt;"&amp;A180)=0)),0))</f>
        <v/>
      </c>
      <c r="O180">
        <f>IF(B180="","",IFERROR(SUMPRODUCT((LEN(Employees!$A$3:$A$500)&gt;0)*(Employees!$V$3:$V$500=1)*(COUNTIFS($B$3:$B$500,Employees!$A$3:$A$500,$H$3:$H$500,"Approved",$D$3:$D$500,"&lt;="&amp;E180,$E$3:$E$500,"&gt;="&amp;D180,$A$3:$A$500,"&lt;&gt;"&amp;A180)=0)),0))</f>
        <v/>
      </c>
      <c r="P180">
        <f>IF(B180="","",IFERROR(SUMPRODUCT((LEN(Employees!$A$3:$A$500)&gt;0)*(Employees!$W$3:$W$500=1)*(COUNTIFS($B$3:$B$500,Employees!$A$3:$A$500,$H$3:$H$500,"Approved",$D$3:$D$500,"&lt;="&amp;E180,$E$3:$E$500,"&gt;="&amp;D180,$A$3:$A$500,"&lt;&gt;"&amp;A180)=0)),0))</f>
        <v/>
      </c>
      <c r="Q180">
        <f>IF(B180="","",IFERROR(SUMPRODUCT((LEN(Employees!$A$3:$A$500)&gt;0)*(Employees!$N$3:$N$500=1)*(COUNTIFS($B$3:$B$500,Employees!$A$3:$A$500,$H$3:$H$500,"Approved",$D$3:$D$500,"&lt;="&amp;E180,$E$3:$E$500,"&gt;="&amp;D180,$A$3:$A$500,"&lt;&gt;"&amp;A180)&gt;0)),0))</f>
        <v/>
      </c>
      <c r="R180">
        <f>IF(B180="","",IFERROR(SUMPRODUCT((LEN(Employees!$A$3:$A$500)&gt;0)*(Employees!$O$3:$O$500=1)*(COUNTIFS($B$3:$B$500,Employees!$A$3:$A$500,$H$3:$H$500,"Approved",$D$3:$D$500,"&lt;="&amp;E180,$E$3:$E$500,"&gt;="&amp;D180,$A$3:$A$500,"&lt;&gt;"&amp;A180)&gt;0)),0))</f>
        <v/>
      </c>
      <c r="S180">
        <f>IF(OR(B180="",IFERROR(XLOOKUP(B180,Employees!$A$3:$A$500,Employees!$G$3:$G$500,""),"")=""),"",IFERROR(SUMPRODUCT((LEN(Employees!$A$3:$A$500)&gt;0)*(Employees!$G$3:$G$500=IFERROR(XLOOKUP(B180,Employees!$A$3:$A$500,Employees!$G$3:$G$500,""),""))*(COUNTIFS($B$3:$B$500,Employees!$A$3:$A$500,$H$3:$H$500,"Approved",$D$3:$D$500,"&lt;="&amp;E180,$E$3:$E$500,"&gt;="&amp;D180,$A$3:$A$500,"&lt;&gt;"&amp;A180)&gt;0)),0))</f>
        <v/>
      </c>
    </row>
    <row r="181">
      <c r="C181">
        <f>IFERROR(XLOOKUP(B181,Employees!$A$3:$A$500,Employees!$B$3:$B$500,""),"")</f>
        <v/>
      </c>
      <c r="I181">
        <f>IF(AND(B181&lt;&gt;"",D181&lt;&gt;"",E181&lt;&gt;""),E181-D181+1,"")</f>
        <v/>
      </c>
      <c r="J181">
        <f>IF(OR(B181="",D181="",E181=""),"",IF(OR(L181&lt;'Coverage Rules'!E7,M181&lt;'Coverage Rules'!E8,N181&lt;'Coverage Rules'!C8,O181&lt;'Coverage Rules'!E9,P181&lt;'Coverage Rules'!E10,Q181&gt;='Coverage Rules'!B16,R181&gt;='Coverage Rules'!B17,IF(S181="",FALSE,S181&gt;='Coverage Rules'!D24)),"Denied","OK"))</f>
        <v/>
      </c>
      <c r="L181">
        <f>IF(B181="","",IFERROR(SUMPRODUCT((LEN(Employees!$A$3:$A$500)&gt;0)*(Employees!$T$3:$T$500=1)*(COUNTIFS($B$3:$B$500,Employees!$A$3:$A$500,$H$3:$H$500,"Approved",$D$3:$D$500,"&lt;="&amp;E181,$E$3:$E$500,"&gt;="&amp;D181,$A$3:$A$500,"&lt;&gt;"&amp;A181)=0)),0))</f>
        <v/>
      </c>
      <c r="M181">
        <f>IF(B181="","",IFERROR(SUMPRODUCT((LEN(Employees!$A$3:$A$500)&gt;0)*(Employees!$U$3:$U$500=1)*(COUNTIFS($B$3:$B$500,Employees!$A$3:$A$500,$H$3:$H$500,"Approved",$D$3:$D$500,"&lt;="&amp;E181,$E$3:$E$500,"&gt;="&amp;D181,$A$3:$A$500,"&lt;&gt;"&amp;A181)=0)),0))</f>
        <v/>
      </c>
      <c r="N181">
        <f>IF(B181="","",IFERROR(SUMPRODUCT((LEN(Employees!$A$3:$A$500)&gt;0)*(Employees!$B$3:$B$500="Manager")*(Employees!$U$3:$U$500=1)*(COUNTIFS($B$3:$B$500,Employees!$A$3:$A$500,$H$3:$H$500,"Approved",$D$3:$D$500,"&lt;="&amp;E181,$E$3:$E$500,"&gt;="&amp;D181,$A$3:$A$500,"&lt;&gt;"&amp;A181)=0)),0))</f>
        <v/>
      </c>
      <c r="O181">
        <f>IF(B181="","",IFERROR(SUMPRODUCT((LEN(Employees!$A$3:$A$500)&gt;0)*(Employees!$V$3:$V$500=1)*(COUNTIFS($B$3:$B$500,Employees!$A$3:$A$500,$H$3:$H$500,"Approved",$D$3:$D$500,"&lt;="&amp;E181,$E$3:$E$500,"&gt;="&amp;D181,$A$3:$A$500,"&lt;&gt;"&amp;A181)=0)),0))</f>
        <v/>
      </c>
      <c r="P181">
        <f>IF(B181="","",IFERROR(SUMPRODUCT((LEN(Employees!$A$3:$A$500)&gt;0)*(Employees!$W$3:$W$500=1)*(COUNTIFS($B$3:$B$500,Employees!$A$3:$A$500,$H$3:$H$500,"Approved",$D$3:$D$500,"&lt;="&amp;E181,$E$3:$E$500,"&gt;="&amp;D181,$A$3:$A$500,"&lt;&gt;"&amp;A181)=0)),0))</f>
        <v/>
      </c>
      <c r="Q181">
        <f>IF(B181="","",IFERROR(SUMPRODUCT((LEN(Employees!$A$3:$A$500)&gt;0)*(Employees!$N$3:$N$500=1)*(COUNTIFS($B$3:$B$500,Employees!$A$3:$A$500,$H$3:$H$500,"Approved",$D$3:$D$500,"&lt;="&amp;E181,$E$3:$E$500,"&gt;="&amp;D181,$A$3:$A$500,"&lt;&gt;"&amp;A181)&gt;0)),0))</f>
        <v/>
      </c>
      <c r="R181">
        <f>IF(B181="","",IFERROR(SUMPRODUCT((LEN(Employees!$A$3:$A$500)&gt;0)*(Employees!$O$3:$O$500=1)*(COUNTIFS($B$3:$B$500,Employees!$A$3:$A$500,$H$3:$H$500,"Approved",$D$3:$D$500,"&lt;="&amp;E181,$E$3:$E$500,"&gt;="&amp;D181,$A$3:$A$500,"&lt;&gt;"&amp;A181)&gt;0)),0))</f>
        <v/>
      </c>
      <c r="S181">
        <f>IF(OR(B181="",IFERROR(XLOOKUP(B181,Employees!$A$3:$A$500,Employees!$G$3:$G$500,""),"")=""),"",IFERROR(SUMPRODUCT((LEN(Employees!$A$3:$A$500)&gt;0)*(Employees!$G$3:$G$500=IFERROR(XLOOKUP(B181,Employees!$A$3:$A$500,Employees!$G$3:$G$500,""),""))*(COUNTIFS($B$3:$B$500,Employees!$A$3:$A$500,$H$3:$H$500,"Approved",$D$3:$D$500,"&lt;="&amp;E181,$E$3:$E$500,"&gt;="&amp;D181,$A$3:$A$500,"&lt;&gt;"&amp;A181)&gt;0)),0))</f>
        <v/>
      </c>
    </row>
    <row r="182">
      <c r="C182">
        <f>IFERROR(XLOOKUP(B182,Employees!$A$3:$A$500,Employees!$B$3:$B$500,""),"")</f>
        <v/>
      </c>
      <c r="I182">
        <f>IF(AND(B182&lt;&gt;"",D182&lt;&gt;"",E182&lt;&gt;""),E182-D182+1,"")</f>
        <v/>
      </c>
      <c r="J182">
        <f>IF(OR(B182="",D182="",E182=""),"",IF(OR(L182&lt;'Coverage Rules'!E7,M182&lt;'Coverage Rules'!E8,N182&lt;'Coverage Rules'!C8,O182&lt;'Coverage Rules'!E9,P182&lt;'Coverage Rules'!E10,Q182&gt;='Coverage Rules'!B16,R182&gt;='Coverage Rules'!B17,IF(S182="",FALSE,S182&gt;='Coverage Rules'!D24)),"Denied","OK"))</f>
        <v/>
      </c>
      <c r="L182">
        <f>IF(B182="","",IFERROR(SUMPRODUCT((LEN(Employees!$A$3:$A$500)&gt;0)*(Employees!$T$3:$T$500=1)*(COUNTIFS($B$3:$B$500,Employees!$A$3:$A$500,$H$3:$H$500,"Approved",$D$3:$D$500,"&lt;="&amp;E182,$E$3:$E$500,"&gt;="&amp;D182,$A$3:$A$500,"&lt;&gt;"&amp;A182)=0)),0))</f>
        <v/>
      </c>
      <c r="M182">
        <f>IF(B182="","",IFERROR(SUMPRODUCT((LEN(Employees!$A$3:$A$500)&gt;0)*(Employees!$U$3:$U$500=1)*(COUNTIFS($B$3:$B$500,Employees!$A$3:$A$500,$H$3:$H$500,"Approved",$D$3:$D$500,"&lt;="&amp;E182,$E$3:$E$500,"&gt;="&amp;D182,$A$3:$A$500,"&lt;&gt;"&amp;A182)=0)),0))</f>
        <v/>
      </c>
      <c r="N182">
        <f>IF(B182="","",IFERROR(SUMPRODUCT((LEN(Employees!$A$3:$A$500)&gt;0)*(Employees!$B$3:$B$500="Manager")*(Employees!$U$3:$U$500=1)*(COUNTIFS($B$3:$B$500,Employees!$A$3:$A$500,$H$3:$H$500,"Approved",$D$3:$D$500,"&lt;="&amp;E182,$E$3:$E$500,"&gt;="&amp;D182,$A$3:$A$500,"&lt;&gt;"&amp;A182)=0)),0))</f>
        <v/>
      </c>
      <c r="O182">
        <f>IF(B182="","",IFERROR(SUMPRODUCT((LEN(Employees!$A$3:$A$500)&gt;0)*(Employees!$V$3:$V$500=1)*(COUNTIFS($B$3:$B$500,Employees!$A$3:$A$500,$H$3:$H$500,"Approved",$D$3:$D$500,"&lt;="&amp;E182,$E$3:$E$500,"&gt;="&amp;D182,$A$3:$A$500,"&lt;&gt;"&amp;A182)=0)),0))</f>
        <v/>
      </c>
      <c r="P182">
        <f>IF(B182="","",IFERROR(SUMPRODUCT((LEN(Employees!$A$3:$A$500)&gt;0)*(Employees!$W$3:$W$500=1)*(COUNTIFS($B$3:$B$500,Employees!$A$3:$A$500,$H$3:$H$500,"Approved",$D$3:$D$500,"&lt;="&amp;E182,$E$3:$E$500,"&gt;="&amp;D182,$A$3:$A$500,"&lt;&gt;"&amp;A182)=0)),0))</f>
        <v/>
      </c>
      <c r="Q182">
        <f>IF(B182="","",IFERROR(SUMPRODUCT((LEN(Employees!$A$3:$A$500)&gt;0)*(Employees!$N$3:$N$500=1)*(COUNTIFS($B$3:$B$500,Employees!$A$3:$A$500,$H$3:$H$500,"Approved",$D$3:$D$500,"&lt;="&amp;E182,$E$3:$E$500,"&gt;="&amp;D182,$A$3:$A$500,"&lt;&gt;"&amp;A182)&gt;0)),0))</f>
        <v/>
      </c>
      <c r="R182">
        <f>IF(B182="","",IFERROR(SUMPRODUCT((LEN(Employees!$A$3:$A$500)&gt;0)*(Employees!$O$3:$O$500=1)*(COUNTIFS($B$3:$B$500,Employees!$A$3:$A$500,$H$3:$H$500,"Approved",$D$3:$D$500,"&lt;="&amp;E182,$E$3:$E$500,"&gt;="&amp;D182,$A$3:$A$500,"&lt;&gt;"&amp;A182)&gt;0)),0))</f>
        <v/>
      </c>
      <c r="S182">
        <f>IF(OR(B182="",IFERROR(XLOOKUP(B182,Employees!$A$3:$A$500,Employees!$G$3:$G$500,""),"")=""),"",IFERROR(SUMPRODUCT((LEN(Employees!$A$3:$A$500)&gt;0)*(Employees!$G$3:$G$500=IFERROR(XLOOKUP(B182,Employees!$A$3:$A$500,Employees!$G$3:$G$500,""),""))*(COUNTIFS($B$3:$B$500,Employees!$A$3:$A$500,$H$3:$H$500,"Approved",$D$3:$D$500,"&lt;="&amp;E182,$E$3:$E$500,"&gt;="&amp;D182,$A$3:$A$500,"&lt;&gt;"&amp;A182)&gt;0)),0))</f>
        <v/>
      </c>
    </row>
    <row r="183">
      <c r="C183">
        <f>IFERROR(XLOOKUP(B183,Employees!$A$3:$A$500,Employees!$B$3:$B$500,""),"")</f>
        <v/>
      </c>
      <c r="I183">
        <f>IF(AND(B183&lt;&gt;"",D183&lt;&gt;"",E183&lt;&gt;""),E183-D183+1,"")</f>
        <v/>
      </c>
      <c r="J183">
        <f>IF(OR(B183="",D183="",E183=""),"",IF(OR(L183&lt;'Coverage Rules'!E7,M183&lt;'Coverage Rules'!E8,N183&lt;'Coverage Rules'!C8,O183&lt;'Coverage Rules'!E9,P183&lt;'Coverage Rules'!E10,Q183&gt;='Coverage Rules'!B16,R183&gt;='Coverage Rules'!B17,IF(S183="",FALSE,S183&gt;='Coverage Rules'!D24)),"Denied","OK"))</f>
        <v/>
      </c>
      <c r="L183">
        <f>IF(B183="","",IFERROR(SUMPRODUCT((LEN(Employees!$A$3:$A$500)&gt;0)*(Employees!$T$3:$T$500=1)*(COUNTIFS($B$3:$B$500,Employees!$A$3:$A$500,$H$3:$H$500,"Approved",$D$3:$D$500,"&lt;="&amp;E183,$E$3:$E$500,"&gt;="&amp;D183,$A$3:$A$500,"&lt;&gt;"&amp;A183)=0)),0))</f>
        <v/>
      </c>
      <c r="M183">
        <f>IF(B183="","",IFERROR(SUMPRODUCT((LEN(Employees!$A$3:$A$500)&gt;0)*(Employees!$U$3:$U$500=1)*(COUNTIFS($B$3:$B$500,Employees!$A$3:$A$500,$H$3:$H$500,"Approved",$D$3:$D$500,"&lt;="&amp;E183,$E$3:$E$500,"&gt;="&amp;D183,$A$3:$A$500,"&lt;&gt;"&amp;A183)=0)),0))</f>
        <v/>
      </c>
      <c r="N183">
        <f>IF(B183="","",IFERROR(SUMPRODUCT((LEN(Employees!$A$3:$A$500)&gt;0)*(Employees!$B$3:$B$500="Manager")*(Employees!$U$3:$U$500=1)*(COUNTIFS($B$3:$B$500,Employees!$A$3:$A$500,$H$3:$H$500,"Approved",$D$3:$D$500,"&lt;="&amp;E183,$E$3:$E$500,"&gt;="&amp;D183,$A$3:$A$500,"&lt;&gt;"&amp;A183)=0)),0))</f>
        <v/>
      </c>
      <c r="O183">
        <f>IF(B183="","",IFERROR(SUMPRODUCT((LEN(Employees!$A$3:$A$500)&gt;0)*(Employees!$V$3:$V$500=1)*(COUNTIFS($B$3:$B$500,Employees!$A$3:$A$500,$H$3:$H$500,"Approved",$D$3:$D$500,"&lt;="&amp;E183,$E$3:$E$500,"&gt;="&amp;D183,$A$3:$A$500,"&lt;&gt;"&amp;A183)=0)),0))</f>
        <v/>
      </c>
      <c r="P183">
        <f>IF(B183="","",IFERROR(SUMPRODUCT((LEN(Employees!$A$3:$A$500)&gt;0)*(Employees!$W$3:$W$500=1)*(COUNTIFS($B$3:$B$500,Employees!$A$3:$A$500,$H$3:$H$500,"Approved",$D$3:$D$500,"&lt;="&amp;E183,$E$3:$E$500,"&gt;="&amp;D183,$A$3:$A$500,"&lt;&gt;"&amp;A183)=0)),0))</f>
        <v/>
      </c>
      <c r="Q183">
        <f>IF(B183="","",IFERROR(SUMPRODUCT((LEN(Employees!$A$3:$A$500)&gt;0)*(Employees!$N$3:$N$500=1)*(COUNTIFS($B$3:$B$500,Employees!$A$3:$A$500,$H$3:$H$500,"Approved",$D$3:$D$500,"&lt;="&amp;E183,$E$3:$E$500,"&gt;="&amp;D183,$A$3:$A$500,"&lt;&gt;"&amp;A183)&gt;0)),0))</f>
        <v/>
      </c>
      <c r="R183">
        <f>IF(B183="","",IFERROR(SUMPRODUCT((LEN(Employees!$A$3:$A$500)&gt;0)*(Employees!$O$3:$O$500=1)*(COUNTIFS($B$3:$B$500,Employees!$A$3:$A$500,$H$3:$H$500,"Approved",$D$3:$D$500,"&lt;="&amp;E183,$E$3:$E$500,"&gt;="&amp;D183,$A$3:$A$500,"&lt;&gt;"&amp;A183)&gt;0)),0))</f>
        <v/>
      </c>
      <c r="S183">
        <f>IF(OR(B183="",IFERROR(XLOOKUP(B183,Employees!$A$3:$A$500,Employees!$G$3:$G$500,""),"")=""),"",IFERROR(SUMPRODUCT((LEN(Employees!$A$3:$A$500)&gt;0)*(Employees!$G$3:$G$500=IFERROR(XLOOKUP(B183,Employees!$A$3:$A$500,Employees!$G$3:$G$500,""),""))*(COUNTIFS($B$3:$B$500,Employees!$A$3:$A$500,$H$3:$H$500,"Approved",$D$3:$D$500,"&lt;="&amp;E183,$E$3:$E$500,"&gt;="&amp;D183,$A$3:$A$500,"&lt;&gt;"&amp;A183)&gt;0)),0))</f>
        <v/>
      </c>
    </row>
    <row r="184">
      <c r="C184">
        <f>IFERROR(XLOOKUP(B184,Employees!$A$3:$A$500,Employees!$B$3:$B$500,""),"")</f>
        <v/>
      </c>
      <c r="I184">
        <f>IF(AND(B184&lt;&gt;"",D184&lt;&gt;"",E184&lt;&gt;""),E184-D184+1,"")</f>
        <v/>
      </c>
      <c r="J184">
        <f>IF(OR(B184="",D184="",E184=""),"",IF(OR(L184&lt;'Coverage Rules'!E7,M184&lt;'Coverage Rules'!E8,N184&lt;'Coverage Rules'!C8,O184&lt;'Coverage Rules'!E9,P184&lt;'Coverage Rules'!E10,Q184&gt;='Coverage Rules'!B16,R184&gt;='Coverage Rules'!B17,IF(S184="",FALSE,S184&gt;='Coverage Rules'!D24)),"Denied","OK"))</f>
        <v/>
      </c>
      <c r="L184">
        <f>IF(B184="","",IFERROR(SUMPRODUCT((LEN(Employees!$A$3:$A$500)&gt;0)*(Employees!$T$3:$T$500=1)*(COUNTIFS($B$3:$B$500,Employees!$A$3:$A$500,$H$3:$H$500,"Approved",$D$3:$D$500,"&lt;="&amp;E184,$E$3:$E$500,"&gt;="&amp;D184,$A$3:$A$500,"&lt;&gt;"&amp;A184)=0)),0))</f>
        <v/>
      </c>
      <c r="M184">
        <f>IF(B184="","",IFERROR(SUMPRODUCT((LEN(Employees!$A$3:$A$500)&gt;0)*(Employees!$U$3:$U$500=1)*(COUNTIFS($B$3:$B$500,Employees!$A$3:$A$500,$H$3:$H$500,"Approved",$D$3:$D$500,"&lt;="&amp;E184,$E$3:$E$500,"&gt;="&amp;D184,$A$3:$A$500,"&lt;&gt;"&amp;A184)=0)),0))</f>
        <v/>
      </c>
      <c r="N184">
        <f>IF(B184="","",IFERROR(SUMPRODUCT((LEN(Employees!$A$3:$A$500)&gt;0)*(Employees!$B$3:$B$500="Manager")*(Employees!$U$3:$U$500=1)*(COUNTIFS($B$3:$B$500,Employees!$A$3:$A$500,$H$3:$H$500,"Approved",$D$3:$D$500,"&lt;="&amp;E184,$E$3:$E$500,"&gt;="&amp;D184,$A$3:$A$500,"&lt;&gt;"&amp;A184)=0)),0))</f>
        <v/>
      </c>
      <c r="O184">
        <f>IF(B184="","",IFERROR(SUMPRODUCT((LEN(Employees!$A$3:$A$500)&gt;0)*(Employees!$V$3:$V$500=1)*(COUNTIFS($B$3:$B$500,Employees!$A$3:$A$500,$H$3:$H$500,"Approved",$D$3:$D$500,"&lt;="&amp;E184,$E$3:$E$500,"&gt;="&amp;D184,$A$3:$A$500,"&lt;&gt;"&amp;A184)=0)),0))</f>
        <v/>
      </c>
      <c r="P184">
        <f>IF(B184="","",IFERROR(SUMPRODUCT((LEN(Employees!$A$3:$A$500)&gt;0)*(Employees!$W$3:$W$500=1)*(COUNTIFS($B$3:$B$500,Employees!$A$3:$A$500,$H$3:$H$500,"Approved",$D$3:$D$500,"&lt;="&amp;E184,$E$3:$E$500,"&gt;="&amp;D184,$A$3:$A$500,"&lt;&gt;"&amp;A184)=0)),0))</f>
        <v/>
      </c>
      <c r="Q184">
        <f>IF(B184="","",IFERROR(SUMPRODUCT((LEN(Employees!$A$3:$A$500)&gt;0)*(Employees!$N$3:$N$500=1)*(COUNTIFS($B$3:$B$500,Employees!$A$3:$A$500,$H$3:$H$500,"Approved",$D$3:$D$500,"&lt;="&amp;E184,$E$3:$E$500,"&gt;="&amp;D184,$A$3:$A$500,"&lt;&gt;"&amp;A184)&gt;0)),0))</f>
        <v/>
      </c>
      <c r="R184">
        <f>IF(B184="","",IFERROR(SUMPRODUCT((LEN(Employees!$A$3:$A$500)&gt;0)*(Employees!$O$3:$O$500=1)*(COUNTIFS($B$3:$B$500,Employees!$A$3:$A$500,$H$3:$H$500,"Approved",$D$3:$D$500,"&lt;="&amp;E184,$E$3:$E$500,"&gt;="&amp;D184,$A$3:$A$500,"&lt;&gt;"&amp;A184)&gt;0)),0))</f>
        <v/>
      </c>
      <c r="S184">
        <f>IF(OR(B184="",IFERROR(XLOOKUP(B184,Employees!$A$3:$A$500,Employees!$G$3:$G$500,""),"")=""),"",IFERROR(SUMPRODUCT((LEN(Employees!$A$3:$A$500)&gt;0)*(Employees!$G$3:$G$500=IFERROR(XLOOKUP(B184,Employees!$A$3:$A$500,Employees!$G$3:$G$500,""),""))*(COUNTIFS($B$3:$B$500,Employees!$A$3:$A$500,$H$3:$H$500,"Approved",$D$3:$D$500,"&lt;="&amp;E184,$E$3:$E$500,"&gt;="&amp;D184,$A$3:$A$500,"&lt;&gt;"&amp;A184)&gt;0)),0))</f>
        <v/>
      </c>
    </row>
    <row r="185">
      <c r="C185">
        <f>IFERROR(XLOOKUP(B185,Employees!$A$3:$A$500,Employees!$B$3:$B$500,""),"")</f>
        <v/>
      </c>
      <c r="I185">
        <f>IF(AND(B185&lt;&gt;"",D185&lt;&gt;"",E185&lt;&gt;""),E185-D185+1,"")</f>
        <v/>
      </c>
      <c r="J185">
        <f>IF(OR(B185="",D185="",E185=""),"",IF(OR(L185&lt;'Coverage Rules'!E7,M185&lt;'Coverage Rules'!E8,N185&lt;'Coverage Rules'!C8,O185&lt;'Coverage Rules'!E9,P185&lt;'Coverage Rules'!E10,Q185&gt;='Coverage Rules'!B16,R185&gt;='Coverage Rules'!B17,IF(S185="",FALSE,S185&gt;='Coverage Rules'!D24)),"Denied","OK"))</f>
        <v/>
      </c>
      <c r="L185">
        <f>IF(B185="","",IFERROR(SUMPRODUCT((LEN(Employees!$A$3:$A$500)&gt;0)*(Employees!$T$3:$T$500=1)*(COUNTIFS($B$3:$B$500,Employees!$A$3:$A$500,$H$3:$H$500,"Approved",$D$3:$D$500,"&lt;="&amp;E185,$E$3:$E$500,"&gt;="&amp;D185,$A$3:$A$500,"&lt;&gt;"&amp;A185)=0)),0))</f>
        <v/>
      </c>
      <c r="M185">
        <f>IF(B185="","",IFERROR(SUMPRODUCT((LEN(Employees!$A$3:$A$500)&gt;0)*(Employees!$U$3:$U$500=1)*(COUNTIFS($B$3:$B$500,Employees!$A$3:$A$500,$H$3:$H$500,"Approved",$D$3:$D$500,"&lt;="&amp;E185,$E$3:$E$500,"&gt;="&amp;D185,$A$3:$A$500,"&lt;&gt;"&amp;A185)=0)),0))</f>
        <v/>
      </c>
      <c r="N185">
        <f>IF(B185="","",IFERROR(SUMPRODUCT((LEN(Employees!$A$3:$A$500)&gt;0)*(Employees!$B$3:$B$500="Manager")*(Employees!$U$3:$U$500=1)*(COUNTIFS($B$3:$B$500,Employees!$A$3:$A$500,$H$3:$H$500,"Approved",$D$3:$D$500,"&lt;="&amp;E185,$E$3:$E$500,"&gt;="&amp;D185,$A$3:$A$500,"&lt;&gt;"&amp;A185)=0)),0))</f>
        <v/>
      </c>
      <c r="O185">
        <f>IF(B185="","",IFERROR(SUMPRODUCT((LEN(Employees!$A$3:$A$500)&gt;0)*(Employees!$V$3:$V$500=1)*(COUNTIFS($B$3:$B$500,Employees!$A$3:$A$500,$H$3:$H$500,"Approved",$D$3:$D$500,"&lt;="&amp;E185,$E$3:$E$500,"&gt;="&amp;D185,$A$3:$A$500,"&lt;&gt;"&amp;A185)=0)),0))</f>
        <v/>
      </c>
      <c r="P185">
        <f>IF(B185="","",IFERROR(SUMPRODUCT((LEN(Employees!$A$3:$A$500)&gt;0)*(Employees!$W$3:$W$500=1)*(COUNTIFS($B$3:$B$500,Employees!$A$3:$A$500,$H$3:$H$500,"Approved",$D$3:$D$500,"&lt;="&amp;E185,$E$3:$E$500,"&gt;="&amp;D185,$A$3:$A$500,"&lt;&gt;"&amp;A185)=0)),0))</f>
        <v/>
      </c>
      <c r="Q185">
        <f>IF(B185="","",IFERROR(SUMPRODUCT((LEN(Employees!$A$3:$A$500)&gt;0)*(Employees!$N$3:$N$500=1)*(COUNTIFS($B$3:$B$500,Employees!$A$3:$A$500,$H$3:$H$500,"Approved",$D$3:$D$500,"&lt;="&amp;E185,$E$3:$E$500,"&gt;="&amp;D185,$A$3:$A$500,"&lt;&gt;"&amp;A185)&gt;0)),0))</f>
        <v/>
      </c>
      <c r="R185">
        <f>IF(B185="","",IFERROR(SUMPRODUCT((LEN(Employees!$A$3:$A$500)&gt;0)*(Employees!$O$3:$O$500=1)*(COUNTIFS($B$3:$B$500,Employees!$A$3:$A$500,$H$3:$H$500,"Approved",$D$3:$D$500,"&lt;="&amp;E185,$E$3:$E$500,"&gt;="&amp;D185,$A$3:$A$500,"&lt;&gt;"&amp;A185)&gt;0)),0))</f>
        <v/>
      </c>
      <c r="S185">
        <f>IF(OR(B185="",IFERROR(XLOOKUP(B185,Employees!$A$3:$A$500,Employees!$G$3:$G$500,""),"")=""),"",IFERROR(SUMPRODUCT((LEN(Employees!$A$3:$A$500)&gt;0)*(Employees!$G$3:$G$500=IFERROR(XLOOKUP(B185,Employees!$A$3:$A$500,Employees!$G$3:$G$500,""),""))*(COUNTIFS($B$3:$B$500,Employees!$A$3:$A$500,$H$3:$H$500,"Approved",$D$3:$D$500,"&lt;="&amp;E185,$E$3:$E$500,"&gt;="&amp;D185,$A$3:$A$500,"&lt;&gt;"&amp;A185)&gt;0)),0))</f>
        <v/>
      </c>
    </row>
    <row r="186">
      <c r="C186">
        <f>IFERROR(XLOOKUP(B186,Employees!$A$3:$A$500,Employees!$B$3:$B$500,""),"")</f>
        <v/>
      </c>
      <c r="I186">
        <f>IF(AND(B186&lt;&gt;"",D186&lt;&gt;"",E186&lt;&gt;""),E186-D186+1,"")</f>
        <v/>
      </c>
      <c r="J186">
        <f>IF(OR(B186="",D186="",E186=""),"",IF(OR(L186&lt;'Coverage Rules'!E7,M186&lt;'Coverage Rules'!E8,N186&lt;'Coverage Rules'!C8,O186&lt;'Coverage Rules'!E9,P186&lt;'Coverage Rules'!E10,Q186&gt;='Coverage Rules'!B16,R186&gt;='Coverage Rules'!B17,IF(S186="",FALSE,S186&gt;='Coverage Rules'!D24)),"Denied","OK"))</f>
        <v/>
      </c>
      <c r="L186">
        <f>IF(B186="","",IFERROR(SUMPRODUCT((LEN(Employees!$A$3:$A$500)&gt;0)*(Employees!$T$3:$T$500=1)*(COUNTIFS($B$3:$B$500,Employees!$A$3:$A$500,$H$3:$H$500,"Approved",$D$3:$D$500,"&lt;="&amp;E186,$E$3:$E$500,"&gt;="&amp;D186,$A$3:$A$500,"&lt;&gt;"&amp;A186)=0)),0))</f>
        <v/>
      </c>
      <c r="M186">
        <f>IF(B186="","",IFERROR(SUMPRODUCT((LEN(Employees!$A$3:$A$500)&gt;0)*(Employees!$U$3:$U$500=1)*(COUNTIFS($B$3:$B$500,Employees!$A$3:$A$500,$H$3:$H$500,"Approved",$D$3:$D$500,"&lt;="&amp;E186,$E$3:$E$500,"&gt;="&amp;D186,$A$3:$A$500,"&lt;&gt;"&amp;A186)=0)),0))</f>
        <v/>
      </c>
      <c r="N186">
        <f>IF(B186="","",IFERROR(SUMPRODUCT((LEN(Employees!$A$3:$A$500)&gt;0)*(Employees!$B$3:$B$500="Manager")*(Employees!$U$3:$U$500=1)*(COUNTIFS($B$3:$B$500,Employees!$A$3:$A$500,$H$3:$H$500,"Approved",$D$3:$D$500,"&lt;="&amp;E186,$E$3:$E$500,"&gt;="&amp;D186,$A$3:$A$500,"&lt;&gt;"&amp;A186)=0)),0))</f>
        <v/>
      </c>
      <c r="O186">
        <f>IF(B186="","",IFERROR(SUMPRODUCT((LEN(Employees!$A$3:$A$500)&gt;0)*(Employees!$V$3:$V$500=1)*(COUNTIFS($B$3:$B$500,Employees!$A$3:$A$500,$H$3:$H$500,"Approved",$D$3:$D$500,"&lt;="&amp;E186,$E$3:$E$500,"&gt;="&amp;D186,$A$3:$A$500,"&lt;&gt;"&amp;A186)=0)),0))</f>
        <v/>
      </c>
      <c r="P186">
        <f>IF(B186="","",IFERROR(SUMPRODUCT((LEN(Employees!$A$3:$A$500)&gt;0)*(Employees!$W$3:$W$500=1)*(COUNTIFS($B$3:$B$500,Employees!$A$3:$A$500,$H$3:$H$500,"Approved",$D$3:$D$500,"&lt;="&amp;E186,$E$3:$E$500,"&gt;="&amp;D186,$A$3:$A$500,"&lt;&gt;"&amp;A186)=0)),0))</f>
        <v/>
      </c>
      <c r="Q186">
        <f>IF(B186="","",IFERROR(SUMPRODUCT((LEN(Employees!$A$3:$A$500)&gt;0)*(Employees!$N$3:$N$500=1)*(COUNTIFS($B$3:$B$500,Employees!$A$3:$A$500,$H$3:$H$500,"Approved",$D$3:$D$500,"&lt;="&amp;E186,$E$3:$E$500,"&gt;="&amp;D186,$A$3:$A$500,"&lt;&gt;"&amp;A186)&gt;0)),0))</f>
        <v/>
      </c>
      <c r="R186">
        <f>IF(B186="","",IFERROR(SUMPRODUCT((LEN(Employees!$A$3:$A$500)&gt;0)*(Employees!$O$3:$O$500=1)*(COUNTIFS($B$3:$B$500,Employees!$A$3:$A$500,$H$3:$H$500,"Approved",$D$3:$D$500,"&lt;="&amp;E186,$E$3:$E$500,"&gt;="&amp;D186,$A$3:$A$500,"&lt;&gt;"&amp;A186)&gt;0)),0))</f>
        <v/>
      </c>
      <c r="S186">
        <f>IF(OR(B186="",IFERROR(XLOOKUP(B186,Employees!$A$3:$A$500,Employees!$G$3:$G$500,""),"")=""),"",IFERROR(SUMPRODUCT((LEN(Employees!$A$3:$A$500)&gt;0)*(Employees!$G$3:$G$500=IFERROR(XLOOKUP(B186,Employees!$A$3:$A$500,Employees!$G$3:$G$500,""),""))*(COUNTIFS($B$3:$B$500,Employees!$A$3:$A$500,$H$3:$H$500,"Approved",$D$3:$D$500,"&lt;="&amp;E186,$E$3:$E$500,"&gt;="&amp;D186,$A$3:$A$500,"&lt;&gt;"&amp;A186)&gt;0)),0))</f>
        <v/>
      </c>
    </row>
    <row r="187">
      <c r="C187">
        <f>IFERROR(XLOOKUP(B187,Employees!$A$3:$A$500,Employees!$B$3:$B$500,""),"")</f>
        <v/>
      </c>
      <c r="I187">
        <f>IF(AND(B187&lt;&gt;"",D187&lt;&gt;"",E187&lt;&gt;""),E187-D187+1,"")</f>
        <v/>
      </c>
      <c r="J187">
        <f>IF(OR(B187="",D187="",E187=""),"",IF(OR(L187&lt;'Coverage Rules'!E7,M187&lt;'Coverage Rules'!E8,N187&lt;'Coverage Rules'!C8,O187&lt;'Coverage Rules'!E9,P187&lt;'Coverage Rules'!E10,Q187&gt;='Coverage Rules'!B16,R187&gt;='Coverage Rules'!B17,IF(S187="",FALSE,S187&gt;='Coverage Rules'!D24)),"Denied","OK"))</f>
        <v/>
      </c>
      <c r="L187">
        <f>IF(B187="","",IFERROR(SUMPRODUCT((LEN(Employees!$A$3:$A$500)&gt;0)*(Employees!$T$3:$T$500=1)*(COUNTIFS($B$3:$B$500,Employees!$A$3:$A$500,$H$3:$H$500,"Approved",$D$3:$D$500,"&lt;="&amp;E187,$E$3:$E$500,"&gt;="&amp;D187,$A$3:$A$500,"&lt;&gt;"&amp;A187)=0)),0))</f>
        <v/>
      </c>
      <c r="M187">
        <f>IF(B187="","",IFERROR(SUMPRODUCT((LEN(Employees!$A$3:$A$500)&gt;0)*(Employees!$U$3:$U$500=1)*(COUNTIFS($B$3:$B$500,Employees!$A$3:$A$500,$H$3:$H$500,"Approved",$D$3:$D$500,"&lt;="&amp;E187,$E$3:$E$500,"&gt;="&amp;D187,$A$3:$A$500,"&lt;&gt;"&amp;A187)=0)),0))</f>
        <v/>
      </c>
      <c r="N187">
        <f>IF(B187="","",IFERROR(SUMPRODUCT((LEN(Employees!$A$3:$A$500)&gt;0)*(Employees!$B$3:$B$500="Manager")*(Employees!$U$3:$U$500=1)*(COUNTIFS($B$3:$B$500,Employees!$A$3:$A$500,$H$3:$H$500,"Approved",$D$3:$D$500,"&lt;="&amp;E187,$E$3:$E$500,"&gt;="&amp;D187,$A$3:$A$500,"&lt;&gt;"&amp;A187)=0)),0))</f>
        <v/>
      </c>
      <c r="O187">
        <f>IF(B187="","",IFERROR(SUMPRODUCT((LEN(Employees!$A$3:$A$500)&gt;0)*(Employees!$V$3:$V$500=1)*(COUNTIFS($B$3:$B$500,Employees!$A$3:$A$500,$H$3:$H$500,"Approved",$D$3:$D$500,"&lt;="&amp;E187,$E$3:$E$500,"&gt;="&amp;D187,$A$3:$A$500,"&lt;&gt;"&amp;A187)=0)),0))</f>
        <v/>
      </c>
      <c r="P187">
        <f>IF(B187="","",IFERROR(SUMPRODUCT((LEN(Employees!$A$3:$A$500)&gt;0)*(Employees!$W$3:$W$500=1)*(COUNTIFS($B$3:$B$500,Employees!$A$3:$A$500,$H$3:$H$500,"Approved",$D$3:$D$500,"&lt;="&amp;E187,$E$3:$E$500,"&gt;="&amp;D187,$A$3:$A$500,"&lt;&gt;"&amp;A187)=0)),0))</f>
        <v/>
      </c>
      <c r="Q187">
        <f>IF(B187="","",IFERROR(SUMPRODUCT((LEN(Employees!$A$3:$A$500)&gt;0)*(Employees!$N$3:$N$500=1)*(COUNTIFS($B$3:$B$500,Employees!$A$3:$A$500,$H$3:$H$500,"Approved",$D$3:$D$500,"&lt;="&amp;E187,$E$3:$E$500,"&gt;="&amp;D187,$A$3:$A$500,"&lt;&gt;"&amp;A187)&gt;0)),0))</f>
        <v/>
      </c>
      <c r="R187">
        <f>IF(B187="","",IFERROR(SUMPRODUCT((LEN(Employees!$A$3:$A$500)&gt;0)*(Employees!$O$3:$O$500=1)*(COUNTIFS($B$3:$B$500,Employees!$A$3:$A$500,$H$3:$H$500,"Approved",$D$3:$D$500,"&lt;="&amp;E187,$E$3:$E$500,"&gt;="&amp;D187,$A$3:$A$500,"&lt;&gt;"&amp;A187)&gt;0)),0))</f>
        <v/>
      </c>
      <c r="S187">
        <f>IF(OR(B187="",IFERROR(XLOOKUP(B187,Employees!$A$3:$A$500,Employees!$G$3:$G$500,""),"")=""),"",IFERROR(SUMPRODUCT((LEN(Employees!$A$3:$A$500)&gt;0)*(Employees!$G$3:$G$500=IFERROR(XLOOKUP(B187,Employees!$A$3:$A$500,Employees!$G$3:$G$500,""),""))*(COUNTIFS($B$3:$B$500,Employees!$A$3:$A$500,$H$3:$H$500,"Approved",$D$3:$D$500,"&lt;="&amp;E187,$E$3:$E$500,"&gt;="&amp;D187,$A$3:$A$500,"&lt;&gt;"&amp;A187)&gt;0)),0))</f>
        <v/>
      </c>
    </row>
    <row r="188">
      <c r="C188">
        <f>IFERROR(XLOOKUP(B188,Employees!$A$3:$A$500,Employees!$B$3:$B$500,""),"")</f>
        <v/>
      </c>
      <c r="I188">
        <f>IF(AND(B188&lt;&gt;"",D188&lt;&gt;"",E188&lt;&gt;""),E188-D188+1,"")</f>
        <v/>
      </c>
      <c r="J188">
        <f>IF(OR(B188="",D188="",E188=""),"",IF(OR(L188&lt;'Coverage Rules'!E7,M188&lt;'Coverage Rules'!E8,N188&lt;'Coverage Rules'!C8,O188&lt;'Coverage Rules'!E9,P188&lt;'Coverage Rules'!E10,Q188&gt;='Coverage Rules'!B16,R188&gt;='Coverage Rules'!B17,IF(S188="",FALSE,S188&gt;='Coverage Rules'!D24)),"Denied","OK"))</f>
        <v/>
      </c>
      <c r="L188">
        <f>IF(B188="","",IFERROR(SUMPRODUCT((LEN(Employees!$A$3:$A$500)&gt;0)*(Employees!$T$3:$T$500=1)*(COUNTIFS($B$3:$B$500,Employees!$A$3:$A$500,$H$3:$H$500,"Approved",$D$3:$D$500,"&lt;="&amp;E188,$E$3:$E$500,"&gt;="&amp;D188,$A$3:$A$500,"&lt;&gt;"&amp;A188)=0)),0))</f>
        <v/>
      </c>
      <c r="M188">
        <f>IF(B188="","",IFERROR(SUMPRODUCT((LEN(Employees!$A$3:$A$500)&gt;0)*(Employees!$U$3:$U$500=1)*(COUNTIFS($B$3:$B$500,Employees!$A$3:$A$500,$H$3:$H$500,"Approved",$D$3:$D$500,"&lt;="&amp;E188,$E$3:$E$500,"&gt;="&amp;D188,$A$3:$A$500,"&lt;&gt;"&amp;A188)=0)),0))</f>
        <v/>
      </c>
      <c r="N188">
        <f>IF(B188="","",IFERROR(SUMPRODUCT((LEN(Employees!$A$3:$A$500)&gt;0)*(Employees!$B$3:$B$500="Manager")*(Employees!$U$3:$U$500=1)*(COUNTIFS($B$3:$B$500,Employees!$A$3:$A$500,$H$3:$H$500,"Approved",$D$3:$D$500,"&lt;="&amp;E188,$E$3:$E$500,"&gt;="&amp;D188,$A$3:$A$500,"&lt;&gt;"&amp;A188)=0)),0))</f>
        <v/>
      </c>
      <c r="O188">
        <f>IF(B188="","",IFERROR(SUMPRODUCT((LEN(Employees!$A$3:$A$500)&gt;0)*(Employees!$V$3:$V$500=1)*(COUNTIFS($B$3:$B$500,Employees!$A$3:$A$500,$H$3:$H$500,"Approved",$D$3:$D$500,"&lt;="&amp;E188,$E$3:$E$500,"&gt;="&amp;D188,$A$3:$A$500,"&lt;&gt;"&amp;A188)=0)),0))</f>
        <v/>
      </c>
      <c r="P188">
        <f>IF(B188="","",IFERROR(SUMPRODUCT((LEN(Employees!$A$3:$A$500)&gt;0)*(Employees!$W$3:$W$500=1)*(COUNTIFS($B$3:$B$500,Employees!$A$3:$A$500,$H$3:$H$500,"Approved",$D$3:$D$500,"&lt;="&amp;E188,$E$3:$E$500,"&gt;="&amp;D188,$A$3:$A$500,"&lt;&gt;"&amp;A188)=0)),0))</f>
        <v/>
      </c>
      <c r="Q188">
        <f>IF(B188="","",IFERROR(SUMPRODUCT((LEN(Employees!$A$3:$A$500)&gt;0)*(Employees!$N$3:$N$500=1)*(COUNTIFS($B$3:$B$500,Employees!$A$3:$A$500,$H$3:$H$500,"Approved",$D$3:$D$500,"&lt;="&amp;E188,$E$3:$E$500,"&gt;="&amp;D188,$A$3:$A$500,"&lt;&gt;"&amp;A188)&gt;0)),0))</f>
        <v/>
      </c>
      <c r="R188">
        <f>IF(B188="","",IFERROR(SUMPRODUCT((LEN(Employees!$A$3:$A$500)&gt;0)*(Employees!$O$3:$O$500=1)*(COUNTIFS($B$3:$B$500,Employees!$A$3:$A$500,$H$3:$H$500,"Approved",$D$3:$D$500,"&lt;="&amp;E188,$E$3:$E$500,"&gt;="&amp;D188,$A$3:$A$500,"&lt;&gt;"&amp;A188)&gt;0)),0))</f>
        <v/>
      </c>
      <c r="S188">
        <f>IF(OR(B188="",IFERROR(XLOOKUP(B188,Employees!$A$3:$A$500,Employees!$G$3:$G$500,""),"")=""),"",IFERROR(SUMPRODUCT((LEN(Employees!$A$3:$A$500)&gt;0)*(Employees!$G$3:$G$500=IFERROR(XLOOKUP(B188,Employees!$A$3:$A$500,Employees!$G$3:$G$500,""),""))*(COUNTIFS($B$3:$B$500,Employees!$A$3:$A$500,$H$3:$H$500,"Approved",$D$3:$D$500,"&lt;="&amp;E188,$E$3:$E$500,"&gt;="&amp;D188,$A$3:$A$500,"&lt;&gt;"&amp;A188)&gt;0)),0))</f>
        <v/>
      </c>
    </row>
    <row r="189">
      <c r="C189">
        <f>IFERROR(XLOOKUP(B189,Employees!$A$3:$A$500,Employees!$B$3:$B$500,""),"")</f>
        <v/>
      </c>
      <c r="I189">
        <f>IF(AND(B189&lt;&gt;"",D189&lt;&gt;"",E189&lt;&gt;""),E189-D189+1,"")</f>
        <v/>
      </c>
      <c r="J189">
        <f>IF(OR(B189="",D189="",E189=""),"",IF(OR(L189&lt;'Coverage Rules'!E7,M189&lt;'Coverage Rules'!E8,N189&lt;'Coverage Rules'!C8,O189&lt;'Coverage Rules'!E9,P189&lt;'Coverage Rules'!E10,Q189&gt;='Coverage Rules'!B16,R189&gt;='Coverage Rules'!B17,IF(S189="",FALSE,S189&gt;='Coverage Rules'!D24)),"Denied","OK"))</f>
        <v/>
      </c>
      <c r="L189">
        <f>IF(B189="","",IFERROR(SUMPRODUCT((LEN(Employees!$A$3:$A$500)&gt;0)*(Employees!$T$3:$T$500=1)*(COUNTIFS($B$3:$B$500,Employees!$A$3:$A$500,$H$3:$H$500,"Approved",$D$3:$D$500,"&lt;="&amp;E189,$E$3:$E$500,"&gt;="&amp;D189,$A$3:$A$500,"&lt;&gt;"&amp;A189)=0)),0))</f>
        <v/>
      </c>
      <c r="M189">
        <f>IF(B189="","",IFERROR(SUMPRODUCT((LEN(Employees!$A$3:$A$500)&gt;0)*(Employees!$U$3:$U$500=1)*(COUNTIFS($B$3:$B$500,Employees!$A$3:$A$500,$H$3:$H$500,"Approved",$D$3:$D$500,"&lt;="&amp;E189,$E$3:$E$500,"&gt;="&amp;D189,$A$3:$A$500,"&lt;&gt;"&amp;A189)=0)),0))</f>
        <v/>
      </c>
      <c r="N189">
        <f>IF(B189="","",IFERROR(SUMPRODUCT((LEN(Employees!$A$3:$A$500)&gt;0)*(Employees!$B$3:$B$500="Manager")*(Employees!$U$3:$U$500=1)*(COUNTIFS($B$3:$B$500,Employees!$A$3:$A$500,$H$3:$H$500,"Approved",$D$3:$D$500,"&lt;="&amp;E189,$E$3:$E$500,"&gt;="&amp;D189,$A$3:$A$500,"&lt;&gt;"&amp;A189)=0)),0))</f>
        <v/>
      </c>
      <c r="O189">
        <f>IF(B189="","",IFERROR(SUMPRODUCT((LEN(Employees!$A$3:$A$500)&gt;0)*(Employees!$V$3:$V$500=1)*(COUNTIFS($B$3:$B$500,Employees!$A$3:$A$500,$H$3:$H$500,"Approved",$D$3:$D$500,"&lt;="&amp;E189,$E$3:$E$500,"&gt;="&amp;D189,$A$3:$A$500,"&lt;&gt;"&amp;A189)=0)),0))</f>
        <v/>
      </c>
      <c r="P189">
        <f>IF(B189="","",IFERROR(SUMPRODUCT((LEN(Employees!$A$3:$A$500)&gt;0)*(Employees!$W$3:$W$500=1)*(COUNTIFS($B$3:$B$500,Employees!$A$3:$A$500,$H$3:$H$500,"Approved",$D$3:$D$500,"&lt;="&amp;E189,$E$3:$E$500,"&gt;="&amp;D189,$A$3:$A$500,"&lt;&gt;"&amp;A189)=0)),0))</f>
        <v/>
      </c>
      <c r="Q189">
        <f>IF(B189="","",IFERROR(SUMPRODUCT((LEN(Employees!$A$3:$A$500)&gt;0)*(Employees!$N$3:$N$500=1)*(COUNTIFS($B$3:$B$500,Employees!$A$3:$A$500,$H$3:$H$500,"Approved",$D$3:$D$500,"&lt;="&amp;E189,$E$3:$E$500,"&gt;="&amp;D189,$A$3:$A$500,"&lt;&gt;"&amp;A189)&gt;0)),0))</f>
        <v/>
      </c>
      <c r="R189">
        <f>IF(B189="","",IFERROR(SUMPRODUCT((LEN(Employees!$A$3:$A$500)&gt;0)*(Employees!$O$3:$O$500=1)*(COUNTIFS($B$3:$B$500,Employees!$A$3:$A$500,$H$3:$H$500,"Approved",$D$3:$D$500,"&lt;="&amp;E189,$E$3:$E$500,"&gt;="&amp;D189,$A$3:$A$500,"&lt;&gt;"&amp;A189)&gt;0)),0))</f>
        <v/>
      </c>
      <c r="S189">
        <f>IF(OR(B189="",IFERROR(XLOOKUP(B189,Employees!$A$3:$A$500,Employees!$G$3:$G$500,""),"")=""),"",IFERROR(SUMPRODUCT((LEN(Employees!$A$3:$A$500)&gt;0)*(Employees!$G$3:$G$500=IFERROR(XLOOKUP(B189,Employees!$A$3:$A$500,Employees!$G$3:$G$500,""),""))*(COUNTIFS($B$3:$B$500,Employees!$A$3:$A$500,$H$3:$H$500,"Approved",$D$3:$D$500,"&lt;="&amp;E189,$E$3:$E$500,"&gt;="&amp;D189,$A$3:$A$500,"&lt;&gt;"&amp;A189)&gt;0)),0))</f>
        <v/>
      </c>
    </row>
    <row r="190">
      <c r="C190">
        <f>IFERROR(XLOOKUP(B190,Employees!$A$3:$A$500,Employees!$B$3:$B$500,""),"")</f>
        <v/>
      </c>
      <c r="I190">
        <f>IF(AND(B190&lt;&gt;"",D190&lt;&gt;"",E190&lt;&gt;""),E190-D190+1,"")</f>
        <v/>
      </c>
      <c r="J190">
        <f>IF(OR(B190="",D190="",E190=""),"",IF(OR(L190&lt;'Coverage Rules'!E7,M190&lt;'Coverage Rules'!E8,N190&lt;'Coverage Rules'!C8,O190&lt;'Coverage Rules'!E9,P190&lt;'Coverage Rules'!E10,Q190&gt;='Coverage Rules'!B16,R190&gt;='Coverage Rules'!B17,IF(S190="",FALSE,S190&gt;='Coverage Rules'!D24)),"Denied","OK"))</f>
        <v/>
      </c>
      <c r="L190">
        <f>IF(B190="","",IFERROR(SUMPRODUCT((LEN(Employees!$A$3:$A$500)&gt;0)*(Employees!$T$3:$T$500=1)*(COUNTIFS($B$3:$B$500,Employees!$A$3:$A$500,$H$3:$H$500,"Approved",$D$3:$D$500,"&lt;="&amp;E190,$E$3:$E$500,"&gt;="&amp;D190,$A$3:$A$500,"&lt;&gt;"&amp;A190)=0)),0))</f>
        <v/>
      </c>
      <c r="M190">
        <f>IF(B190="","",IFERROR(SUMPRODUCT((LEN(Employees!$A$3:$A$500)&gt;0)*(Employees!$U$3:$U$500=1)*(COUNTIFS($B$3:$B$500,Employees!$A$3:$A$500,$H$3:$H$500,"Approved",$D$3:$D$500,"&lt;="&amp;E190,$E$3:$E$500,"&gt;="&amp;D190,$A$3:$A$500,"&lt;&gt;"&amp;A190)=0)),0))</f>
        <v/>
      </c>
      <c r="N190">
        <f>IF(B190="","",IFERROR(SUMPRODUCT((LEN(Employees!$A$3:$A$500)&gt;0)*(Employees!$B$3:$B$500="Manager")*(Employees!$U$3:$U$500=1)*(COUNTIFS($B$3:$B$500,Employees!$A$3:$A$500,$H$3:$H$500,"Approved",$D$3:$D$500,"&lt;="&amp;E190,$E$3:$E$500,"&gt;="&amp;D190,$A$3:$A$500,"&lt;&gt;"&amp;A190)=0)),0))</f>
        <v/>
      </c>
      <c r="O190">
        <f>IF(B190="","",IFERROR(SUMPRODUCT((LEN(Employees!$A$3:$A$500)&gt;0)*(Employees!$V$3:$V$500=1)*(COUNTIFS($B$3:$B$500,Employees!$A$3:$A$500,$H$3:$H$500,"Approved",$D$3:$D$500,"&lt;="&amp;E190,$E$3:$E$500,"&gt;="&amp;D190,$A$3:$A$500,"&lt;&gt;"&amp;A190)=0)),0))</f>
        <v/>
      </c>
      <c r="P190">
        <f>IF(B190="","",IFERROR(SUMPRODUCT((LEN(Employees!$A$3:$A$500)&gt;0)*(Employees!$W$3:$W$500=1)*(COUNTIFS($B$3:$B$500,Employees!$A$3:$A$500,$H$3:$H$500,"Approved",$D$3:$D$500,"&lt;="&amp;E190,$E$3:$E$500,"&gt;="&amp;D190,$A$3:$A$500,"&lt;&gt;"&amp;A190)=0)),0))</f>
        <v/>
      </c>
      <c r="Q190">
        <f>IF(B190="","",IFERROR(SUMPRODUCT((LEN(Employees!$A$3:$A$500)&gt;0)*(Employees!$N$3:$N$500=1)*(COUNTIFS($B$3:$B$500,Employees!$A$3:$A$500,$H$3:$H$500,"Approved",$D$3:$D$500,"&lt;="&amp;E190,$E$3:$E$500,"&gt;="&amp;D190,$A$3:$A$500,"&lt;&gt;"&amp;A190)&gt;0)),0))</f>
        <v/>
      </c>
      <c r="R190">
        <f>IF(B190="","",IFERROR(SUMPRODUCT((LEN(Employees!$A$3:$A$500)&gt;0)*(Employees!$O$3:$O$500=1)*(COUNTIFS($B$3:$B$500,Employees!$A$3:$A$500,$H$3:$H$500,"Approved",$D$3:$D$500,"&lt;="&amp;E190,$E$3:$E$500,"&gt;="&amp;D190,$A$3:$A$500,"&lt;&gt;"&amp;A190)&gt;0)),0))</f>
        <v/>
      </c>
      <c r="S190">
        <f>IF(OR(B190="",IFERROR(XLOOKUP(B190,Employees!$A$3:$A$500,Employees!$G$3:$G$500,""),"")=""),"",IFERROR(SUMPRODUCT((LEN(Employees!$A$3:$A$500)&gt;0)*(Employees!$G$3:$G$500=IFERROR(XLOOKUP(B190,Employees!$A$3:$A$500,Employees!$G$3:$G$500,""),""))*(COUNTIFS($B$3:$B$500,Employees!$A$3:$A$500,$H$3:$H$500,"Approved",$D$3:$D$500,"&lt;="&amp;E190,$E$3:$E$500,"&gt;="&amp;D190,$A$3:$A$500,"&lt;&gt;"&amp;A190)&gt;0)),0))</f>
        <v/>
      </c>
    </row>
    <row r="191">
      <c r="C191">
        <f>IFERROR(XLOOKUP(B191,Employees!$A$3:$A$500,Employees!$B$3:$B$500,""),"")</f>
        <v/>
      </c>
      <c r="I191">
        <f>IF(AND(B191&lt;&gt;"",D191&lt;&gt;"",E191&lt;&gt;""),E191-D191+1,"")</f>
        <v/>
      </c>
      <c r="J191">
        <f>IF(OR(B191="",D191="",E191=""),"",IF(OR(L191&lt;'Coverage Rules'!E7,M191&lt;'Coverage Rules'!E8,N191&lt;'Coverage Rules'!C8,O191&lt;'Coverage Rules'!E9,P191&lt;'Coverage Rules'!E10,Q191&gt;='Coverage Rules'!B16,R191&gt;='Coverage Rules'!B17,IF(S191="",FALSE,S191&gt;='Coverage Rules'!D24)),"Denied","OK"))</f>
        <v/>
      </c>
      <c r="L191">
        <f>IF(B191="","",IFERROR(SUMPRODUCT((LEN(Employees!$A$3:$A$500)&gt;0)*(Employees!$T$3:$T$500=1)*(COUNTIFS($B$3:$B$500,Employees!$A$3:$A$500,$H$3:$H$500,"Approved",$D$3:$D$500,"&lt;="&amp;E191,$E$3:$E$500,"&gt;="&amp;D191,$A$3:$A$500,"&lt;&gt;"&amp;A191)=0)),0))</f>
        <v/>
      </c>
      <c r="M191">
        <f>IF(B191="","",IFERROR(SUMPRODUCT((LEN(Employees!$A$3:$A$500)&gt;0)*(Employees!$U$3:$U$500=1)*(COUNTIFS($B$3:$B$500,Employees!$A$3:$A$500,$H$3:$H$500,"Approved",$D$3:$D$500,"&lt;="&amp;E191,$E$3:$E$500,"&gt;="&amp;D191,$A$3:$A$500,"&lt;&gt;"&amp;A191)=0)),0))</f>
        <v/>
      </c>
      <c r="N191">
        <f>IF(B191="","",IFERROR(SUMPRODUCT((LEN(Employees!$A$3:$A$500)&gt;0)*(Employees!$B$3:$B$500="Manager")*(Employees!$U$3:$U$500=1)*(COUNTIFS($B$3:$B$500,Employees!$A$3:$A$500,$H$3:$H$500,"Approved",$D$3:$D$500,"&lt;="&amp;E191,$E$3:$E$500,"&gt;="&amp;D191,$A$3:$A$500,"&lt;&gt;"&amp;A191)=0)),0))</f>
        <v/>
      </c>
      <c r="O191">
        <f>IF(B191="","",IFERROR(SUMPRODUCT((LEN(Employees!$A$3:$A$500)&gt;0)*(Employees!$V$3:$V$500=1)*(COUNTIFS($B$3:$B$500,Employees!$A$3:$A$500,$H$3:$H$500,"Approved",$D$3:$D$500,"&lt;="&amp;E191,$E$3:$E$500,"&gt;="&amp;D191,$A$3:$A$500,"&lt;&gt;"&amp;A191)=0)),0))</f>
        <v/>
      </c>
      <c r="P191">
        <f>IF(B191="","",IFERROR(SUMPRODUCT((LEN(Employees!$A$3:$A$500)&gt;0)*(Employees!$W$3:$W$500=1)*(COUNTIFS($B$3:$B$500,Employees!$A$3:$A$500,$H$3:$H$500,"Approved",$D$3:$D$500,"&lt;="&amp;E191,$E$3:$E$500,"&gt;="&amp;D191,$A$3:$A$500,"&lt;&gt;"&amp;A191)=0)),0))</f>
        <v/>
      </c>
      <c r="Q191">
        <f>IF(B191="","",IFERROR(SUMPRODUCT((LEN(Employees!$A$3:$A$500)&gt;0)*(Employees!$N$3:$N$500=1)*(COUNTIFS($B$3:$B$500,Employees!$A$3:$A$500,$H$3:$H$500,"Approved",$D$3:$D$500,"&lt;="&amp;E191,$E$3:$E$500,"&gt;="&amp;D191,$A$3:$A$500,"&lt;&gt;"&amp;A191)&gt;0)),0))</f>
        <v/>
      </c>
      <c r="R191">
        <f>IF(B191="","",IFERROR(SUMPRODUCT((LEN(Employees!$A$3:$A$500)&gt;0)*(Employees!$O$3:$O$500=1)*(COUNTIFS($B$3:$B$500,Employees!$A$3:$A$500,$H$3:$H$500,"Approved",$D$3:$D$500,"&lt;="&amp;E191,$E$3:$E$500,"&gt;="&amp;D191,$A$3:$A$500,"&lt;&gt;"&amp;A191)&gt;0)),0))</f>
        <v/>
      </c>
      <c r="S191">
        <f>IF(OR(B191="",IFERROR(XLOOKUP(B191,Employees!$A$3:$A$500,Employees!$G$3:$G$500,""),"")=""),"",IFERROR(SUMPRODUCT((LEN(Employees!$A$3:$A$500)&gt;0)*(Employees!$G$3:$G$500=IFERROR(XLOOKUP(B191,Employees!$A$3:$A$500,Employees!$G$3:$G$500,""),""))*(COUNTIFS($B$3:$B$500,Employees!$A$3:$A$500,$H$3:$H$500,"Approved",$D$3:$D$500,"&lt;="&amp;E191,$E$3:$E$500,"&gt;="&amp;D191,$A$3:$A$500,"&lt;&gt;"&amp;A191)&gt;0)),0))</f>
        <v/>
      </c>
    </row>
    <row r="192">
      <c r="C192">
        <f>IFERROR(XLOOKUP(B192,Employees!$A$3:$A$500,Employees!$B$3:$B$500,""),"")</f>
        <v/>
      </c>
      <c r="I192">
        <f>IF(AND(B192&lt;&gt;"",D192&lt;&gt;"",E192&lt;&gt;""),E192-D192+1,"")</f>
        <v/>
      </c>
      <c r="J192">
        <f>IF(OR(B192="",D192="",E192=""),"",IF(OR(L192&lt;'Coverage Rules'!E7,M192&lt;'Coverage Rules'!E8,N192&lt;'Coverage Rules'!C8,O192&lt;'Coverage Rules'!E9,P192&lt;'Coverage Rules'!E10,Q192&gt;='Coverage Rules'!B16,R192&gt;='Coverage Rules'!B17,IF(S192="",FALSE,S192&gt;='Coverage Rules'!D24)),"Denied","OK"))</f>
        <v/>
      </c>
      <c r="L192">
        <f>IF(B192="","",IFERROR(SUMPRODUCT((LEN(Employees!$A$3:$A$500)&gt;0)*(Employees!$T$3:$T$500=1)*(COUNTIFS($B$3:$B$500,Employees!$A$3:$A$500,$H$3:$H$500,"Approved",$D$3:$D$500,"&lt;="&amp;E192,$E$3:$E$500,"&gt;="&amp;D192,$A$3:$A$500,"&lt;&gt;"&amp;A192)=0)),0))</f>
        <v/>
      </c>
      <c r="M192">
        <f>IF(B192="","",IFERROR(SUMPRODUCT((LEN(Employees!$A$3:$A$500)&gt;0)*(Employees!$U$3:$U$500=1)*(COUNTIFS($B$3:$B$500,Employees!$A$3:$A$500,$H$3:$H$500,"Approved",$D$3:$D$500,"&lt;="&amp;E192,$E$3:$E$500,"&gt;="&amp;D192,$A$3:$A$500,"&lt;&gt;"&amp;A192)=0)),0))</f>
        <v/>
      </c>
      <c r="N192">
        <f>IF(B192="","",IFERROR(SUMPRODUCT((LEN(Employees!$A$3:$A$500)&gt;0)*(Employees!$B$3:$B$500="Manager")*(Employees!$U$3:$U$500=1)*(COUNTIFS($B$3:$B$500,Employees!$A$3:$A$500,$H$3:$H$500,"Approved",$D$3:$D$500,"&lt;="&amp;E192,$E$3:$E$500,"&gt;="&amp;D192,$A$3:$A$500,"&lt;&gt;"&amp;A192)=0)),0))</f>
        <v/>
      </c>
      <c r="O192">
        <f>IF(B192="","",IFERROR(SUMPRODUCT((LEN(Employees!$A$3:$A$500)&gt;0)*(Employees!$V$3:$V$500=1)*(COUNTIFS($B$3:$B$500,Employees!$A$3:$A$500,$H$3:$H$500,"Approved",$D$3:$D$500,"&lt;="&amp;E192,$E$3:$E$500,"&gt;="&amp;D192,$A$3:$A$500,"&lt;&gt;"&amp;A192)=0)),0))</f>
        <v/>
      </c>
      <c r="P192">
        <f>IF(B192="","",IFERROR(SUMPRODUCT((LEN(Employees!$A$3:$A$500)&gt;0)*(Employees!$W$3:$W$500=1)*(COUNTIFS($B$3:$B$500,Employees!$A$3:$A$500,$H$3:$H$500,"Approved",$D$3:$D$500,"&lt;="&amp;E192,$E$3:$E$500,"&gt;="&amp;D192,$A$3:$A$500,"&lt;&gt;"&amp;A192)=0)),0))</f>
        <v/>
      </c>
      <c r="Q192">
        <f>IF(B192="","",IFERROR(SUMPRODUCT((LEN(Employees!$A$3:$A$500)&gt;0)*(Employees!$N$3:$N$500=1)*(COUNTIFS($B$3:$B$500,Employees!$A$3:$A$500,$H$3:$H$500,"Approved",$D$3:$D$500,"&lt;="&amp;E192,$E$3:$E$500,"&gt;="&amp;D192,$A$3:$A$500,"&lt;&gt;"&amp;A192)&gt;0)),0))</f>
        <v/>
      </c>
      <c r="R192">
        <f>IF(B192="","",IFERROR(SUMPRODUCT((LEN(Employees!$A$3:$A$500)&gt;0)*(Employees!$O$3:$O$500=1)*(COUNTIFS($B$3:$B$500,Employees!$A$3:$A$500,$H$3:$H$500,"Approved",$D$3:$D$500,"&lt;="&amp;E192,$E$3:$E$500,"&gt;="&amp;D192,$A$3:$A$500,"&lt;&gt;"&amp;A192)&gt;0)),0))</f>
        <v/>
      </c>
      <c r="S192">
        <f>IF(OR(B192="",IFERROR(XLOOKUP(B192,Employees!$A$3:$A$500,Employees!$G$3:$G$500,""),"")=""),"",IFERROR(SUMPRODUCT((LEN(Employees!$A$3:$A$500)&gt;0)*(Employees!$G$3:$G$500=IFERROR(XLOOKUP(B192,Employees!$A$3:$A$500,Employees!$G$3:$G$500,""),""))*(COUNTIFS($B$3:$B$500,Employees!$A$3:$A$500,$H$3:$H$500,"Approved",$D$3:$D$500,"&lt;="&amp;E192,$E$3:$E$500,"&gt;="&amp;D192,$A$3:$A$500,"&lt;&gt;"&amp;A192)&gt;0)),0))</f>
        <v/>
      </c>
    </row>
    <row r="193">
      <c r="C193">
        <f>IFERROR(XLOOKUP(B193,Employees!$A$3:$A$500,Employees!$B$3:$B$500,""),"")</f>
        <v/>
      </c>
      <c r="I193">
        <f>IF(AND(B193&lt;&gt;"",D193&lt;&gt;"",E193&lt;&gt;""),E193-D193+1,"")</f>
        <v/>
      </c>
      <c r="J193">
        <f>IF(OR(B193="",D193="",E193=""),"",IF(OR(L193&lt;'Coverage Rules'!E7,M193&lt;'Coverage Rules'!E8,N193&lt;'Coverage Rules'!C8,O193&lt;'Coverage Rules'!E9,P193&lt;'Coverage Rules'!E10,Q193&gt;='Coverage Rules'!B16,R193&gt;='Coverage Rules'!B17,IF(S193="",FALSE,S193&gt;='Coverage Rules'!D24)),"Denied","OK"))</f>
        <v/>
      </c>
      <c r="L193">
        <f>IF(B193="","",IFERROR(SUMPRODUCT((LEN(Employees!$A$3:$A$500)&gt;0)*(Employees!$T$3:$T$500=1)*(COUNTIFS($B$3:$B$500,Employees!$A$3:$A$500,$H$3:$H$500,"Approved",$D$3:$D$500,"&lt;="&amp;E193,$E$3:$E$500,"&gt;="&amp;D193,$A$3:$A$500,"&lt;&gt;"&amp;A193)=0)),0))</f>
        <v/>
      </c>
      <c r="M193">
        <f>IF(B193="","",IFERROR(SUMPRODUCT((LEN(Employees!$A$3:$A$500)&gt;0)*(Employees!$U$3:$U$500=1)*(COUNTIFS($B$3:$B$500,Employees!$A$3:$A$500,$H$3:$H$500,"Approved",$D$3:$D$500,"&lt;="&amp;E193,$E$3:$E$500,"&gt;="&amp;D193,$A$3:$A$500,"&lt;&gt;"&amp;A193)=0)),0))</f>
        <v/>
      </c>
      <c r="N193">
        <f>IF(B193="","",IFERROR(SUMPRODUCT((LEN(Employees!$A$3:$A$500)&gt;0)*(Employees!$B$3:$B$500="Manager")*(Employees!$U$3:$U$500=1)*(COUNTIFS($B$3:$B$500,Employees!$A$3:$A$500,$H$3:$H$500,"Approved",$D$3:$D$500,"&lt;="&amp;E193,$E$3:$E$500,"&gt;="&amp;D193,$A$3:$A$500,"&lt;&gt;"&amp;A193)=0)),0))</f>
        <v/>
      </c>
      <c r="O193">
        <f>IF(B193="","",IFERROR(SUMPRODUCT((LEN(Employees!$A$3:$A$500)&gt;0)*(Employees!$V$3:$V$500=1)*(COUNTIFS($B$3:$B$500,Employees!$A$3:$A$500,$H$3:$H$500,"Approved",$D$3:$D$500,"&lt;="&amp;E193,$E$3:$E$500,"&gt;="&amp;D193,$A$3:$A$500,"&lt;&gt;"&amp;A193)=0)),0))</f>
        <v/>
      </c>
      <c r="P193">
        <f>IF(B193="","",IFERROR(SUMPRODUCT((LEN(Employees!$A$3:$A$500)&gt;0)*(Employees!$W$3:$W$500=1)*(COUNTIFS($B$3:$B$500,Employees!$A$3:$A$500,$H$3:$H$500,"Approved",$D$3:$D$500,"&lt;="&amp;E193,$E$3:$E$500,"&gt;="&amp;D193,$A$3:$A$500,"&lt;&gt;"&amp;A193)=0)),0))</f>
        <v/>
      </c>
      <c r="Q193">
        <f>IF(B193="","",IFERROR(SUMPRODUCT((LEN(Employees!$A$3:$A$500)&gt;0)*(Employees!$N$3:$N$500=1)*(COUNTIFS($B$3:$B$500,Employees!$A$3:$A$500,$H$3:$H$500,"Approved",$D$3:$D$500,"&lt;="&amp;E193,$E$3:$E$500,"&gt;="&amp;D193,$A$3:$A$500,"&lt;&gt;"&amp;A193)&gt;0)),0))</f>
        <v/>
      </c>
      <c r="R193">
        <f>IF(B193="","",IFERROR(SUMPRODUCT((LEN(Employees!$A$3:$A$500)&gt;0)*(Employees!$O$3:$O$500=1)*(COUNTIFS($B$3:$B$500,Employees!$A$3:$A$500,$H$3:$H$500,"Approved",$D$3:$D$500,"&lt;="&amp;E193,$E$3:$E$500,"&gt;="&amp;D193,$A$3:$A$500,"&lt;&gt;"&amp;A193)&gt;0)),0))</f>
        <v/>
      </c>
      <c r="S193">
        <f>IF(OR(B193="",IFERROR(XLOOKUP(B193,Employees!$A$3:$A$500,Employees!$G$3:$G$500,""),"")=""),"",IFERROR(SUMPRODUCT((LEN(Employees!$A$3:$A$500)&gt;0)*(Employees!$G$3:$G$500=IFERROR(XLOOKUP(B193,Employees!$A$3:$A$500,Employees!$G$3:$G$500,""),""))*(COUNTIFS($B$3:$B$500,Employees!$A$3:$A$500,$H$3:$H$500,"Approved",$D$3:$D$500,"&lt;="&amp;E193,$E$3:$E$500,"&gt;="&amp;D193,$A$3:$A$500,"&lt;&gt;"&amp;A193)&gt;0)),0))</f>
        <v/>
      </c>
    </row>
    <row r="194">
      <c r="C194">
        <f>IFERROR(XLOOKUP(B194,Employees!$A$3:$A$500,Employees!$B$3:$B$500,""),"")</f>
        <v/>
      </c>
      <c r="I194">
        <f>IF(AND(B194&lt;&gt;"",D194&lt;&gt;"",E194&lt;&gt;""),E194-D194+1,"")</f>
        <v/>
      </c>
      <c r="J194">
        <f>IF(OR(B194="",D194="",E194=""),"",IF(OR(L194&lt;'Coverage Rules'!E7,M194&lt;'Coverage Rules'!E8,N194&lt;'Coverage Rules'!C8,O194&lt;'Coverage Rules'!E9,P194&lt;'Coverage Rules'!E10,Q194&gt;='Coverage Rules'!B16,R194&gt;='Coverage Rules'!B17,IF(S194="",FALSE,S194&gt;='Coverage Rules'!D24)),"Denied","OK"))</f>
        <v/>
      </c>
      <c r="L194">
        <f>IF(B194="","",IFERROR(SUMPRODUCT((LEN(Employees!$A$3:$A$500)&gt;0)*(Employees!$T$3:$T$500=1)*(COUNTIFS($B$3:$B$500,Employees!$A$3:$A$500,$H$3:$H$500,"Approved",$D$3:$D$500,"&lt;="&amp;E194,$E$3:$E$500,"&gt;="&amp;D194,$A$3:$A$500,"&lt;&gt;"&amp;A194)=0)),0))</f>
        <v/>
      </c>
      <c r="M194">
        <f>IF(B194="","",IFERROR(SUMPRODUCT((LEN(Employees!$A$3:$A$500)&gt;0)*(Employees!$U$3:$U$500=1)*(COUNTIFS($B$3:$B$500,Employees!$A$3:$A$500,$H$3:$H$500,"Approved",$D$3:$D$500,"&lt;="&amp;E194,$E$3:$E$500,"&gt;="&amp;D194,$A$3:$A$500,"&lt;&gt;"&amp;A194)=0)),0))</f>
        <v/>
      </c>
      <c r="N194">
        <f>IF(B194="","",IFERROR(SUMPRODUCT((LEN(Employees!$A$3:$A$500)&gt;0)*(Employees!$B$3:$B$500="Manager")*(Employees!$U$3:$U$500=1)*(COUNTIFS($B$3:$B$500,Employees!$A$3:$A$500,$H$3:$H$500,"Approved",$D$3:$D$500,"&lt;="&amp;E194,$E$3:$E$500,"&gt;="&amp;D194,$A$3:$A$500,"&lt;&gt;"&amp;A194)=0)),0))</f>
        <v/>
      </c>
      <c r="O194">
        <f>IF(B194="","",IFERROR(SUMPRODUCT((LEN(Employees!$A$3:$A$500)&gt;0)*(Employees!$V$3:$V$500=1)*(COUNTIFS($B$3:$B$500,Employees!$A$3:$A$500,$H$3:$H$500,"Approved",$D$3:$D$500,"&lt;="&amp;E194,$E$3:$E$500,"&gt;="&amp;D194,$A$3:$A$500,"&lt;&gt;"&amp;A194)=0)),0))</f>
        <v/>
      </c>
      <c r="P194">
        <f>IF(B194="","",IFERROR(SUMPRODUCT((LEN(Employees!$A$3:$A$500)&gt;0)*(Employees!$W$3:$W$500=1)*(COUNTIFS($B$3:$B$500,Employees!$A$3:$A$500,$H$3:$H$500,"Approved",$D$3:$D$500,"&lt;="&amp;E194,$E$3:$E$500,"&gt;="&amp;D194,$A$3:$A$500,"&lt;&gt;"&amp;A194)=0)),0))</f>
        <v/>
      </c>
      <c r="Q194">
        <f>IF(B194="","",IFERROR(SUMPRODUCT((LEN(Employees!$A$3:$A$500)&gt;0)*(Employees!$N$3:$N$500=1)*(COUNTIFS($B$3:$B$500,Employees!$A$3:$A$500,$H$3:$H$500,"Approved",$D$3:$D$500,"&lt;="&amp;E194,$E$3:$E$500,"&gt;="&amp;D194,$A$3:$A$500,"&lt;&gt;"&amp;A194)&gt;0)),0))</f>
        <v/>
      </c>
      <c r="R194">
        <f>IF(B194="","",IFERROR(SUMPRODUCT((LEN(Employees!$A$3:$A$500)&gt;0)*(Employees!$O$3:$O$500=1)*(COUNTIFS($B$3:$B$500,Employees!$A$3:$A$500,$H$3:$H$500,"Approved",$D$3:$D$500,"&lt;="&amp;E194,$E$3:$E$500,"&gt;="&amp;D194,$A$3:$A$500,"&lt;&gt;"&amp;A194)&gt;0)),0))</f>
        <v/>
      </c>
      <c r="S194">
        <f>IF(OR(B194="",IFERROR(XLOOKUP(B194,Employees!$A$3:$A$500,Employees!$G$3:$G$500,""),"")=""),"",IFERROR(SUMPRODUCT((LEN(Employees!$A$3:$A$500)&gt;0)*(Employees!$G$3:$G$500=IFERROR(XLOOKUP(B194,Employees!$A$3:$A$500,Employees!$G$3:$G$500,""),""))*(COUNTIFS($B$3:$B$500,Employees!$A$3:$A$500,$H$3:$H$500,"Approved",$D$3:$D$500,"&lt;="&amp;E194,$E$3:$E$500,"&gt;="&amp;D194,$A$3:$A$500,"&lt;&gt;"&amp;A194)&gt;0)),0))</f>
        <v/>
      </c>
    </row>
    <row r="195">
      <c r="C195">
        <f>IFERROR(XLOOKUP(B195,Employees!$A$3:$A$500,Employees!$B$3:$B$500,""),"")</f>
        <v/>
      </c>
      <c r="I195">
        <f>IF(AND(B195&lt;&gt;"",D195&lt;&gt;"",E195&lt;&gt;""),E195-D195+1,"")</f>
        <v/>
      </c>
      <c r="J195">
        <f>IF(OR(B195="",D195="",E195=""),"",IF(OR(L195&lt;'Coverage Rules'!E7,M195&lt;'Coverage Rules'!E8,N195&lt;'Coverage Rules'!C8,O195&lt;'Coverage Rules'!E9,P195&lt;'Coverage Rules'!E10,Q195&gt;='Coverage Rules'!B16,R195&gt;='Coverage Rules'!B17,IF(S195="",FALSE,S195&gt;='Coverage Rules'!D24)),"Denied","OK"))</f>
        <v/>
      </c>
      <c r="L195">
        <f>IF(B195="","",IFERROR(SUMPRODUCT((LEN(Employees!$A$3:$A$500)&gt;0)*(Employees!$T$3:$T$500=1)*(COUNTIFS($B$3:$B$500,Employees!$A$3:$A$500,$H$3:$H$500,"Approved",$D$3:$D$500,"&lt;="&amp;E195,$E$3:$E$500,"&gt;="&amp;D195,$A$3:$A$500,"&lt;&gt;"&amp;A195)=0)),0))</f>
        <v/>
      </c>
      <c r="M195">
        <f>IF(B195="","",IFERROR(SUMPRODUCT((LEN(Employees!$A$3:$A$500)&gt;0)*(Employees!$U$3:$U$500=1)*(COUNTIFS($B$3:$B$500,Employees!$A$3:$A$500,$H$3:$H$500,"Approved",$D$3:$D$500,"&lt;="&amp;E195,$E$3:$E$500,"&gt;="&amp;D195,$A$3:$A$500,"&lt;&gt;"&amp;A195)=0)),0))</f>
        <v/>
      </c>
      <c r="N195">
        <f>IF(B195="","",IFERROR(SUMPRODUCT((LEN(Employees!$A$3:$A$500)&gt;0)*(Employees!$B$3:$B$500="Manager")*(Employees!$U$3:$U$500=1)*(COUNTIFS($B$3:$B$500,Employees!$A$3:$A$500,$H$3:$H$500,"Approved",$D$3:$D$500,"&lt;="&amp;E195,$E$3:$E$500,"&gt;="&amp;D195,$A$3:$A$500,"&lt;&gt;"&amp;A195)=0)),0))</f>
        <v/>
      </c>
      <c r="O195">
        <f>IF(B195="","",IFERROR(SUMPRODUCT((LEN(Employees!$A$3:$A$500)&gt;0)*(Employees!$V$3:$V$500=1)*(COUNTIFS($B$3:$B$500,Employees!$A$3:$A$500,$H$3:$H$500,"Approved",$D$3:$D$500,"&lt;="&amp;E195,$E$3:$E$500,"&gt;="&amp;D195,$A$3:$A$500,"&lt;&gt;"&amp;A195)=0)),0))</f>
        <v/>
      </c>
      <c r="P195">
        <f>IF(B195="","",IFERROR(SUMPRODUCT((LEN(Employees!$A$3:$A$500)&gt;0)*(Employees!$W$3:$W$500=1)*(COUNTIFS($B$3:$B$500,Employees!$A$3:$A$500,$H$3:$H$500,"Approved",$D$3:$D$500,"&lt;="&amp;E195,$E$3:$E$500,"&gt;="&amp;D195,$A$3:$A$500,"&lt;&gt;"&amp;A195)=0)),0))</f>
        <v/>
      </c>
      <c r="Q195">
        <f>IF(B195="","",IFERROR(SUMPRODUCT((LEN(Employees!$A$3:$A$500)&gt;0)*(Employees!$N$3:$N$500=1)*(COUNTIFS($B$3:$B$500,Employees!$A$3:$A$500,$H$3:$H$500,"Approved",$D$3:$D$500,"&lt;="&amp;E195,$E$3:$E$500,"&gt;="&amp;D195,$A$3:$A$500,"&lt;&gt;"&amp;A195)&gt;0)),0))</f>
        <v/>
      </c>
      <c r="R195">
        <f>IF(B195="","",IFERROR(SUMPRODUCT((LEN(Employees!$A$3:$A$500)&gt;0)*(Employees!$O$3:$O$500=1)*(COUNTIFS($B$3:$B$500,Employees!$A$3:$A$500,$H$3:$H$500,"Approved",$D$3:$D$500,"&lt;="&amp;E195,$E$3:$E$500,"&gt;="&amp;D195,$A$3:$A$500,"&lt;&gt;"&amp;A195)&gt;0)),0))</f>
        <v/>
      </c>
      <c r="S195">
        <f>IF(OR(B195="",IFERROR(XLOOKUP(B195,Employees!$A$3:$A$500,Employees!$G$3:$G$500,""),"")=""),"",IFERROR(SUMPRODUCT((LEN(Employees!$A$3:$A$500)&gt;0)*(Employees!$G$3:$G$500=IFERROR(XLOOKUP(B195,Employees!$A$3:$A$500,Employees!$G$3:$G$500,""),""))*(COUNTIFS($B$3:$B$500,Employees!$A$3:$A$500,$H$3:$H$500,"Approved",$D$3:$D$500,"&lt;="&amp;E195,$E$3:$E$500,"&gt;="&amp;D195,$A$3:$A$500,"&lt;&gt;"&amp;A195)&gt;0)),0))</f>
        <v/>
      </c>
    </row>
    <row r="196">
      <c r="C196">
        <f>IFERROR(XLOOKUP(B196,Employees!$A$3:$A$500,Employees!$B$3:$B$500,""),"")</f>
        <v/>
      </c>
      <c r="I196">
        <f>IF(AND(B196&lt;&gt;"",D196&lt;&gt;"",E196&lt;&gt;""),E196-D196+1,"")</f>
        <v/>
      </c>
      <c r="J196">
        <f>IF(OR(B196="",D196="",E196=""),"",IF(OR(L196&lt;'Coverage Rules'!E7,M196&lt;'Coverage Rules'!E8,N196&lt;'Coverage Rules'!C8,O196&lt;'Coverage Rules'!E9,P196&lt;'Coverage Rules'!E10,Q196&gt;='Coverage Rules'!B16,R196&gt;='Coverage Rules'!B17,IF(S196="",FALSE,S196&gt;='Coverage Rules'!D24)),"Denied","OK"))</f>
        <v/>
      </c>
      <c r="L196">
        <f>IF(B196="","",IFERROR(SUMPRODUCT((LEN(Employees!$A$3:$A$500)&gt;0)*(Employees!$T$3:$T$500=1)*(COUNTIFS($B$3:$B$500,Employees!$A$3:$A$500,$H$3:$H$500,"Approved",$D$3:$D$500,"&lt;="&amp;E196,$E$3:$E$500,"&gt;="&amp;D196,$A$3:$A$500,"&lt;&gt;"&amp;A196)=0)),0))</f>
        <v/>
      </c>
      <c r="M196">
        <f>IF(B196="","",IFERROR(SUMPRODUCT((LEN(Employees!$A$3:$A$500)&gt;0)*(Employees!$U$3:$U$500=1)*(COUNTIFS($B$3:$B$500,Employees!$A$3:$A$500,$H$3:$H$500,"Approved",$D$3:$D$500,"&lt;="&amp;E196,$E$3:$E$500,"&gt;="&amp;D196,$A$3:$A$500,"&lt;&gt;"&amp;A196)=0)),0))</f>
        <v/>
      </c>
      <c r="N196">
        <f>IF(B196="","",IFERROR(SUMPRODUCT((LEN(Employees!$A$3:$A$500)&gt;0)*(Employees!$B$3:$B$500="Manager")*(Employees!$U$3:$U$500=1)*(COUNTIFS($B$3:$B$500,Employees!$A$3:$A$500,$H$3:$H$500,"Approved",$D$3:$D$500,"&lt;="&amp;E196,$E$3:$E$500,"&gt;="&amp;D196,$A$3:$A$500,"&lt;&gt;"&amp;A196)=0)),0))</f>
        <v/>
      </c>
      <c r="O196">
        <f>IF(B196="","",IFERROR(SUMPRODUCT((LEN(Employees!$A$3:$A$500)&gt;0)*(Employees!$V$3:$V$500=1)*(COUNTIFS($B$3:$B$500,Employees!$A$3:$A$500,$H$3:$H$500,"Approved",$D$3:$D$500,"&lt;="&amp;E196,$E$3:$E$500,"&gt;="&amp;D196,$A$3:$A$500,"&lt;&gt;"&amp;A196)=0)),0))</f>
        <v/>
      </c>
      <c r="P196">
        <f>IF(B196="","",IFERROR(SUMPRODUCT((LEN(Employees!$A$3:$A$500)&gt;0)*(Employees!$W$3:$W$500=1)*(COUNTIFS($B$3:$B$500,Employees!$A$3:$A$500,$H$3:$H$500,"Approved",$D$3:$D$500,"&lt;="&amp;E196,$E$3:$E$500,"&gt;="&amp;D196,$A$3:$A$500,"&lt;&gt;"&amp;A196)=0)),0))</f>
        <v/>
      </c>
      <c r="Q196">
        <f>IF(B196="","",IFERROR(SUMPRODUCT((LEN(Employees!$A$3:$A$500)&gt;0)*(Employees!$N$3:$N$500=1)*(COUNTIFS($B$3:$B$500,Employees!$A$3:$A$500,$H$3:$H$500,"Approved",$D$3:$D$500,"&lt;="&amp;E196,$E$3:$E$500,"&gt;="&amp;D196,$A$3:$A$500,"&lt;&gt;"&amp;A196)&gt;0)),0))</f>
        <v/>
      </c>
      <c r="R196">
        <f>IF(B196="","",IFERROR(SUMPRODUCT((LEN(Employees!$A$3:$A$500)&gt;0)*(Employees!$O$3:$O$500=1)*(COUNTIFS($B$3:$B$500,Employees!$A$3:$A$500,$H$3:$H$500,"Approved",$D$3:$D$500,"&lt;="&amp;E196,$E$3:$E$500,"&gt;="&amp;D196,$A$3:$A$500,"&lt;&gt;"&amp;A196)&gt;0)),0))</f>
        <v/>
      </c>
      <c r="S196">
        <f>IF(OR(B196="",IFERROR(XLOOKUP(B196,Employees!$A$3:$A$500,Employees!$G$3:$G$500,""),"")=""),"",IFERROR(SUMPRODUCT((LEN(Employees!$A$3:$A$500)&gt;0)*(Employees!$G$3:$G$500=IFERROR(XLOOKUP(B196,Employees!$A$3:$A$500,Employees!$G$3:$G$500,""),""))*(COUNTIFS($B$3:$B$500,Employees!$A$3:$A$500,$H$3:$H$500,"Approved",$D$3:$D$500,"&lt;="&amp;E196,$E$3:$E$500,"&gt;="&amp;D196,$A$3:$A$500,"&lt;&gt;"&amp;A196)&gt;0)),0))</f>
        <v/>
      </c>
    </row>
    <row r="197">
      <c r="C197">
        <f>IFERROR(XLOOKUP(B197,Employees!$A$3:$A$500,Employees!$B$3:$B$500,""),"")</f>
        <v/>
      </c>
      <c r="I197">
        <f>IF(AND(B197&lt;&gt;"",D197&lt;&gt;"",E197&lt;&gt;""),E197-D197+1,"")</f>
        <v/>
      </c>
      <c r="J197">
        <f>IF(OR(B197="",D197="",E197=""),"",IF(OR(L197&lt;'Coverage Rules'!E7,M197&lt;'Coverage Rules'!E8,N197&lt;'Coverage Rules'!C8,O197&lt;'Coverage Rules'!E9,P197&lt;'Coverage Rules'!E10,Q197&gt;='Coverage Rules'!B16,R197&gt;='Coverage Rules'!B17,IF(S197="",FALSE,S197&gt;='Coverage Rules'!D24)),"Denied","OK"))</f>
        <v/>
      </c>
      <c r="L197">
        <f>IF(B197="","",IFERROR(SUMPRODUCT((LEN(Employees!$A$3:$A$500)&gt;0)*(Employees!$T$3:$T$500=1)*(COUNTIFS($B$3:$B$500,Employees!$A$3:$A$500,$H$3:$H$500,"Approved",$D$3:$D$500,"&lt;="&amp;E197,$E$3:$E$500,"&gt;="&amp;D197,$A$3:$A$500,"&lt;&gt;"&amp;A197)=0)),0))</f>
        <v/>
      </c>
      <c r="M197">
        <f>IF(B197="","",IFERROR(SUMPRODUCT((LEN(Employees!$A$3:$A$500)&gt;0)*(Employees!$U$3:$U$500=1)*(COUNTIFS($B$3:$B$500,Employees!$A$3:$A$500,$H$3:$H$500,"Approved",$D$3:$D$500,"&lt;="&amp;E197,$E$3:$E$500,"&gt;="&amp;D197,$A$3:$A$500,"&lt;&gt;"&amp;A197)=0)),0))</f>
        <v/>
      </c>
      <c r="N197">
        <f>IF(B197="","",IFERROR(SUMPRODUCT((LEN(Employees!$A$3:$A$500)&gt;0)*(Employees!$B$3:$B$500="Manager")*(Employees!$U$3:$U$500=1)*(COUNTIFS($B$3:$B$500,Employees!$A$3:$A$500,$H$3:$H$500,"Approved",$D$3:$D$500,"&lt;="&amp;E197,$E$3:$E$500,"&gt;="&amp;D197,$A$3:$A$500,"&lt;&gt;"&amp;A197)=0)),0))</f>
        <v/>
      </c>
      <c r="O197">
        <f>IF(B197="","",IFERROR(SUMPRODUCT((LEN(Employees!$A$3:$A$500)&gt;0)*(Employees!$V$3:$V$500=1)*(COUNTIFS($B$3:$B$500,Employees!$A$3:$A$500,$H$3:$H$500,"Approved",$D$3:$D$500,"&lt;="&amp;E197,$E$3:$E$500,"&gt;="&amp;D197,$A$3:$A$500,"&lt;&gt;"&amp;A197)=0)),0))</f>
        <v/>
      </c>
      <c r="P197">
        <f>IF(B197="","",IFERROR(SUMPRODUCT((LEN(Employees!$A$3:$A$500)&gt;0)*(Employees!$W$3:$W$500=1)*(COUNTIFS($B$3:$B$500,Employees!$A$3:$A$500,$H$3:$H$500,"Approved",$D$3:$D$500,"&lt;="&amp;E197,$E$3:$E$500,"&gt;="&amp;D197,$A$3:$A$500,"&lt;&gt;"&amp;A197)=0)),0))</f>
        <v/>
      </c>
      <c r="Q197">
        <f>IF(B197="","",IFERROR(SUMPRODUCT((LEN(Employees!$A$3:$A$500)&gt;0)*(Employees!$N$3:$N$500=1)*(COUNTIFS($B$3:$B$500,Employees!$A$3:$A$500,$H$3:$H$500,"Approved",$D$3:$D$500,"&lt;="&amp;E197,$E$3:$E$500,"&gt;="&amp;D197,$A$3:$A$500,"&lt;&gt;"&amp;A197)&gt;0)),0))</f>
        <v/>
      </c>
      <c r="R197">
        <f>IF(B197="","",IFERROR(SUMPRODUCT((LEN(Employees!$A$3:$A$500)&gt;0)*(Employees!$O$3:$O$500=1)*(COUNTIFS($B$3:$B$500,Employees!$A$3:$A$500,$H$3:$H$500,"Approved",$D$3:$D$500,"&lt;="&amp;E197,$E$3:$E$500,"&gt;="&amp;D197,$A$3:$A$500,"&lt;&gt;"&amp;A197)&gt;0)),0))</f>
        <v/>
      </c>
      <c r="S197">
        <f>IF(OR(B197="",IFERROR(XLOOKUP(B197,Employees!$A$3:$A$500,Employees!$G$3:$G$500,""),"")=""),"",IFERROR(SUMPRODUCT((LEN(Employees!$A$3:$A$500)&gt;0)*(Employees!$G$3:$G$500=IFERROR(XLOOKUP(B197,Employees!$A$3:$A$500,Employees!$G$3:$G$500,""),""))*(COUNTIFS($B$3:$B$500,Employees!$A$3:$A$500,$H$3:$H$500,"Approved",$D$3:$D$500,"&lt;="&amp;E197,$E$3:$E$500,"&gt;="&amp;D197,$A$3:$A$500,"&lt;&gt;"&amp;A197)&gt;0)),0))</f>
        <v/>
      </c>
    </row>
    <row r="198">
      <c r="C198">
        <f>IFERROR(XLOOKUP(B198,Employees!$A$3:$A$500,Employees!$B$3:$B$500,""),"")</f>
        <v/>
      </c>
      <c r="I198">
        <f>IF(AND(B198&lt;&gt;"",D198&lt;&gt;"",E198&lt;&gt;""),E198-D198+1,"")</f>
        <v/>
      </c>
      <c r="J198">
        <f>IF(OR(B198="",D198="",E198=""),"",IF(OR(L198&lt;'Coverage Rules'!E7,M198&lt;'Coverage Rules'!E8,N198&lt;'Coverage Rules'!C8,O198&lt;'Coverage Rules'!E9,P198&lt;'Coverage Rules'!E10,Q198&gt;='Coverage Rules'!B16,R198&gt;='Coverage Rules'!B17,IF(S198="",FALSE,S198&gt;='Coverage Rules'!D24)),"Denied","OK"))</f>
        <v/>
      </c>
      <c r="L198">
        <f>IF(B198="","",IFERROR(SUMPRODUCT((LEN(Employees!$A$3:$A$500)&gt;0)*(Employees!$T$3:$T$500=1)*(COUNTIFS($B$3:$B$500,Employees!$A$3:$A$500,$H$3:$H$500,"Approved",$D$3:$D$500,"&lt;="&amp;E198,$E$3:$E$500,"&gt;="&amp;D198,$A$3:$A$500,"&lt;&gt;"&amp;A198)=0)),0))</f>
        <v/>
      </c>
      <c r="M198">
        <f>IF(B198="","",IFERROR(SUMPRODUCT((LEN(Employees!$A$3:$A$500)&gt;0)*(Employees!$U$3:$U$500=1)*(COUNTIFS($B$3:$B$500,Employees!$A$3:$A$500,$H$3:$H$500,"Approved",$D$3:$D$500,"&lt;="&amp;E198,$E$3:$E$500,"&gt;="&amp;D198,$A$3:$A$500,"&lt;&gt;"&amp;A198)=0)),0))</f>
        <v/>
      </c>
      <c r="N198">
        <f>IF(B198="","",IFERROR(SUMPRODUCT((LEN(Employees!$A$3:$A$500)&gt;0)*(Employees!$B$3:$B$500="Manager")*(Employees!$U$3:$U$500=1)*(COUNTIFS($B$3:$B$500,Employees!$A$3:$A$500,$H$3:$H$500,"Approved",$D$3:$D$500,"&lt;="&amp;E198,$E$3:$E$500,"&gt;="&amp;D198,$A$3:$A$500,"&lt;&gt;"&amp;A198)=0)),0))</f>
        <v/>
      </c>
      <c r="O198">
        <f>IF(B198="","",IFERROR(SUMPRODUCT((LEN(Employees!$A$3:$A$500)&gt;0)*(Employees!$V$3:$V$500=1)*(COUNTIFS($B$3:$B$500,Employees!$A$3:$A$500,$H$3:$H$500,"Approved",$D$3:$D$500,"&lt;="&amp;E198,$E$3:$E$500,"&gt;="&amp;D198,$A$3:$A$500,"&lt;&gt;"&amp;A198)=0)),0))</f>
        <v/>
      </c>
      <c r="P198">
        <f>IF(B198="","",IFERROR(SUMPRODUCT((LEN(Employees!$A$3:$A$500)&gt;0)*(Employees!$W$3:$W$500=1)*(COUNTIFS($B$3:$B$500,Employees!$A$3:$A$500,$H$3:$H$500,"Approved",$D$3:$D$500,"&lt;="&amp;E198,$E$3:$E$500,"&gt;="&amp;D198,$A$3:$A$500,"&lt;&gt;"&amp;A198)=0)),0))</f>
        <v/>
      </c>
      <c r="Q198">
        <f>IF(B198="","",IFERROR(SUMPRODUCT((LEN(Employees!$A$3:$A$500)&gt;0)*(Employees!$N$3:$N$500=1)*(COUNTIFS($B$3:$B$500,Employees!$A$3:$A$500,$H$3:$H$500,"Approved",$D$3:$D$500,"&lt;="&amp;E198,$E$3:$E$500,"&gt;="&amp;D198,$A$3:$A$500,"&lt;&gt;"&amp;A198)&gt;0)),0))</f>
        <v/>
      </c>
      <c r="R198">
        <f>IF(B198="","",IFERROR(SUMPRODUCT((LEN(Employees!$A$3:$A$500)&gt;0)*(Employees!$O$3:$O$500=1)*(COUNTIFS($B$3:$B$500,Employees!$A$3:$A$500,$H$3:$H$500,"Approved",$D$3:$D$500,"&lt;="&amp;E198,$E$3:$E$500,"&gt;="&amp;D198,$A$3:$A$500,"&lt;&gt;"&amp;A198)&gt;0)),0))</f>
        <v/>
      </c>
      <c r="S198">
        <f>IF(OR(B198="",IFERROR(XLOOKUP(B198,Employees!$A$3:$A$500,Employees!$G$3:$G$500,""),"")=""),"",IFERROR(SUMPRODUCT((LEN(Employees!$A$3:$A$500)&gt;0)*(Employees!$G$3:$G$500=IFERROR(XLOOKUP(B198,Employees!$A$3:$A$500,Employees!$G$3:$G$500,""),""))*(COUNTIFS($B$3:$B$500,Employees!$A$3:$A$500,$H$3:$H$500,"Approved",$D$3:$D$500,"&lt;="&amp;E198,$E$3:$E$500,"&gt;="&amp;D198,$A$3:$A$500,"&lt;&gt;"&amp;A198)&gt;0)),0))</f>
        <v/>
      </c>
    </row>
    <row r="199">
      <c r="C199">
        <f>IFERROR(XLOOKUP(B199,Employees!$A$3:$A$500,Employees!$B$3:$B$500,""),"")</f>
        <v/>
      </c>
      <c r="I199">
        <f>IF(AND(B199&lt;&gt;"",D199&lt;&gt;"",E199&lt;&gt;""),E199-D199+1,"")</f>
        <v/>
      </c>
      <c r="J199">
        <f>IF(OR(B199="",D199="",E199=""),"",IF(OR(L199&lt;'Coverage Rules'!E7,M199&lt;'Coverage Rules'!E8,N199&lt;'Coverage Rules'!C8,O199&lt;'Coverage Rules'!E9,P199&lt;'Coverage Rules'!E10,Q199&gt;='Coverage Rules'!B16,R199&gt;='Coverage Rules'!B17,IF(S199="",FALSE,S199&gt;='Coverage Rules'!D24)),"Denied","OK"))</f>
        <v/>
      </c>
      <c r="L199">
        <f>IF(B199="","",IFERROR(SUMPRODUCT((LEN(Employees!$A$3:$A$500)&gt;0)*(Employees!$T$3:$T$500=1)*(COUNTIFS($B$3:$B$500,Employees!$A$3:$A$500,$H$3:$H$500,"Approved",$D$3:$D$500,"&lt;="&amp;E199,$E$3:$E$500,"&gt;="&amp;D199,$A$3:$A$500,"&lt;&gt;"&amp;A199)=0)),0))</f>
        <v/>
      </c>
      <c r="M199">
        <f>IF(B199="","",IFERROR(SUMPRODUCT((LEN(Employees!$A$3:$A$500)&gt;0)*(Employees!$U$3:$U$500=1)*(COUNTIFS($B$3:$B$500,Employees!$A$3:$A$500,$H$3:$H$500,"Approved",$D$3:$D$500,"&lt;="&amp;E199,$E$3:$E$500,"&gt;="&amp;D199,$A$3:$A$500,"&lt;&gt;"&amp;A199)=0)),0))</f>
        <v/>
      </c>
      <c r="N199">
        <f>IF(B199="","",IFERROR(SUMPRODUCT((LEN(Employees!$A$3:$A$500)&gt;0)*(Employees!$B$3:$B$500="Manager")*(Employees!$U$3:$U$500=1)*(COUNTIFS($B$3:$B$500,Employees!$A$3:$A$500,$H$3:$H$500,"Approved",$D$3:$D$500,"&lt;="&amp;E199,$E$3:$E$500,"&gt;="&amp;D199,$A$3:$A$500,"&lt;&gt;"&amp;A199)=0)),0))</f>
        <v/>
      </c>
      <c r="O199">
        <f>IF(B199="","",IFERROR(SUMPRODUCT((LEN(Employees!$A$3:$A$500)&gt;0)*(Employees!$V$3:$V$500=1)*(COUNTIFS($B$3:$B$500,Employees!$A$3:$A$500,$H$3:$H$500,"Approved",$D$3:$D$500,"&lt;="&amp;E199,$E$3:$E$500,"&gt;="&amp;D199,$A$3:$A$500,"&lt;&gt;"&amp;A199)=0)),0))</f>
        <v/>
      </c>
      <c r="P199">
        <f>IF(B199="","",IFERROR(SUMPRODUCT((LEN(Employees!$A$3:$A$500)&gt;0)*(Employees!$W$3:$W$500=1)*(COUNTIFS($B$3:$B$500,Employees!$A$3:$A$500,$H$3:$H$500,"Approved",$D$3:$D$500,"&lt;="&amp;E199,$E$3:$E$500,"&gt;="&amp;D199,$A$3:$A$500,"&lt;&gt;"&amp;A199)=0)),0))</f>
        <v/>
      </c>
      <c r="Q199">
        <f>IF(B199="","",IFERROR(SUMPRODUCT((LEN(Employees!$A$3:$A$500)&gt;0)*(Employees!$N$3:$N$500=1)*(COUNTIFS($B$3:$B$500,Employees!$A$3:$A$500,$H$3:$H$500,"Approved",$D$3:$D$500,"&lt;="&amp;E199,$E$3:$E$500,"&gt;="&amp;D199,$A$3:$A$500,"&lt;&gt;"&amp;A199)&gt;0)),0))</f>
        <v/>
      </c>
      <c r="R199">
        <f>IF(B199="","",IFERROR(SUMPRODUCT((LEN(Employees!$A$3:$A$500)&gt;0)*(Employees!$O$3:$O$500=1)*(COUNTIFS($B$3:$B$500,Employees!$A$3:$A$500,$H$3:$H$500,"Approved",$D$3:$D$500,"&lt;="&amp;E199,$E$3:$E$500,"&gt;="&amp;D199,$A$3:$A$500,"&lt;&gt;"&amp;A199)&gt;0)),0))</f>
        <v/>
      </c>
      <c r="S199">
        <f>IF(OR(B199="",IFERROR(XLOOKUP(B199,Employees!$A$3:$A$500,Employees!$G$3:$G$500,""),"")=""),"",IFERROR(SUMPRODUCT((LEN(Employees!$A$3:$A$500)&gt;0)*(Employees!$G$3:$G$500=IFERROR(XLOOKUP(B199,Employees!$A$3:$A$500,Employees!$G$3:$G$500,""),""))*(COUNTIFS($B$3:$B$500,Employees!$A$3:$A$500,$H$3:$H$500,"Approved",$D$3:$D$500,"&lt;="&amp;E199,$E$3:$E$500,"&gt;="&amp;D199,$A$3:$A$500,"&lt;&gt;"&amp;A199)&gt;0)),0))</f>
        <v/>
      </c>
    </row>
    <row r="200">
      <c r="C200">
        <f>IFERROR(XLOOKUP(B200,Employees!$A$3:$A$500,Employees!$B$3:$B$500,""),"")</f>
        <v/>
      </c>
      <c r="I200">
        <f>IF(AND(B200&lt;&gt;"",D200&lt;&gt;"",E200&lt;&gt;""),E200-D200+1,"")</f>
        <v/>
      </c>
      <c r="J200">
        <f>IF(OR(B200="",D200="",E200=""),"",IF(OR(L200&lt;'Coverage Rules'!E7,M200&lt;'Coverage Rules'!E8,N200&lt;'Coverage Rules'!C8,O200&lt;'Coverage Rules'!E9,P200&lt;'Coverage Rules'!E10,Q200&gt;='Coverage Rules'!B16,R200&gt;='Coverage Rules'!B17,IF(S200="",FALSE,S200&gt;='Coverage Rules'!D24)),"Denied","OK"))</f>
        <v/>
      </c>
      <c r="L200">
        <f>IF(B200="","",IFERROR(SUMPRODUCT((LEN(Employees!$A$3:$A$500)&gt;0)*(Employees!$T$3:$T$500=1)*(COUNTIFS($B$3:$B$500,Employees!$A$3:$A$500,$H$3:$H$500,"Approved",$D$3:$D$500,"&lt;="&amp;E200,$E$3:$E$500,"&gt;="&amp;D200,$A$3:$A$500,"&lt;&gt;"&amp;A200)=0)),0))</f>
        <v/>
      </c>
      <c r="M200">
        <f>IF(B200="","",IFERROR(SUMPRODUCT((LEN(Employees!$A$3:$A$500)&gt;0)*(Employees!$U$3:$U$500=1)*(COUNTIFS($B$3:$B$500,Employees!$A$3:$A$500,$H$3:$H$500,"Approved",$D$3:$D$500,"&lt;="&amp;E200,$E$3:$E$500,"&gt;="&amp;D200,$A$3:$A$500,"&lt;&gt;"&amp;A200)=0)),0))</f>
        <v/>
      </c>
      <c r="N200">
        <f>IF(B200="","",IFERROR(SUMPRODUCT((LEN(Employees!$A$3:$A$500)&gt;0)*(Employees!$B$3:$B$500="Manager")*(Employees!$U$3:$U$500=1)*(COUNTIFS($B$3:$B$500,Employees!$A$3:$A$500,$H$3:$H$500,"Approved",$D$3:$D$500,"&lt;="&amp;E200,$E$3:$E$500,"&gt;="&amp;D200,$A$3:$A$500,"&lt;&gt;"&amp;A200)=0)),0))</f>
        <v/>
      </c>
      <c r="O200">
        <f>IF(B200="","",IFERROR(SUMPRODUCT((LEN(Employees!$A$3:$A$500)&gt;0)*(Employees!$V$3:$V$500=1)*(COUNTIFS($B$3:$B$500,Employees!$A$3:$A$500,$H$3:$H$500,"Approved",$D$3:$D$500,"&lt;="&amp;E200,$E$3:$E$500,"&gt;="&amp;D200,$A$3:$A$500,"&lt;&gt;"&amp;A200)=0)),0))</f>
        <v/>
      </c>
      <c r="P200">
        <f>IF(B200="","",IFERROR(SUMPRODUCT((LEN(Employees!$A$3:$A$500)&gt;0)*(Employees!$W$3:$W$500=1)*(COUNTIFS($B$3:$B$500,Employees!$A$3:$A$500,$H$3:$H$500,"Approved",$D$3:$D$500,"&lt;="&amp;E200,$E$3:$E$500,"&gt;="&amp;D200,$A$3:$A$500,"&lt;&gt;"&amp;A200)=0)),0))</f>
        <v/>
      </c>
      <c r="Q200">
        <f>IF(B200="","",IFERROR(SUMPRODUCT((LEN(Employees!$A$3:$A$500)&gt;0)*(Employees!$N$3:$N$500=1)*(COUNTIFS($B$3:$B$500,Employees!$A$3:$A$500,$H$3:$H$500,"Approved",$D$3:$D$500,"&lt;="&amp;E200,$E$3:$E$500,"&gt;="&amp;D200,$A$3:$A$500,"&lt;&gt;"&amp;A200)&gt;0)),0))</f>
        <v/>
      </c>
      <c r="R200">
        <f>IF(B200="","",IFERROR(SUMPRODUCT((LEN(Employees!$A$3:$A$500)&gt;0)*(Employees!$O$3:$O$500=1)*(COUNTIFS($B$3:$B$500,Employees!$A$3:$A$500,$H$3:$H$500,"Approved",$D$3:$D$500,"&lt;="&amp;E200,$E$3:$E$500,"&gt;="&amp;D200,$A$3:$A$500,"&lt;&gt;"&amp;A200)&gt;0)),0))</f>
        <v/>
      </c>
      <c r="S200">
        <f>IF(OR(B200="",IFERROR(XLOOKUP(B200,Employees!$A$3:$A$500,Employees!$G$3:$G$500,""),"")=""),"",IFERROR(SUMPRODUCT((LEN(Employees!$A$3:$A$500)&gt;0)*(Employees!$G$3:$G$500=IFERROR(XLOOKUP(B200,Employees!$A$3:$A$500,Employees!$G$3:$G$500,""),""))*(COUNTIFS($B$3:$B$500,Employees!$A$3:$A$500,$H$3:$H$500,"Approved",$D$3:$D$500,"&lt;="&amp;E200,$E$3:$E$500,"&gt;="&amp;D200,$A$3:$A$500,"&lt;&gt;"&amp;A200)&gt;0)),0))</f>
        <v/>
      </c>
    </row>
    <row r="201">
      <c r="C201">
        <f>IFERROR(XLOOKUP(B201,Employees!$A$3:$A$500,Employees!$B$3:$B$500,""),"")</f>
        <v/>
      </c>
      <c r="I201">
        <f>IF(AND(B201&lt;&gt;"",D201&lt;&gt;"",E201&lt;&gt;""),E201-D201+1,"")</f>
        <v/>
      </c>
      <c r="J201">
        <f>IF(OR(B201="",D201="",E201=""),"",IF(OR(L201&lt;'Coverage Rules'!E7,M201&lt;'Coverage Rules'!E8,N201&lt;'Coverage Rules'!C8,O201&lt;'Coverage Rules'!E9,P201&lt;'Coverage Rules'!E10,Q201&gt;='Coverage Rules'!B16,R201&gt;='Coverage Rules'!B17,IF(S201="",FALSE,S201&gt;='Coverage Rules'!D24)),"Denied","OK"))</f>
        <v/>
      </c>
      <c r="L201">
        <f>IF(B201="","",IFERROR(SUMPRODUCT((LEN(Employees!$A$3:$A$500)&gt;0)*(Employees!$T$3:$T$500=1)*(COUNTIFS($B$3:$B$500,Employees!$A$3:$A$500,$H$3:$H$500,"Approved",$D$3:$D$500,"&lt;="&amp;E201,$E$3:$E$500,"&gt;="&amp;D201,$A$3:$A$500,"&lt;&gt;"&amp;A201)=0)),0))</f>
        <v/>
      </c>
      <c r="M201">
        <f>IF(B201="","",IFERROR(SUMPRODUCT((LEN(Employees!$A$3:$A$500)&gt;0)*(Employees!$U$3:$U$500=1)*(COUNTIFS($B$3:$B$500,Employees!$A$3:$A$500,$H$3:$H$500,"Approved",$D$3:$D$500,"&lt;="&amp;E201,$E$3:$E$500,"&gt;="&amp;D201,$A$3:$A$500,"&lt;&gt;"&amp;A201)=0)),0))</f>
        <v/>
      </c>
      <c r="N201">
        <f>IF(B201="","",IFERROR(SUMPRODUCT((LEN(Employees!$A$3:$A$500)&gt;0)*(Employees!$B$3:$B$500="Manager")*(Employees!$U$3:$U$500=1)*(COUNTIFS($B$3:$B$500,Employees!$A$3:$A$500,$H$3:$H$500,"Approved",$D$3:$D$500,"&lt;="&amp;E201,$E$3:$E$500,"&gt;="&amp;D201,$A$3:$A$500,"&lt;&gt;"&amp;A201)=0)),0))</f>
        <v/>
      </c>
      <c r="O201">
        <f>IF(B201="","",IFERROR(SUMPRODUCT((LEN(Employees!$A$3:$A$500)&gt;0)*(Employees!$V$3:$V$500=1)*(COUNTIFS($B$3:$B$500,Employees!$A$3:$A$500,$H$3:$H$500,"Approved",$D$3:$D$500,"&lt;="&amp;E201,$E$3:$E$500,"&gt;="&amp;D201,$A$3:$A$500,"&lt;&gt;"&amp;A201)=0)),0))</f>
        <v/>
      </c>
      <c r="P201">
        <f>IF(B201="","",IFERROR(SUMPRODUCT((LEN(Employees!$A$3:$A$500)&gt;0)*(Employees!$W$3:$W$500=1)*(COUNTIFS($B$3:$B$500,Employees!$A$3:$A$500,$H$3:$H$500,"Approved",$D$3:$D$500,"&lt;="&amp;E201,$E$3:$E$500,"&gt;="&amp;D201,$A$3:$A$500,"&lt;&gt;"&amp;A201)=0)),0))</f>
        <v/>
      </c>
      <c r="Q201">
        <f>IF(B201="","",IFERROR(SUMPRODUCT((LEN(Employees!$A$3:$A$500)&gt;0)*(Employees!$N$3:$N$500=1)*(COUNTIFS($B$3:$B$500,Employees!$A$3:$A$500,$H$3:$H$500,"Approved",$D$3:$D$500,"&lt;="&amp;E201,$E$3:$E$500,"&gt;="&amp;D201,$A$3:$A$500,"&lt;&gt;"&amp;A201)&gt;0)),0))</f>
        <v/>
      </c>
      <c r="R201">
        <f>IF(B201="","",IFERROR(SUMPRODUCT((LEN(Employees!$A$3:$A$500)&gt;0)*(Employees!$O$3:$O$500=1)*(COUNTIFS($B$3:$B$500,Employees!$A$3:$A$500,$H$3:$H$500,"Approved",$D$3:$D$500,"&lt;="&amp;E201,$E$3:$E$500,"&gt;="&amp;D201,$A$3:$A$500,"&lt;&gt;"&amp;A201)&gt;0)),0))</f>
        <v/>
      </c>
      <c r="S201">
        <f>IF(OR(B201="",IFERROR(XLOOKUP(B201,Employees!$A$3:$A$500,Employees!$G$3:$G$500,""),"")=""),"",IFERROR(SUMPRODUCT((LEN(Employees!$A$3:$A$500)&gt;0)*(Employees!$G$3:$G$500=IFERROR(XLOOKUP(B201,Employees!$A$3:$A$500,Employees!$G$3:$G$500,""),""))*(COUNTIFS($B$3:$B$500,Employees!$A$3:$A$500,$H$3:$H$500,"Approved",$D$3:$D$500,"&lt;="&amp;E201,$E$3:$E$500,"&gt;="&amp;D201,$A$3:$A$500,"&lt;&gt;"&amp;A201)&gt;0)),0))</f>
        <v/>
      </c>
    </row>
    <row r="202">
      <c r="C202">
        <f>IFERROR(XLOOKUP(B202,Employees!$A$3:$A$500,Employees!$B$3:$B$500,""),"")</f>
        <v/>
      </c>
      <c r="I202">
        <f>IF(AND(B202&lt;&gt;"",D202&lt;&gt;"",E202&lt;&gt;""),E202-D202+1,"")</f>
        <v/>
      </c>
      <c r="J202">
        <f>IF(OR(B202="",D202="",E202=""),"",IF(OR(L202&lt;'Coverage Rules'!E7,M202&lt;'Coverage Rules'!E8,N202&lt;'Coverage Rules'!C8,O202&lt;'Coverage Rules'!E9,P202&lt;'Coverage Rules'!E10,Q202&gt;='Coverage Rules'!B16,R202&gt;='Coverage Rules'!B17,IF(S202="",FALSE,S202&gt;='Coverage Rules'!D24)),"Denied","OK"))</f>
        <v/>
      </c>
      <c r="L202">
        <f>IF(B202="","",IFERROR(SUMPRODUCT((LEN(Employees!$A$3:$A$500)&gt;0)*(Employees!$T$3:$T$500=1)*(COUNTIFS($B$3:$B$500,Employees!$A$3:$A$500,$H$3:$H$500,"Approved",$D$3:$D$500,"&lt;="&amp;E202,$E$3:$E$500,"&gt;="&amp;D202,$A$3:$A$500,"&lt;&gt;"&amp;A202)=0)),0))</f>
        <v/>
      </c>
      <c r="M202">
        <f>IF(B202="","",IFERROR(SUMPRODUCT((LEN(Employees!$A$3:$A$500)&gt;0)*(Employees!$U$3:$U$500=1)*(COUNTIFS($B$3:$B$500,Employees!$A$3:$A$500,$H$3:$H$500,"Approved",$D$3:$D$500,"&lt;="&amp;E202,$E$3:$E$500,"&gt;="&amp;D202,$A$3:$A$500,"&lt;&gt;"&amp;A202)=0)),0))</f>
        <v/>
      </c>
      <c r="N202">
        <f>IF(B202="","",IFERROR(SUMPRODUCT((LEN(Employees!$A$3:$A$500)&gt;0)*(Employees!$B$3:$B$500="Manager")*(Employees!$U$3:$U$500=1)*(COUNTIFS($B$3:$B$500,Employees!$A$3:$A$500,$H$3:$H$500,"Approved",$D$3:$D$500,"&lt;="&amp;E202,$E$3:$E$500,"&gt;="&amp;D202,$A$3:$A$500,"&lt;&gt;"&amp;A202)=0)),0))</f>
        <v/>
      </c>
      <c r="O202">
        <f>IF(B202="","",IFERROR(SUMPRODUCT((LEN(Employees!$A$3:$A$500)&gt;0)*(Employees!$V$3:$V$500=1)*(COUNTIFS($B$3:$B$500,Employees!$A$3:$A$500,$H$3:$H$500,"Approved",$D$3:$D$500,"&lt;="&amp;E202,$E$3:$E$500,"&gt;="&amp;D202,$A$3:$A$500,"&lt;&gt;"&amp;A202)=0)),0))</f>
        <v/>
      </c>
      <c r="P202">
        <f>IF(B202="","",IFERROR(SUMPRODUCT((LEN(Employees!$A$3:$A$500)&gt;0)*(Employees!$W$3:$W$500=1)*(COUNTIFS($B$3:$B$500,Employees!$A$3:$A$500,$H$3:$H$500,"Approved",$D$3:$D$500,"&lt;="&amp;E202,$E$3:$E$500,"&gt;="&amp;D202,$A$3:$A$500,"&lt;&gt;"&amp;A202)=0)),0))</f>
        <v/>
      </c>
      <c r="Q202">
        <f>IF(B202="","",IFERROR(SUMPRODUCT((LEN(Employees!$A$3:$A$500)&gt;0)*(Employees!$N$3:$N$500=1)*(COUNTIFS($B$3:$B$500,Employees!$A$3:$A$500,$H$3:$H$500,"Approved",$D$3:$D$500,"&lt;="&amp;E202,$E$3:$E$500,"&gt;="&amp;D202,$A$3:$A$500,"&lt;&gt;"&amp;A202)&gt;0)),0))</f>
        <v/>
      </c>
      <c r="R202">
        <f>IF(B202="","",IFERROR(SUMPRODUCT((LEN(Employees!$A$3:$A$500)&gt;0)*(Employees!$O$3:$O$500=1)*(COUNTIFS($B$3:$B$500,Employees!$A$3:$A$500,$H$3:$H$500,"Approved",$D$3:$D$500,"&lt;="&amp;E202,$E$3:$E$500,"&gt;="&amp;D202,$A$3:$A$500,"&lt;&gt;"&amp;A202)&gt;0)),0))</f>
        <v/>
      </c>
      <c r="S202">
        <f>IF(OR(B202="",IFERROR(XLOOKUP(B202,Employees!$A$3:$A$500,Employees!$G$3:$G$500,""),"")=""),"",IFERROR(SUMPRODUCT((LEN(Employees!$A$3:$A$500)&gt;0)*(Employees!$G$3:$G$500=IFERROR(XLOOKUP(B202,Employees!$A$3:$A$500,Employees!$G$3:$G$500,""),""))*(COUNTIFS($B$3:$B$500,Employees!$A$3:$A$500,$H$3:$H$500,"Approved",$D$3:$D$500,"&lt;="&amp;E202,$E$3:$E$500,"&gt;="&amp;D202,$A$3:$A$500,"&lt;&gt;"&amp;A202)&gt;0)),0))</f>
        <v/>
      </c>
    </row>
    <row r="203">
      <c r="C203">
        <f>IFERROR(XLOOKUP(B203,Employees!$A$3:$A$500,Employees!$B$3:$B$500,""),"")</f>
        <v/>
      </c>
      <c r="I203">
        <f>IF(AND(B203&lt;&gt;"",D203&lt;&gt;"",E203&lt;&gt;""),E203-D203+1,"")</f>
        <v/>
      </c>
      <c r="J203">
        <f>IF(OR(B203="",D203="",E203=""),"",IF(OR(L203&lt;'Coverage Rules'!E7,M203&lt;'Coverage Rules'!E8,N203&lt;'Coverage Rules'!C8,O203&lt;'Coverage Rules'!E9,P203&lt;'Coverage Rules'!E10,Q203&gt;='Coverage Rules'!B16,R203&gt;='Coverage Rules'!B17,IF(S203="",FALSE,S203&gt;='Coverage Rules'!D24)),"Denied","OK"))</f>
        <v/>
      </c>
      <c r="L203">
        <f>IF(B203="","",IFERROR(SUMPRODUCT((LEN(Employees!$A$3:$A$500)&gt;0)*(Employees!$T$3:$T$500=1)*(COUNTIFS($B$3:$B$500,Employees!$A$3:$A$500,$H$3:$H$500,"Approved",$D$3:$D$500,"&lt;="&amp;E203,$E$3:$E$500,"&gt;="&amp;D203,$A$3:$A$500,"&lt;&gt;"&amp;A203)=0)),0))</f>
        <v/>
      </c>
      <c r="M203">
        <f>IF(B203="","",IFERROR(SUMPRODUCT((LEN(Employees!$A$3:$A$500)&gt;0)*(Employees!$U$3:$U$500=1)*(COUNTIFS($B$3:$B$500,Employees!$A$3:$A$500,$H$3:$H$500,"Approved",$D$3:$D$500,"&lt;="&amp;E203,$E$3:$E$500,"&gt;="&amp;D203,$A$3:$A$500,"&lt;&gt;"&amp;A203)=0)),0))</f>
        <v/>
      </c>
      <c r="N203">
        <f>IF(B203="","",IFERROR(SUMPRODUCT((LEN(Employees!$A$3:$A$500)&gt;0)*(Employees!$B$3:$B$500="Manager")*(Employees!$U$3:$U$500=1)*(COUNTIFS($B$3:$B$500,Employees!$A$3:$A$500,$H$3:$H$500,"Approved",$D$3:$D$500,"&lt;="&amp;E203,$E$3:$E$500,"&gt;="&amp;D203,$A$3:$A$500,"&lt;&gt;"&amp;A203)=0)),0))</f>
        <v/>
      </c>
      <c r="O203">
        <f>IF(B203="","",IFERROR(SUMPRODUCT((LEN(Employees!$A$3:$A$500)&gt;0)*(Employees!$V$3:$V$500=1)*(COUNTIFS($B$3:$B$500,Employees!$A$3:$A$500,$H$3:$H$500,"Approved",$D$3:$D$500,"&lt;="&amp;E203,$E$3:$E$500,"&gt;="&amp;D203,$A$3:$A$500,"&lt;&gt;"&amp;A203)=0)),0))</f>
        <v/>
      </c>
      <c r="P203">
        <f>IF(B203="","",IFERROR(SUMPRODUCT((LEN(Employees!$A$3:$A$500)&gt;0)*(Employees!$W$3:$W$500=1)*(COUNTIFS($B$3:$B$500,Employees!$A$3:$A$500,$H$3:$H$500,"Approved",$D$3:$D$500,"&lt;="&amp;E203,$E$3:$E$500,"&gt;="&amp;D203,$A$3:$A$500,"&lt;&gt;"&amp;A203)=0)),0))</f>
        <v/>
      </c>
      <c r="Q203">
        <f>IF(B203="","",IFERROR(SUMPRODUCT((LEN(Employees!$A$3:$A$500)&gt;0)*(Employees!$N$3:$N$500=1)*(COUNTIFS($B$3:$B$500,Employees!$A$3:$A$500,$H$3:$H$500,"Approved",$D$3:$D$500,"&lt;="&amp;E203,$E$3:$E$500,"&gt;="&amp;D203,$A$3:$A$500,"&lt;&gt;"&amp;A203)&gt;0)),0))</f>
        <v/>
      </c>
      <c r="R203">
        <f>IF(B203="","",IFERROR(SUMPRODUCT((LEN(Employees!$A$3:$A$500)&gt;0)*(Employees!$O$3:$O$500=1)*(COUNTIFS($B$3:$B$500,Employees!$A$3:$A$500,$H$3:$H$500,"Approved",$D$3:$D$500,"&lt;="&amp;E203,$E$3:$E$500,"&gt;="&amp;D203,$A$3:$A$500,"&lt;&gt;"&amp;A203)&gt;0)),0))</f>
        <v/>
      </c>
      <c r="S203">
        <f>IF(OR(B203="",IFERROR(XLOOKUP(B203,Employees!$A$3:$A$500,Employees!$G$3:$G$500,""),"")=""),"",IFERROR(SUMPRODUCT((LEN(Employees!$A$3:$A$500)&gt;0)*(Employees!$G$3:$G$500=IFERROR(XLOOKUP(B203,Employees!$A$3:$A$500,Employees!$G$3:$G$500,""),""))*(COUNTIFS($B$3:$B$500,Employees!$A$3:$A$500,$H$3:$H$500,"Approved",$D$3:$D$500,"&lt;="&amp;E203,$E$3:$E$500,"&gt;="&amp;D203,$A$3:$A$500,"&lt;&gt;"&amp;A203)&gt;0)),0))</f>
        <v/>
      </c>
    </row>
    <row r="204">
      <c r="C204">
        <f>IFERROR(XLOOKUP(B204,Employees!$A$3:$A$500,Employees!$B$3:$B$500,""),"")</f>
        <v/>
      </c>
      <c r="I204">
        <f>IF(AND(B204&lt;&gt;"",D204&lt;&gt;"",E204&lt;&gt;""),E204-D204+1,"")</f>
        <v/>
      </c>
      <c r="J204">
        <f>IF(OR(B204="",D204="",E204=""),"",IF(OR(L204&lt;'Coverage Rules'!E7,M204&lt;'Coverage Rules'!E8,N204&lt;'Coverage Rules'!C8,O204&lt;'Coverage Rules'!E9,P204&lt;'Coverage Rules'!E10,Q204&gt;='Coverage Rules'!B16,R204&gt;='Coverage Rules'!B17,IF(S204="",FALSE,S204&gt;='Coverage Rules'!D24)),"Denied","OK"))</f>
        <v/>
      </c>
      <c r="L204">
        <f>IF(B204="","",IFERROR(SUMPRODUCT((LEN(Employees!$A$3:$A$500)&gt;0)*(Employees!$T$3:$T$500=1)*(COUNTIFS($B$3:$B$500,Employees!$A$3:$A$500,$H$3:$H$500,"Approved",$D$3:$D$500,"&lt;="&amp;E204,$E$3:$E$500,"&gt;="&amp;D204,$A$3:$A$500,"&lt;&gt;"&amp;A204)=0)),0))</f>
        <v/>
      </c>
      <c r="M204">
        <f>IF(B204="","",IFERROR(SUMPRODUCT((LEN(Employees!$A$3:$A$500)&gt;0)*(Employees!$U$3:$U$500=1)*(COUNTIFS($B$3:$B$500,Employees!$A$3:$A$500,$H$3:$H$500,"Approved",$D$3:$D$500,"&lt;="&amp;E204,$E$3:$E$500,"&gt;="&amp;D204,$A$3:$A$500,"&lt;&gt;"&amp;A204)=0)),0))</f>
        <v/>
      </c>
      <c r="N204">
        <f>IF(B204="","",IFERROR(SUMPRODUCT((LEN(Employees!$A$3:$A$500)&gt;0)*(Employees!$B$3:$B$500="Manager")*(Employees!$U$3:$U$500=1)*(COUNTIFS($B$3:$B$500,Employees!$A$3:$A$500,$H$3:$H$500,"Approved",$D$3:$D$500,"&lt;="&amp;E204,$E$3:$E$500,"&gt;="&amp;D204,$A$3:$A$500,"&lt;&gt;"&amp;A204)=0)),0))</f>
        <v/>
      </c>
      <c r="O204">
        <f>IF(B204="","",IFERROR(SUMPRODUCT((LEN(Employees!$A$3:$A$500)&gt;0)*(Employees!$V$3:$V$500=1)*(COUNTIFS($B$3:$B$500,Employees!$A$3:$A$500,$H$3:$H$500,"Approved",$D$3:$D$500,"&lt;="&amp;E204,$E$3:$E$500,"&gt;="&amp;D204,$A$3:$A$500,"&lt;&gt;"&amp;A204)=0)),0))</f>
        <v/>
      </c>
      <c r="P204">
        <f>IF(B204="","",IFERROR(SUMPRODUCT((LEN(Employees!$A$3:$A$500)&gt;0)*(Employees!$W$3:$W$500=1)*(COUNTIFS($B$3:$B$500,Employees!$A$3:$A$500,$H$3:$H$500,"Approved",$D$3:$D$500,"&lt;="&amp;E204,$E$3:$E$500,"&gt;="&amp;D204,$A$3:$A$500,"&lt;&gt;"&amp;A204)=0)),0))</f>
        <v/>
      </c>
      <c r="Q204">
        <f>IF(B204="","",IFERROR(SUMPRODUCT((LEN(Employees!$A$3:$A$500)&gt;0)*(Employees!$N$3:$N$500=1)*(COUNTIFS($B$3:$B$500,Employees!$A$3:$A$500,$H$3:$H$500,"Approved",$D$3:$D$500,"&lt;="&amp;E204,$E$3:$E$500,"&gt;="&amp;D204,$A$3:$A$500,"&lt;&gt;"&amp;A204)&gt;0)),0))</f>
        <v/>
      </c>
      <c r="R204">
        <f>IF(B204="","",IFERROR(SUMPRODUCT((LEN(Employees!$A$3:$A$500)&gt;0)*(Employees!$O$3:$O$500=1)*(COUNTIFS($B$3:$B$500,Employees!$A$3:$A$500,$H$3:$H$500,"Approved",$D$3:$D$500,"&lt;="&amp;E204,$E$3:$E$500,"&gt;="&amp;D204,$A$3:$A$500,"&lt;&gt;"&amp;A204)&gt;0)),0))</f>
        <v/>
      </c>
      <c r="S204">
        <f>IF(OR(B204="",IFERROR(XLOOKUP(B204,Employees!$A$3:$A$500,Employees!$G$3:$G$500,""),"")=""),"",IFERROR(SUMPRODUCT((LEN(Employees!$A$3:$A$500)&gt;0)*(Employees!$G$3:$G$500=IFERROR(XLOOKUP(B204,Employees!$A$3:$A$500,Employees!$G$3:$G$500,""),""))*(COUNTIFS($B$3:$B$500,Employees!$A$3:$A$500,$H$3:$H$500,"Approved",$D$3:$D$500,"&lt;="&amp;E204,$E$3:$E$500,"&gt;="&amp;D204,$A$3:$A$500,"&lt;&gt;"&amp;A204)&gt;0)),0))</f>
        <v/>
      </c>
    </row>
    <row r="205">
      <c r="C205">
        <f>IFERROR(XLOOKUP(B205,Employees!$A$3:$A$500,Employees!$B$3:$B$500,""),"")</f>
        <v/>
      </c>
      <c r="I205">
        <f>IF(AND(B205&lt;&gt;"",D205&lt;&gt;"",E205&lt;&gt;""),E205-D205+1,"")</f>
        <v/>
      </c>
      <c r="J205">
        <f>IF(OR(B205="",D205="",E205=""),"",IF(OR(L205&lt;'Coverage Rules'!E7,M205&lt;'Coverage Rules'!E8,N205&lt;'Coverage Rules'!C8,O205&lt;'Coverage Rules'!E9,P205&lt;'Coverage Rules'!E10,Q205&gt;='Coverage Rules'!B16,R205&gt;='Coverage Rules'!B17,IF(S205="",FALSE,S205&gt;='Coverage Rules'!D24)),"Denied","OK"))</f>
        <v/>
      </c>
      <c r="L205">
        <f>IF(B205="","",IFERROR(SUMPRODUCT((LEN(Employees!$A$3:$A$500)&gt;0)*(Employees!$T$3:$T$500=1)*(COUNTIFS($B$3:$B$500,Employees!$A$3:$A$500,$H$3:$H$500,"Approved",$D$3:$D$500,"&lt;="&amp;E205,$E$3:$E$500,"&gt;="&amp;D205,$A$3:$A$500,"&lt;&gt;"&amp;A205)=0)),0))</f>
        <v/>
      </c>
      <c r="M205">
        <f>IF(B205="","",IFERROR(SUMPRODUCT((LEN(Employees!$A$3:$A$500)&gt;0)*(Employees!$U$3:$U$500=1)*(COUNTIFS($B$3:$B$500,Employees!$A$3:$A$500,$H$3:$H$500,"Approved",$D$3:$D$500,"&lt;="&amp;E205,$E$3:$E$500,"&gt;="&amp;D205,$A$3:$A$500,"&lt;&gt;"&amp;A205)=0)),0))</f>
        <v/>
      </c>
      <c r="N205">
        <f>IF(B205="","",IFERROR(SUMPRODUCT((LEN(Employees!$A$3:$A$500)&gt;0)*(Employees!$B$3:$B$500="Manager")*(Employees!$U$3:$U$500=1)*(COUNTIFS($B$3:$B$500,Employees!$A$3:$A$500,$H$3:$H$500,"Approved",$D$3:$D$500,"&lt;="&amp;E205,$E$3:$E$500,"&gt;="&amp;D205,$A$3:$A$500,"&lt;&gt;"&amp;A205)=0)),0))</f>
        <v/>
      </c>
      <c r="O205">
        <f>IF(B205="","",IFERROR(SUMPRODUCT((LEN(Employees!$A$3:$A$500)&gt;0)*(Employees!$V$3:$V$500=1)*(COUNTIFS($B$3:$B$500,Employees!$A$3:$A$500,$H$3:$H$500,"Approved",$D$3:$D$500,"&lt;="&amp;E205,$E$3:$E$500,"&gt;="&amp;D205,$A$3:$A$500,"&lt;&gt;"&amp;A205)=0)),0))</f>
        <v/>
      </c>
      <c r="P205">
        <f>IF(B205="","",IFERROR(SUMPRODUCT((LEN(Employees!$A$3:$A$500)&gt;0)*(Employees!$W$3:$W$500=1)*(COUNTIFS($B$3:$B$500,Employees!$A$3:$A$500,$H$3:$H$500,"Approved",$D$3:$D$500,"&lt;="&amp;E205,$E$3:$E$500,"&gt;="&amp;D205,$A$3:$A$500,"&lt;&gt;"&amp;A205)=0)),0))</f>
        <v/>
      </c>
      <c r="Q205">
        <f>IF(B205="","",IFERROR(SUMPRODUCT((LEN(Employees!$A$3:$A$500)&gt;0)*(Employees!$N$3:$N$500=1)*(COUNTIFS($B$3:$B$500,Employees!$A$3:$A$500,$H$3:$H$500,"Approved",$D$3:$D$500,"&lt;="&amp;E205,$E$3:$E$500,"&gt;="&amp;D205,$A$3:$A$500,"&lt;&gt;"&amp;A205)&gt;0)),0))</f>
        <v/>
      </c>
      <c r="R205">
        <f>IF(B205="","",IFERROR(SUMPRODUCT((LEN(Employees!$A$3:$A$500)&gt;0)*(Employees!$O$3:$O$500=1)*(COUNTIFS($B$3:$B$500,Employees!$A$3:$A$500,$H$3:$H$500,"Approved",$D$3:$D$500,"&lt;="&amp;E205,$E$3:$E$500,"&gt;="&amp;D205,$A$3:$A$500,"&lt;&gt;"&amp;A205)&gt;0)),0))</f>
        <v/>
      </c>
      <c r="S205">
        <f>IF(OR(B205="",IFERROR(XLOOKUP(B205,Employees!$A$3:$A$500,Employees!$G$3:$G$500,""),"")=""),"",IFERROR(SUMPRODUCT((LEN(Employees!$A$3:$A$500)&gt;0)*(Employees!$G$3:$G$500=IFERROR(XLOOKUP(B205,Employees!$A$3:$A$500,Employees!$G$3:$G$500,""),""))*(COUNTIFS($B$3:$B$500,Employees!$A$3:$A$500,$H$3:$H$500,"Approved",$D$3:$D$500,"&lt;="&amp;E205,$E$3:$E$500,"&gt;="&amp;D205,$A$3:$A$500,"&lt;&gt;"&amp;A205)&gt;0)),0))</f>
        <v/>
      </c>
    </row>
    <row r="206">
      <c r="C206">
        <f>IFERROR(XLOOKUP(B206,Employees!$A$3:$A$500,Employees!$B$3:$B$500,""),"")</f>
        <v/>
      </c>
      <c r="I206">
        <f>IF(AND(B206&lt;&gt;"",D206&lt;&gt;"",E206&lt;&gt;""),E206-D206+1,"")</f>
        <v/>
      </c>
      <c r="J206">
        <f>IF(OR(B206="",D206="",E206=""),"",IF(OR(L206&lt;'Coverage Rules'!E7,M206&lt;'Coverage Rules'!E8,N206&lt;'Coverage Rules'!C8,O206&lt;'Coverage Rules'!E9,P206&lt;'Coverage Rules'!E10,Q206&gt;='Coverage Rules'!B16,R206&gt;='Coverage Rules'!B17,IF(S206="",FALSE,S206&gt;='Coverage Rules'!D24)),"Denied","OK"))</f>
        <v/>
      </c>
      <c r="L206">
        <f>IF(B206="","",IFERROR(SUMPRODUCT((LEN(Employees!$A$3:$A$500)&gt;0)*(Employees!$T$3:$T$500=1)*(COUNTIFS($B$3:$B$500,Employees!$A$3:$A$500,$H$3:$H$500,"Approved",$D$3:$D$500,"&lt;="&amp;E206,$E$3:$E$500,"&gt;="&amp;D206,$A$3:$A$500,"&lt;&gt;"&amp;A206)=0)),0))</f>
        <v/>
      </c>
      <c r="M206">
        <f>IF(B206="","",IFERROR(SUMPRODUCT((LEN(Employees!$A$3:$A$500)&gt;0)*(Employees!$U$3:$U$500=1)*(COUNTIFS($B$3:$B$500,Employees!$A$3:$A$500,$H$3:$H$500,"Approved",$D$3:$D$500,"&lt;="&amp;E206,$E$3:$E$500,"&gt;="&amp;D206,$A$3:$A$500,"&lt;&gt;"&amp;A206)=0)),0))</f>
        <v/>
      </c>
      <c r="N206">
        <f>IF(B206="","",IFERROR(SUMPRODUCT((LEN(Employees!$A$3:$A$500)&gt;0)*(Employees!$B$3:$B$500="Manager")*(Employees!$U$3:$U$500=1)*(COUNTIFS($B$3:$B$500,Employees!$A$3:$A$500,$H$3:$H$500,"Approved",$D$3:$D$500,"&lt;="&amp;E206,$E$3:$E$500,"&gt;="&amp;D206,$A$3:$A$500,"&lt;&gt;"&amp;A206)=0)),0))</f>
        <v/>
      </c>
      <c r="O206">
        <f>IF(B206="","",IFERROR(SUMPRODUCT((LEN(Employees!$A$3:$A$500)&gt;0)*(Employees!$V$3:$V$500=1)*(COUNTIFS($B$3:$B$500,Employees!$A$3:$A$500,$H$3:$H$500,"Approved",$D$3:$D$500,"&lt;="&amp;E206,$E$3:$E$500,"&gt;="&amp;D206,$A$3:$A$500,"&lt;&gt;"&amp;A206)=0)),0))</f>
        <v/>
      </c>
      <c r="P206">
        <f>IF(B206="","",IFERROR(SUMPRODUCT((LEN(Employees!$A$3:$A$500)&gt;0)*(Employees!$W$3:$W$500=1)*(COUNTIFS($B$3:$B$500,Employees!$A$3:$A$500,$H$3:$H$500,"Approved",$D$3:$D$500,"&lt;="&amp;E206,$E$3:$E$500,"&gt;="&amp;D206,$A$3:$A$500,"&lt;&gt;"&amp;A206)=0)),0))</f>
        <v/>
      </c>
      <c r="Q206">
        <f>IF(B206="","",IFERROR(SUMPRODUCT((LEN(Employees!$A$3:$A$500)&gt;0)*(Employees!$N$3:$N$500=1)*(COUNTIFS($B$3:$B$500,Employees!$A$3:$A$500,$H$3:$H$500,"Approved",$D$3:$D$500,"&lt;="&amp;E206,$E$3:$E$500,"&gt;="&amp;D206,$A$3:$A$500,"&lt;&gt;"&amp;A206)&gt;0)),0))</f>
        <v/>
      </c>
      <c r="R206">
        <f>IF(B206="","",IFERROR(SUMPRODUCT((LEN(Employees!$A$3:$A$500)&gt;0)*(Employees!$O$3:$O$500=1)*(COUNTIFS($B$3:$B$500,Employees!$A$3:$A$500,$H$3:$H$500,"Approved",$D$3:$D$500,"&lt;="&amp;E206,$E$3:$E$500,"&gt;="&amp;D206,$A$3:$A$500,"&lt;&gt;"&amp;A206)&gt;0)),0))</f>
        <v/>
      </c>
      <c r="S206">
        <f>IF(OR(B206="",IFERROR(XLOOKUP(B206,Employees!$A$3:$A$500,Employees!$G$3:$G$500,""),"")=""),"",IFERROR(SUMPRODUCT((LEN(Employees!$A$3:$A$500)&gt;0)*(Employees!$G$3:$G$500=IFERROR(XLOOKUP(B206,Employees!$A$3:$A$500,Employees!$G$3:$G$500,""),""))*(COUNTIFS($B$3:$B$500,Employees!$A$3:$A$500,$H$3:$H$500,"Approved",$D$3:$D$500,"&lt;="&amp;E206,$E$3:$E$500,"&gt;="&amp;D206,$A$3:$A$500,"&lt;&gt;"&amp;A206)&gt;0)),0))</f>
        <v/>
      </c>
    </row>
    <row r="207">
      <c r="C207">
        <f>IFERROR(XLOOKUP(B207,Employees!$A$3:$A$500,Employees!$B$3:$B$500,""),"")</f>
        <v/>
      </c>
      <c r="I207">
        <f>IF(AND(B207&lt;&gt;"",D207&lt;&gt;"",E207&lt;&gt;""),E207-D207+1,"")</f>
        <v/>
      </c>
      <c r="J207">
        <f>IF(OR(B207="",D207="",E207=""),"",IF(OR(L207&lt;'Coverage Rules'!E7,M207&lt;'Coverage Rules'!E8,N207&lt;'Coverage Rules'!C8,O207&lt;'Coverage Rules'!E9,P207&lt;'Coverage Rules'!E10,Q207&gt;='Coverage Rules'!B16,R207&gt;='Coverage Rules'!B17,IF(S207="",FALSE,S207&gt;='Coverage Rules'!D24)),"Denied","OK"))</f>
        <v/>
      </c>
      <c r="L207">
        <f>IF(B207="","",IFERROR(SUMPRODUCT((LEN(Employees!$A$3:$A$500)&gt;0)*(Employees!$T$3:$T$500=1)*(COUNTIFS($B$3:$B$500,Employees!$A$3:$A$500,$H$3:$H$500,"Approved",$D$3:$D$500,"&lt;="&amp;E207,$E$3:$E$500,"&gt;="&amp;D207,$A$3:$A$500,"&lt;&gt;"&amp;A207)=0)),0))</f>
        <v/>
      </c>
      <c r="M207">
        <f>IF(B207="","",IFERROR(SUMPRODUCT((LEN(Employees!$A$3:$A$500)&gt;0)*(Employees!$U$3:$U$500=1)*(COUNTIFS($B$3:$B$500,Employees!$A$3:$A$500,$H$3:$H$500,"Approved",$D$3:$D$500,"&lt;="&amp;E207,$E$3:$E$500,"&gt;="&amp;D207,$A$3:$A$500,"&lt;&gt;"&amp;A207)=0)),0))</f>
        <v/>
      </c>
      <c r="N207">
        <f>IF(B207="","",IFERROR(SUMPRODUCT((LEN(Employees!$A$3:$A$500)&gt;0)*(Employees!$B$3:$B$500="Manager")*(Employees!$U$3:$U$500=1)*(COUNTIFS($B$3:$B$500,Employees!$A$3:$A$500,$H$3:$H$500,"Approved",$D$3:$D$500,"&lt;="&amp;E207,$E$3:$E$500,"&gt;="&amp;D207,$A$3:$A$500,"&lt;&gt;"&amp;A207)=0)),0))</f>
        <v/>
      </c>
      <c r="O207">
        <f>IF(B207="","",IFERROR(SUMPRODUCT((LEN(Employees!$A$3:$A$500)&gt;0)*(Employees!$V$3:$V$500=1)*(COUNTIFS($B$3:$B$500,Employees!$A$3:$A$500,$H$3:$H$500,"Approved",$D$3:$D$500,"&lt;="&amp;E207,$E$3:$E$500,"&gt;="&amp;D207,$A$3:$A$500,"&lt;&gt;"&amp;A207)=0)),0))</f>
        <v/>
      </c>
      <c r="P207">
        <f>IF(B207="","",IFERROR(SUMPRODUCT((LEN(Employees!$A$3:$A$500)&gt;0)*(Employees!$W$3:$W$500=1)*(COUNTIFS($B$3:$B$500,Employees!$A$3:$A$500,$H$3:$H$500,"Approved",$D$3:$D$500,"&lt;="&amp;E207,$E$3:$E$500,"&gt;="&amp;D207,$A$3:$A$500,"&lt;&gt;"&amp;A207)=0)),0))</f>
        <v/>
      </c>
      <c r="Q207">
        <f>IF(B207="","",IFERROR(SUMPRODUCT((LEN(Employees!$A$3:$A$500)&gt;0)*(Employees!$N$3:$N$500=1)*(COUNTIFS($B$3:$B$500,Employees!$A$3:$A$500,$H$3:$H$500,"Approved",$D$3:$D$500,"&lt;="&amp;E207,$E$3:$E$500,"&gt;="&amp;D207,$A$3:$A$500,"&lt;&gt;"&amp;A207)&gt;0)),0))</f>
        <v/>
      </c>
      <c r="R207">
        <f>IF(B207="","",IFERROR(SUMPRODUCT((LEN(Employees!$A$3:$A$500)&gt;0)*(Employees!$O$3:$O$500=1)*(COUNTIFS($B$3:$B$500,Employees!$A$3:$A$500,$H$3:$H$500,"Approved",$D$3:$D$500,"&lt;="&amp;E207,$E$3:$E$500,"&gt;="&amp;D207,$A$3:$A$500,"&lt;&gt;"&amp;A207)&gt;0)),0))</f>
        <v/>
      </c>
      <c r="S207">
        <f>IF(OR(B207="",IFERROR(XLOOKUP(B207,Employees!$A$3:$A$500,Employees!$G$3:$G$500,""),"")=""),"",IFERROR(SUMPRODUCT((LEN(Employees!$A$3:$A$500)&gt;0)*(Employees!$G$3:$G$500=IFERROR(XLOOKUP(B207,Employees!$A$3:$A$500,Employees!$G$3:$G$500,""),""))*(COUNTIFS($B$3:$B$500,Employees!$A$3:$A$500,$H$3:$H$500,"Approved",$D$3:$D$500,"&lt;="&amp;E207,$E$3:$E$500,"&gt;="&amp;D207,$A$3:$A$500,"&lt;&gt;"&amp;A207)&gt;0)),0))</f>
        <v/>
      </c>
    </row>
    <row r="208">
      <c r="C208">
        <f>IFERROR(XLOOKUP(B208,Employees!$A$3:$A$500,Employees!$B$3:$B$500,""),"")</f>
        <v/>
      </c>
      <c r="I208">
        <f>IF(AND(B208&lt;&gt;"",D208&lt;&gt;"",E208&lt;&gt;""),E208-D208+1,"")</f>
        <v/>
      </c>
      <c r="J208">
        <f>IF(OR(B208="",D208="",E208=""),"",IF(OR(L208&lt;'Coverage Rules'!E7,M208&lt;'Coverage Rules'!E8,N208&lt;'Coverage Rules'!C8,O208&lt;'Coverage Rules'!E9,P208&lt;'Coverage Rules'!E10,Q208&gt;='Coverage Rules'!B16,R208&gt;='Coverage Rules'!B17,IF(S208="",FALSE,S208&gt;='Coverage Rules'!D24)),"Denied","OK"))</f>
        <v/>
      </c>
      <c r="L208">
        <f>IF(B208="","",IFERROR(SUMPRODUCT((LEN(Employees!$A$3:$A$500)&gt;0)*(Employees!$T$3:$T$500=1)*(COUNTIFS($B$3:$B$500,Employees!$A$3:$A$500,$H$3:$H$500,"Approved",$D$3:$D$500,"&lt;="&amp;E208,$E$3:$E$500,"&gt;="&amp;D208,$A$3:$A$500,"&lt;&gt;"&amp;A208)=0)),0))</f>
        <v/>
      </c>
      <c r="M208">
        <f>IF(B208="","",IFERROR(SUMPRODUCT((LEN(Employees!$A$3:$A$500)&gt;0)*(Employees!$U$3:$U$500=1)*(COUNTIFS($B$3:$B$500,Employees!$A$3:$A$500,$H$3:$H$500,"Approved",$D$3:$D$500,"&lt;="&amp;E208,$E$3:$E$500,"&gt;="&amp;D208,$A$3:$A$500,"&lt;&gt;"&amp;A208)=0)),0))</f>
        <v/>
      </c>
      <c r="N208">
        <f>IF(B208="","",IFERROR(SUMPRODUCT((LEN(Employees!$A$3:$A$500)&gt;0)*(Employees!$B$3:$B$500="Manager")*(Employees!$U$3:$U$500=1)*(COUNTIFS($B$3:$B$500,Employees!$A$3:$A$500,$H$3:$H$500,"Approved",$D$3:$D$500,"&lt;="&amp;E208,$E$3:$E$500,"&gt;="&amp;D208,$A$3:$A$500,"&lt;&gt;"&amp;A208)=0)),0))</f>
        <v/>
      </c>
      <c r="O208">
        <f>IF(B208="","",IFERROR(SUMPRODUCT((LEN(Employees!$A$3:$A$500)&gt;0)*(Employees!$V$3:$V$500=1)*(COUNTIFS($B$3:$B$500,Employees!$A$3:$A$500,$H$3:$H$500,"Approved",$D$3:$D$500,"&lt;="&amp;E208,$E$3:$E$500,"&gt;="&amp;D208,$A$3:$A$500,"&lt;&gt;"&amp;A208)=0)),0))</f>
        <v/>
      </c>
      <c r="P208">
        <f>IF(B208="","",IFERROR(SUMPRODUCT((LEN(Employees!$A$3:$A$500)&gt;0)*(Employees!$W$3:$W$500=1)*(COUNTIFS($B$3:$B$500,Employees!$A$3:$A$500,$H$3:$H$500,"Approved",$D$3:$D$500,"&lt;="&amp;E208,$E$3:$E$500,"&gt;="&amp;D208,$A$3:$A$500,"&lt;&gt;"&amp;A208)=0)),0))</f>
        <v/>
      </c>
      <c r="Q208">
        <f>IF(B208="","",IFERROR(SUMPRODUCT((LEN(Employees!$A$3:$A$500)&gt;0)*(Employees!$N$3:$N$500=1)*(COUNTIFS($B$3:$B$500,Employees!$A$3:$A$500,$H$3:$H$500,"Approved",$D$3:$D$500,"&lt;="&amp;E208,$E$3:$E$500,"&gt;="&amp;D208,$A$3:$A$500,"&lt;&gt;"&amp;A208)&gt;0)),0))</f>
        <v/>
      </c>
      <c r="R208">
        <f>IF(B208="","",IFERROR(SUMPRODUCT((LEN(Employees!$A$3:$A$500)&gt;0)*(Employees!$O$3:$O$500=1)*(COUNTIFS($B$3:$B$500,Employees!$A$3:$A$500,$H$3:$H$500,"Approved",$D$3:$D$500,"&lt;="&amp;E208,$E$3:$E$500,"&gt;="&amp;D208,$A$3:$A$500,"&lt;&gt;"&amp;A208)&gt;0)),0))</f>
        <v/>
      </c>
      <c r="S208">
        <f>IF(OR(B208="",IFERROR(XLOOKUP(B208,Employees!$A$3:$A$500,Employees!$G$3:$G$500,""),"")=""),"",IFERROR(SUMPRODUCT((LEN(Employees!$A$3:$A$500)&gt;0)*(Employees!$G$3:$G$500=IFERROR(XLOOKUP(B208,Employees!$A$3:$A$500,Employees!$G$3:$G$500,""),""))*(COUNTIFS($B$3:$B$500,Employees!$A$3:$A$500,$H$3:$H$500,"Approved",$D$3:$D$500,"&lt;="&amp;E208,$E$3:$E$500,"&gt;="&amp;D208,$A$3:$A$500,"&lt;&gt;"&amp;A208)&gt;0)),0))</f>
        <v/>
      </c>
    </row>
    <row r="209">
      <c r="C209">
        <f>IFERROR(XLOOKUP(B209,Employees!$A$3:$A$500,Employees!$B$3:$B$500,""),"")</f>
        <v/>
      </c>
      <c r="I209">
        <f>IF(AND(B209&lt;&gt;"",D209&lt;&gt;"",E209&lt;&gt;""),E209-D209+1,"")</f>
        <v/>
      </c>
      <c r="J209">
        <f>IF(OR(B209="",D209="",E209=""),"",IF(OR(L209&lt;'Coverage Rules'!E7,M209&lt;'Coverage Rules'!E8,N209&lt;'Coverage Rules'!C8,O209&lt;'Coverage Rules'!E9,P209&lt;'Coverage Rules'!E10,Q209&gt;='Coverage Rules'!B16,R209&gt;='Coverage Rules'!B17,IF(S209="",FALSE,S209&gt;='Coverage Rules'!D24)),"Denied","OK"))</f>
        <v/>
      </c>
      <c r="L209">
        <f>IF(B209="","",IFERROR(SUMPRODUCT((LEN(Employees!$A$3:$A$500)&gt;0)*(Employees!$T$3:$T$500=1)*(COUNTIFS($B$3:$B$500,Employees!$A$3:$A$500,$H$3:$H$500,"Approved",$D$3:$D$500,"&lt;="&amp;E209,$E$3:$E$500,"&gt;="&amp;D209,$A$3:$A$500,"&lt;&gt;"&amp;A209)=0)),0))</f>
        <v/>
      </c>
      <c r="M209">
        <f>IF(B209="","",IFERROR(SUMPRODUCT((LEN(Employees!$A$3:$A$500)&gt;0)*(Employees!$U$3:$U$500=1)*(COUNTIFS($B$3:$B$500,Employees!$A$3:$A$500,$H$3:$H$500,"Approved",$D$3:$D$500,"&lt;="&amp;E209,$E$3:$E$500,"&gt;="&amp;D209,$A$3:$A$500,"&lt;&gt;"&amp;A209)=0)),0))</f>
        <v/>
      </c>
      <c r="N209">
        <f>IF(B209="","",IFERROR(SUMPRODUCT((LEN(Employees!$A$3:$A$500)&gt;0)*(Employees!$B$3:$B$500="Manager")*(Employees!$U$3:$U$500=1)*(COUNTIFS($B$3:$B$500,Employees!$A$3:$A$500,$H$3:$H$500,"Approved",$D$3:$D$500,"&lt;="&amp;E209,$E$3:$E$500,"&gt;="&amp;D209,$A$3:$A$500,"&lt;&gt;"&amp;A209)=0)),0))</f>
        <v/>
      </c>
      <c r="O209">
        <f>IF(B209="","",IFERROR(SUMPRODUCT((LEN(Employees!$A$3:$A$500)&gt;0)*(Employees!$V$3:$V$500=1)*(COUNTIFS($B$3:$B$500,Employees!$A$3:$A$500,$H$3:$H$500,"Approved",$D$3:$D$500,"&lt;="&amp;E209,$E$3:$E$500,"&gt;="&amp;D209,$A$3:$A$500,"&lt;&gt;"&amp;A209)=0)),0))</f>
        <v/>
      </c>
      <c r="P209">
        <f>IF(B209="","",IFERROR(SUMPRODUCT((LEN(Employees!$A$3:$A$500)&gt;0)*(Employees!$W$3:$W$500=1)*(COUNTIFS($B$3:$B$500,Employees!$A$3:$A$500,$H$3:$H$500,"Approved",$D$3:$D$500,"&lt;="&amp;E209,$E$3:$E$500,"&gt;="&amp;D209,$A$3:$A$500,"&lt;&gt;"&amp;A209)=0)),0))</f>
        <v/>
      </c>
      <c r="Q209">
        <f>IF(B209="","",IFERROR(SUMPRODUCT((LEN(Employees!$A$3:$A$500)&gt;0)*(Employees!$N$3:$N$500=1)*(COUNTIFS($B$3:$B$500,Employees!$A$3:$A$500,$H$3:$H$500,"Approved",$D$3:$D$500,"&lt;="&amp;E209,$E$3:$E$500,"&gt;="&amp;D209,$A$3:$A$500,"&lt;&gt;"&amp;A209)&gt;0)),0))</f>
        <v/>
      </c>
      <c r="R209">
        <f>IF(B209="","",IFERROR(SUMPRODUCT((LEN(Employees!$A$3:$A$500)&gt;0)*(Employees!$O$3:$O$500=1)*(COUNTIFS($B$3:$B$500,Employees!$A$3:$A$500,$H$3:$H$500,"Approved",$D$3:$D$500,"&lt;="&amp;E209,$E$3:$E$500,"&gt;="&amp;D209,$A$3:$A$500,"&lt;&gt;"&amp;A209)&gt;0)),0))</f>
        <v/>
      </c>
      <c r="S209">
        <f>IF(OR(B209="",IFERROR(XLOOKUP(B209,Employees!$A$3:$A$500,Employees!$G$3:$G$500,""),"")=""),"",IFERROR(SUMPRODUCT((LEN(Employees!$A$3:$A$500)&gt;0)*(Employees!$G$3:$G$500=IFERROR(XLOOKUP(B209,Employees!$A$3:$A$500,Employees!$G$3:$G$500,""),""))*(COUNTIFS($B$3:$B$500,Employees!$A$3:$A$500,$H$3:$H$500,"Approved",$D$3:$D$500,"&lt;="&amp;E209,$E$3:$E$500,"&gt;="&amp;D209,$A$3:$A$500,"&lt;&gt;"&amp;A209)&gt;0)),0))</f>
        <v/>
      </c>
    </row>
    <row r="210">
      <c r="C210">
        <f>IFERROR(XLOOKUP(B210,Employees!$A$3:$A$500,Employees!$B$3:$B$500,""),"")</f>
        <v/>
      </c>
      <c r="I210">
        <f>IF(AND(B210&lt;&gt;"",D210&lt;&gt;"",E210&lt;&gt;""),E210-D210+1,"")</f>
        <v/>
      </c>
      <c r="J210">
        <f>IF(OR(B210="",D210="",E210=""),"",IF(OR(L210&lt;'Coverage Rules'!E7,M210&lt;'Coverage Rules'!E8,N210&lt;'Coverage Rules'!C8,O210&lt;'Coverage Rules'!E9,P210&lt;'Coverage Rules'!E10,Q210&gt;='Coverage Rules'!B16,R210&gt;='Coverage Rules'!B17,IF(S210="",FALSE,S210&gt;='Coverage Rules'!D24)),"Denied","OK"))</f>
        <v/>
      </c>
      <c r="L210">
        <f>IF(B210="","",IFERROR(SUMPRODUCT((LEN(Employees!$A$3:$A$500)&gt;0)*(Employees!$T$3:$T$500=1)*(COUNTIFS($B$3:$B$500,Employees!$A$3:$A$500,$H$3:$H$500,"Approved",$D$3:$D$500,"&lt;="&amp;E210,$E$3:$E$500,"&gt;="&amp;D210,$A$3:$A$500,"&lt;&gt;"&amp;A210)=0)),0))</f>
        <v/>
      </c>
      <c r="M210">
        <f>IF(B210="","",IFERROR(SUMPRODUCT((LEN(Employees!$A$3:$A$500)&gt;0)*(Employees!$U$3:$U$500=1)*(COUNTIFS($B$3:$B$500,Employees!$A$3:$A$500,$H$3:$H$500,"Approved",$D$3:$D$500,"&lt;="&amp;E210,$E$3:$E$500,"&gt;="&amp;D210,$A$3:$A$500,"&lt;&gt;"&amp;A210)=0)),0))</f>
        <v/>
      </c>
      <c r="N210">
        <f>IF(B210="","",IFERROR(SUMPRODUCT((LEN(Employees!$A$3:$A$500)&gt;0)*(Employees!$B$3:$B$500="Manager")*(Employees!$U$3:$U$500=1)*(COUNTIFS($B$3:$B$500,Employees!$A$3:$A$500,$H$3:$H$500,"Approved",$D$3:$D$500,"&lt;="&amp;E210,$E$3:$E$500,"&gt;="&amp;D210,$A$3:$A$500,"&lt;&gt;"&amp;A210)=0)),0))</f>
        <v/>
      </c>
      <c r="O210">
        <f>IF(B210="","",IFERROR(SUMPRODUCT((LEN(Employees!$A$3:$A$500)&gt;0)*(Employees!$V$3:$V$500=1)*(COUNTIFS($B$3:$B$500,Employees!$A$3:$A$500,$H$3:$H$500,"Approved",$D$3:$D$500,"&lt;="&amp;E210,$E$3:$E$500,"&gt;="&amp;D210,$A$3:$A$500,"&lt;&gt;"&amp;A210)=0)),0))</f>
        <v/>
      </c>
      <c r="P210">
        <f>IF(B210="","",IFERROR(SUMPRODUCT((LEN(Employees!$A$3:$A$500)&gt;0)*(Employees!$W$3:$W$500=1)*(COUNTIFS($B$3:$B$500,Employees!$A$3:$A$500,$H$3:$H$500,"Approved",$D$3:$D$500,"&lt;="&amp;E210,$E$3:$E$500,"&gt;="&amp;D210,$A$3:$A$500,"&lt;&gt;"&amp;A210)=0)),0))</f>
        <v/>
      </c>
      <c r="Q210">
        <f>IF(B210="","",IFERROR(SUMPRODUCT((LEN(Employees!$A$3:$A$500)&gt;0)*(Employees!$N$3:$N$500=1)*(COUNTIFS($B$3:$B$500,Employees!$A$3:$A$500,$H$3:$H$500,"Approved",$D$3:$D$500,"&lt;="&amp;E210,$E$3:$E$500,"&gt;="&amp;D210,$A$3:$A$500,"&lt;&gt;"&amp;A210)&gt;0)),0))</f>
        <v/>
      </c>
      <c r="R210">
        <f>IF(B210="","",IFERROR(SUMPRODUCT((LEN(Employees!$A$3:$A$500)&gt;0)*(Employees!$O$3:$O$500=1)*(COUNTIFS($B$3:$B$500,Employees!$A$3:$A$500,$H$3:$H$500,"Approved",$D$3:$D$500,"&lt;="&amp;E210,$E$3:$E$500,"&gt;="&amp;D210,$A$3:$A$500,"&lt;&gt;"&amp;A210)&gt;0)),0))</f>
        <v/>
      </c>
      <c r="S210">
        <f>IF(OR(B210="",IFERROR(XLOOKUP(B210,Employees!$A$3:$A$500,Employees!$G$3:$G$500,""),"")=""),"",IFERROR(SUMPRODUCT((LEN(Employees!$A$3:$A$500)&gt;0)*(Employees!$G$3:$G$500=IFERROR(XLOOKUP(B210,Employees!$A$3:$A$500,Employees!$G$3:$G$500,""),""))*(COUNTIFS($B$3:$B$500,Employees!$A$3:$A$500,$H$3:$H$500,"Approved",$D$3:$D$500,"&lt;="&amp;E210,$E$3:$E$500,"&gt;="&amp;D210,$A$3:$A$500,"&lt;&gt;"&amp;A210)&gt;0)),0))</f>
        <v/>
      </c>
    </row>
    <row r="211">
      <c r="C211">
        <f>IFERROR(XLOOKUP(B211,Employees!$A$3:$A$500,Employees!$B$3:$B$500,""),"")</f>
        <v/>
      </c>
      <c r="I211">
        <f>IF(AND(B211&lt;&gt;"",D211&lt;&gt;"",E211&lt;&gt;""),E211-D211+1,"")</f>
        <v/>
      </c>
      <c r="J211">
        <f>IF(OR(B211="",D211="",E211=""),"",IF(OR(L211&lt;'Coverage Rules'!E7,M211&lt;'Coverage Rules'!E8,N211&lt;'Coverage Rules'!C8,O211&lt;'Coverage Rules'!E9,P211&lt;'Coverage Rules'!E10,Q211&gt;='Coverage Rules'!B16,R211&gt;='Coverage Rules'!B17,IF(S211="",FALSE,S211&gt;='Coverage Rules'!D24)),"Denied","OK"))</f>
        <v/>
      </c>
      <c r="L211">
        <f>IF(B211="","",IFERROR(SUMPRODUCT((LEN(Employees!$A$3:$A$500)&gt;0)*(Employees!$T$3:$T$500=1)*(COUNTIFS($B$3:$B$500,Employees!$A$3:$A$500,$H$3:$H$500,"Approved",$D$3:$D$500,"&lt;="&amp;E211,$E$3:$E$500,"&gt;="&amp;D211,$A$3:$A$500,"&lt;&gt;"&amp;A211)=0)),0))</f>
        <v/>
      </c>
      <c r="M211">
        <f>IF(B211="","",IFERROR(SUMPRODUCT((LEN(Employees!$A$3:$A$500)&gt;0)*(Employees!$U$3:$U$500=1)*(COUNTIFS($B$3:$B$500,Employees!$A$3:$A$500,$H$3:$H$500,"Approved",$D$3:$D$500,"&lt;="&amp;E211,$E$3:$E$500,"&gt;="&amp;D211,$A$3:$A$500,"&lt;&gt;"&amp;A211)=0)),0))</f>
        <v/>
      </c>
      <c r="N211">
        <f>IF(B211="","",IFERROR(SUMPRODUCT((LEN(Employees!$A$3:$A$500)&gt;0)*(Employees!$B$3:$B$500="Manager")*(Employees!$U$3:$U$500=1)*(COUNTIFS($B$3:$B$500,Employees!$A$3:$A$500,$H$3:$H$500,"Approved",$D$3:$D$500,"&lt;="&amp;E211,$E$3:$E$500,"&gt;="&amp;D211,$A$3:$A$500,"&lt;&gt;"&amp;A211)=0)),0))</f>
        <v/>
      </c>
      <c r="O211">
        <f>IF(B211="","",IFERROR(SUMPRODUCT((LEN(Employees!$A$3:$A$500)&gt;0)*(Employees!$V$3:$V$500=1)*(COUNTIFS($B$3:$B$500,Employees!$A$3:$A$500,$H$3:$H$500,"Approved",$D$3:$D$500,"&lt;="&amp;E211,$E$3:$E$500,"&gt;="&amp;D211,$A$3:$A$500,"&lt;&gt;"&amp;A211)=0)),0))</f>
        <v/>
      </c>
      <c r="P211">
        <f>IF(B211="","",IFERROR(SUMPRODUCT((LEN(Employees!$A$3:$A$500)&gt;0)*(Employees!$W$3:$W$500=1)*(COUNTIFS($B$3:$B$500,Employees!$A$3:$A$500,$H$3:$H$500,"Approved",$D$3:$D$500,"&lt;="&amp;E211,$E$3:$E$500,"&gt;="&amp;D211,$A$3:$A$500,"&lt;&gt;"&amp;A211)=0)),0))</f>
        <v/>
      </c>
      <c r="Q211">
        <f>IF(B211="","",IFERROR(SUMPRODUCT((LEN(Employees!$A$3:$A$500)&gt;0)*(Employees!$N$3:$N$500=1)*(COUNTIFS($B$3:$B$500,Employees!$A$3:$A$500,$H$3:$H$500,"Approved",$D$3:$D$500,"&lt;="&amp;E211,$E$3:$E$500,"&gt;="&amp;D211,$A$3:$A$500,"&lt;&gt;"&amp;A211)&gt;0)),0))</f>
        <v/>
      </c>
      <c r="R211">
        <f>IF(B211="","",IFERROR(SUMPRODUCT((LEN(Employees!$A$3:$A$500)&gt;0)*(Employees!$O$3:$O$500=1)*(COUNTIFS($B$3:$B$500,Employees!$A$3:$A$500,$H$3:$H$500,"Approved",$D$3:$D$500,"&lt;="&amp;E211,$E$3:$E$500,"&gt;="&amp;D211,$A$3:$A$500,"&lt;&gt;"&amp;A211)&gt;0)),0))</f>
        <v/>
      </c>
      <c r="S211">
        <f>IF(OR(B211="",IFERROR(XLOOKUP(B211,Employees!$A$3:$A$500,Employees!$G$3:$G$500,""),"")=""),"",IFERROR(SUMPRODUCT((LEN(Employees!$A$3:$A$500)&gt;0)*(Employees!$G$3:$G$500=IFERROR(XLOOKUP(B211,Employees!$A$3:$A$500,Employees!$G$3:$G$500,""),""))*(COUNTIFS($B$3:$B$500,Employees!$A$3:$A$500,$H$3:$H$500,"Approved",$D$3:$D$500,"&lt;="&amp;E211,$E$3:$E$500,"&gt;="&amp;D211,$A$3:$A$500,"&lt;&gt;"&amp;A211)&gt;0)),0))</f>
        <v/>
      </c>
    </row>
    <row r="212">
      <c r="C212">
        <f>IFERROR(XLOOKUP(B212,Employees!$A$3:$A$500,Employees!$B$3:$B$500,""),"")</f>
        <v/>
      </c>
      <c r="I212">
        <f>IF(AND(B212&lt;&gt;"",D212&lt;&gt;"",E212&lt;&gt;""),E212-D212+1,"")</f>
        <v/>
      </c>
      <c r="J212">
        <f>IF(OR(B212="",D212="",E212=""),"",IF(OR(L212&lt;'Coverage Rules'!E7,M212&lt;'Coverage Rules'!E8,N212&lt;'Coverage Rules'!C8,O212&lt;'Coverage Rules'!E9,P212&lt;'Coverage Rules'!E10,Q212&gt;='Coverage Rules'!B16,R212&gt;='Coverage Rules'!B17,IF(S212="",FALSE,S212&gt;='Coverage Rules'!D24)),"Denied","OK"))</f>
        <v/>
      </c>
      <c r="L212">
        <f>IF(B212="","",IFERROR(SUMPRODUCT((LEN(Employees!$A$3:$A$500)&gt;0)*(Employees!$T$3:$T$500=1)*(COUNTIFS($B$3:$B$500,Employees!$A$3:$A$500,$H$3:$H$500,"Approved",$D$3:$D$500,"&lt;="&amp;E212,$E$3:$E$500,"&gt;="&amp;D212,$A$3:$A$500,"&lt;&gt;"&amp;A212)=0)),0))</f>
        <v/>
      </c>
      <c r="M212">
        <f>IF(B212="","",IFERROR(SUMPRODUCT((LEN(Employees!$A$3:$A$500)&gt;0)*(Employees!$U$3:$U$500=1)*(COUNTIFS($B$3:$B$500,Employees!$A$3:$A$500,$H$3:$H$500,"Approved",$D$3:$D$500,"&lt;="&amp;E212,$E$3:$E$500,"&gt;="&amp;D212,$A$3:$A$500,"&lt;&gt;"&amp;A212)=0)),0))</f>
        <v/>
      </c>
      <c r="N212">
        <f>IF(B212="","",IFERROR(SUMPRODUCT((LEN(Employees!$A$3:$A$500)&gt;0)*(Employees!$B$3:$B$500="Manager")*(Employees!$U$3:$U$500=1)*(COUNTIFS($B$3:$B$500,Employees!$A$3:$A$500,$H$3:$H$500,"Approved",$D$3:$D$500,"&lt;="&amp;E212,$E$3:$E$500,"&gt;="&amp;D212,$A$3:$A$500,"&lt;&gt;"&amp;A212)=0)),0))</f>
        <v/>
      </c>
      <c r="O212">
        <f>IF(B212="","",IFERROR(SUMPRODUCT((LEN(Employees!$A$3:$A$500)&gt;0)*(Employees!$V$3:$V$500=1)*(COUNTIFS($B$3:$B$500,Employees!$A$3:$A$500,$H$3:$H$500,"Approved",$D$3:$D$500,"&lt;="&amp;E212,$E$3:$E$500,"&gt;="&amp;D212,$A$3:$A$500,"&lt;&gt;"&amp;A212)=0)),0))</f>
        <v/>
      </c>
      <c r="P212">
        <f>IF(B212="","",IFERROR(SUMPRODUCT((LEN(Employees!$A$3:$A$500)&gt;0)*(Employees!$W$3:$W$500=1)*(COUNTIFS($B$3:$B$500,Employees!$A$3:$A$500,$H$3:$H$500,"Approved",$D$3:$D$500,"&lt;="&amp;E212,$E$3:$E$500,"&gt;="&amp;D212,$A$3:$A$500,"&lt;&gt;"&amp;A212)=0)),0))</f>
        <v/>
      </c>
      <c r="Q212">
        <f>IF(B212="","",IFERROR(SUMPRODUCT((LEN(Employees!$A$3:$A$500)&gt;0)*(Employees!$N$3:$N$500=1)*(COUNTIFS($B$3:$B$500,Employees!$A$3:$A$500,$H$3:$H$500,"Approved",$D$3:$D$500,"&lt;="&amp;E212,$E$3:$E$500,"&gt;="&amp;D212,$A$3:$A$500,"&lt;&gt;"&amp;A212)&gt;0)),0))</f>
        <v/>
      </c>
      <c r="R212">
        <f>IF(B212="","",IFERROR(SUMPRODUCT((LEN(Employees!$A$3:$A$500)&gt;0)*(Employees!$O$3:$O$500=1)*(COUNTIFS($B$3:$B$500,Employees!$A$3:$A$500,$H$3:$H$500,"Approved",$D$3:$D$500,"&lt;="&amp;E212,$E$3:$E$500,"&gt;="&amp;D212,$A$3:$A$500,"&lt;&gt;"&amp;A212)&gt;0)),0))</f>
        <v/>
      </c>
      <c r="S212">
        <f>IF(OR(B212="",IFERROR(XLOOKUP(B212,Employees!$A$3:$A$500,Employees!$G$3:$G$500,""),"")=""),"",IFERROR(SUMPRODUCT((LEN(Employees!$A$3:$A$500)&gt;0)*(Employees!$G$3:$G$500=IFERROR(XLOOKUP(B212,Employees!$A$3:$A$500,Employees!$G$3:$G$500,""),""))*(COUNTIFS($B$3:$B$500,Employees!$A$3:$A$500,$H$3:$H$500,"Approved",$D$3:$D$500,"&lt;="&amp;E212,$E$3:$E$500,"&gt;="&amp;D212,$A$3:$A$500,"&lt;&gt;"&amp;A212)&gt;0)),0))</f>
        <v/>
      </c>
    </row>
    <row r="213">
      <c r="C213">
        <f>IFERROR(XLOOKUP(B213,Employees!$A$3:$A$500,Employees!$B$3:$B$500,""),"")</f>
        <v/>
      </c>
      <c r="I213">
        <f>IF(AND(B213&lt;&gt;"",D213&lt;&gt;"",E213&lt;&gt;""),E213-D213+1,"")</f>
        <v/>
      </c>
      <c r="J213">
        <f>IF(OR(B213="",D213="",E213=""),"",IF(OR(L213&lt;'Coverage Rules'!E7,M213&lt;'Coverage Rules'!E8,N213&lt;'Coverage Rules'!C8,O213&lt;'Coverage Rules'!E9,P213&lt;'Coverage Rules'!E10,Q213&gt;='Coverage Rules'!B16,R213&gt;='Coverage Rules'!B17,IF(S213="",FALSE,S213&gt;='Coverage Rules'!D24)),"Denied","OK"))</f>
        <v/>
      </c>
      <c r="L213">
        <f>IF(B213="","",IFERROR(SUMPRODUCT((LEN(Employees!$A$3:$A$500)&gt;0)*(Employees!$T$3:$T$500=1)*(COUNTIFS($B$3:$B$500,Employees!$A$3:$A$500,$H$3:$H$500,"Approved",$D$3:$D$500,"&lt;="&amp;E213,$E$3:$E$500,"&gt;="&amp;D213,$A$3:$A$500,"&lt;&gt;"&amp;A213)=0)),0))</f>
        <v/>
      </c>
      <c r="M213">
        <f>IF(B213="","",IFERROR(SUMPRODUCT((LEN(Employees!$A$3:$A$500)&gt;0)*(Employees!$U$3:$U$500=1)*(COUNTIFS($B$3:$B$500,Employees!$A$3:$A$500,$H$3:$H$500,"Approved",$D$3:$D$500,"&lt;="&amp;E213,$E$3:$E$500,"&gt;="&amp;D213,$A$3:$A$500,"&lt;&gt;"&amp;A213)=0)),0))</f>
        <v/>
      </c>
      <c r="N213">
        <f>IF(B213="","",IFERROR(SUMPRODUCT((LEN(Employees!$A$3:$A$500)&gt;0)*(Employees!$B$3:$B$500="Manager")*(Employees!$U$3:$U$500=1)*(COUNTIFS($B$3:$B$500,Employees!$A$3:$A$500,$H$3:$H$500,"Approved",$D$3:$D$500,"&lt;="&amp;E213,$E$3:$E$500,"&gt;="&amp;D213,$A$3:$A$500,"&lt;&gt;"&amp;A213)=0)),0))</f>
        <v/>
      </c>
      <c r="O213">
        <f>IF(B213="","",IFERROR(SUMPRODUCT((LEN(Employees!$A$3:$A$500)&gt;0)*(Employees!$V$3:$V$500=1)*(COUNTIFS($B$3:$B$500,Employees!$A$3:$A$500,$H$3:$H$500,"Approved",$D$3:$D$500,"&lt;="&amp;E213,$E$3:$E$500,"&gt;="&amp;D213,$A$3:$A$500,"&lt;&gt;"&amp;A213)=0)),0))</f>
        <v/>
      </c>
      <c r="P213">
        <f>IF(B213="","",IFERROR(SUMPRODUCT((LEN(Employees!$A$3:$A$500)&gt;0)*(Employees!$W$3:$W$500=1)*(COUNTIFS($B$3:$B$500,Employees!$A$3:$A$500,$H$3:$H$500,"Approved",$D$3:$D$500,"&lt;="&amp;E213,$E$3:$E$500,"&gt;="&amp;D213,$A$3:$A$500,"&lt;&gt;"&amp;A213)=0)),0))</f>
        <v/>
      </c>
      <c r="Q213">
        <f>IF(B213="","",IFERROR(SUMPRODUCT((LEN(Employees!$A$3:$A$500)&gt;0)*(Employees!$N$3:$N$500=1)*(COUNTIFS($B$3:$B$500,Employees!$A$3:$A$500,$H$3:$H$500,"Approved",$D$3:$D$500,"&lt;="&amp;E213,$E$3:$E$500,"&gt;="&amp;D213,$A$3:$A$500,"&lt;&gt;"&amp;A213)&gt;0)),0))</f>
        <v/>
      </c>
      <c r="R213">
        <f>IF(B213="","",IFERROR(SUMPRODUCT((LEN(Employees!$A$3:$A$500)&gt;0)*(Employees!$O$3:$O$500=1)*(COUNTIFS($B$3:$B$500,Employees!$A$3:$A$500,$H$3:$H$500,"Approved",$D$3:$D$500,"&lt;="&amp;E213,$E$3:$E$500,"&gt;="&amp;D213,$A$3:$A$500,"&lt;&gt;"&amp;A213)&gt;0)),0))</f>
        <v/>
      </c>
      <c r="S213">
        <f>IF(OR(B213="",IFERROR(XLOOKUP(B213,Employees!$A$3:$A$500,Employees!$G$3:$G$500,""),"")=""),"",IFERROR(SUMPRODUCT((LEN(Employees!$A$3:$A$500)&gt;0)*(Employees!$G$3:$G$500=IFERROR(XLOOKUP(B213,Employees!$A$3:$A$500,Employees!$G$3:$G$500,""),""))*(COUNTIFS($B$3:$B$500,Employees!$A$3:$A$500,$H$3:$H$500,"Approved",$D$3:$D$500,"&lt;="&amp;E213,$E$3:$E$500,"&gt;="&amp;D213,$A$3:$A$500,"&lt;&gt;"&amp;A213)&gt;0)),0))</f>
        <v/>
      </c>
    </row>
    <row r="214">
      <c r="C214">
        <f>IFERROR(XLOOKUP(B214,Employees!$A$3:$A$500,Employees!$B$3:$B$500,""),"")</f>
        <v/>
      </c>
      <c r="I214">
        <f>IF(AND(B214&lt;&gt;"",D214&lt;&gt;"",E214&lt;&gt;""),E214-D214+1,"")</f>
        <v/>
      </c>
      <c r="J214">
        <f>IF(OR(B214="",D214="",E214=""),"",IF(OR(L214&lt;'Coverage Rules'!E7,M214&lt;'Coverage Rules'!E8,N214&lt;'Coverage Rules'!C8,O214&lt;'Coverage Rules'!E9,P214&lt;'Coverage Rules'!E10,Q214&gt;='Coverage Rules'!B16,R214&gt;='Coverage Rules'!B17,IF(S214="",FALSE,S214&gt;='Coverage Rules'!D24)),"Denied","OK"))</f>
        <v/>
      </c>
      <c r="L214">
        <f>IF(B214="","",IFERROR(SUMPRODUCT((LEN(Employees!$A$3:$A$500)&gt;0)*(Employees!$T$3:$T$500=1)*(COUNTIFS($B$3:$B$500,Employees!$A$3:$A$500,$H$3:$H$500,"Approved",$D$3:$D$500,"&lt;="&amp;E214,$E$3:$E$500,"&gt;="&amp;D214,$A$3:$A$500,"&lt;&gt;"&amp;A214)=0)),0))</f>
        <v/>
      </c>
      <c r="M214">
        <f>IF(B214="","",IFERROR(SUMPRODUCT((LEN(Employees!$A$3:$A$500)&gt;0)*(Employees!$U$3:$U$500=1)*(COUNTIFS($B$3:$B$500,Employees!$A$3:$A$500,$H$3:$H$500,"Approved",$D$3:$D$500,"&lt;="&amp;E214,$E$3:$E$500,"&gt;="&amp;D214,$A$3:$A$500,"&lt;&gt;"&amp;A214)=0)),0))</f>
        <v/>
      </c>
      <c r="N214">
        <f>IF(B214="","",IFERROR(SUMPRODUCT((LEN(Employees!$A$3:$A$500)&gt;0)*(Employees!$B$3:$B$500="Manager")*(Employees!$U$3:$U$500=1)*(COUNTIFS($B$3:$B$500,Employees!$A$3:$A$500,$H$3:$H$500,"Approved",$D$3:$D$500,"&lt;="&amp;E214,$E$3:$E$500,"&gt;="&amp;D214,$A$3:$A$500,"&lt;&gt;"&amp;A214)=0)),0))</f>
        <v/>
      </c>
      <c r="O214">
        <f>IF(B214="","",IFERROR(SUMPRODUCT((LEN(Employees!$A$3:$A$500)&gt;0)*(Employees!$V$3:$V$500=1)*(COUNTIFS($B$3:$B$500,Employees!$A$3:$A$500,$H$3:$H$500,"Approved",$D$3:$D$500,"&lt;="&amp;E214,$E$3:$E$500,"&gt;="&amp;D214,$A$3:$A$500,"&lt;&gt;"&amp;A214)=0)),0))</f>
        <v/>
      </c>
      <c r="P214">
        <f>IF(B214="","",IFERROR(SUMPRODUCT((LEN(Employees!$A$3:$A$500)&gt;0)*(Employees!$W$3:$W$500=1)*(COUNTIFS($B$3:$B$500,Employees!$A$3:$A$500,$H$3:$H$500,"Approved",$D$3:$D$500,"&lt;="&amp;E214,$E$3:$E$500,"&gt;="&amp;D214,$A$3:$A$500,"&lt;&gt;"&amp;A214)=0)),0))</f>
        <v/>
      </c>
      <c r="Q214">
        <f>IF(B214="","",IFERROR(SUMPRODUCT((LEN(Employees!$A$3:$A$500)&gt;0)*(Employees!$N$3:$N$500=1)*(COUNTIFS($B$3:$B$500,Employees!$A$3:$A$500,$H$3:$H$500,"Approved",$D$3:$D$500,"&lt;="&amp;E214,$E$3:$E$500,"&gt;="&amp;D214,$A$3:$A$500,"&lt;&gt;"&amp;A214)&gt;0)),0))</f>
        <v/>
      </c>
      <c r="R214">
        <f>IF(B214="","",IFERROR(SUMPRODUCT((LEN(Employees!$A$3:$A$500)&gt;0)*(Employees!$O$3:$O$500=1)*(COUNTIFS($B$3:$B$500,Employees!$A$3:$A$500,$H$3:$H$500,"Approved",$D$3:$D$500,"&lt;="&amp;E214,$E$3:$E$500,"&gt;="&amp;D214,$A$3:$A$500,"&lt;&gt;"&amp;A214)&gt;0)),0))</f>
        <v/>
      </c>
      <c r="S214">
        <f>IF(OR(B214="",IFERROR(XLOOKUP(B214,Employees!$A$3:$A$500,Employees!$G$3:$G$500,""),"")=""),"",IFERROR(SUMPRODUCT((LEN(Employees!$A$3:$A$500)&gt;0)*(Employees!$G$3:$G$500=IFERROR(XLOOKUP(B214,Employees!$A$3:$A$500,Employees!$G$3:$G$500,""),""))*(COUNTIFS($B$3:$B$500,Employees!$A$3:$A$500,$H$3:$H$500,"Approved",$D$3:$D$500,"&lt;="&amp;E214,$E$3:$E$500,"&gt;="&amp;D214,$A$3:$A$500,"&lt;&gt;"&amp;A214)&gt;0)),0))</f>
        <v/>
      </c>
    </row>
    <row r="215">
      <c r="C215">
        <f>IFERROR(XLOOKUP(B215,Employees!$A$3:$A$500,Employees!$B$3:$B$500,""),"")</f>
        <v/>
      </c>
      <c r="I215">
        <f>IF(AND(B215&lt;&gt;"",D215&lt;&gt;"",E215&lt;&gt;""),E215-D215+1,"")</f>
        <v/>
      </c>
      <c r="J215">
        <f>IF(OR(B215="",D215="",E215=""),"",IF(OR(L215&lt;'Coverage Rules'!E7,M215&lt;'Coverage Rules'!E8,N215&lt;'Coverage Rules'!C8,O215&lt;'Coverage Rules'!E9,P215&lt;'Coverage Rules'!E10,Q215&gt;='Coverage Rules'!B16,R215&gt;='Coverage Rules'!B17,IF(S215="",FALSE,S215&gt;='Coverage Rules'!D24)),"Denied","OK"))</f>
        <v/>
      </c>
      <c r="L215">
        <f>IF(B215="","",IFERROR(SUMPRODUCT((LEN(Employees!$A$3:$A$500)&gt;0)*(Employees!$T$3:$T$500=1)*(COUNTIFS($B$3:$B$500,Employees!$A$3:$A$500,$H$3:$H$500,"Approved",$D$3:$D$500,"&lt;="&amp;E215,$E$3:$E$500,"&gt;="&amp;D215,$A$3:$A$500,"&lt;&gt;"&amp;A215)=0)),0))</f>
        <v/>
      </c>
      <c r="M215">
        <f>IF(B215="","",IFERROR(SUMPRODUCT((LEN(Employees!$A$3:$A$500)&gt;0)*(Employees!$U$3:$U$500=1)*(COUNTIFS($B$3:$B$500,Employees!$A$3:$A$500,$H$3:$H$500,"Approved",$D$3:$D$500,"&lt;="&amp;E215,$E$3:$E$500,"&gt;="&amp;D215,$A$3:$A$500,"&lt;&gt;"&amp;A215)=0)),0))</f>
        <v/>
      </c>
      <c r="N215">
        <f>IF(B215="","",IFERROR(SUMPRODUCT((LEN(Employees!$A$3:$A$500)&gt;0)*(Employees!$B$3:$B$500="Manager")*(Employees!$U$3:$U$500=1)*(COUNTIFS($B$3:$B$500,Employees!$A$3:$A$500,$H$3:$H$500,"Approved",$D$3:$D$500,"&lt;="&amp;E215,$E$3:$E$500,"&gt;="&amp;D215,$A$3:$A$500,"&lt;&gt;"&amp;A215)=0)),0))</f>
        <v/>
      </c>
      <c r="O215">
        <f>IF(B215="","",IFERROR(SUMPRODUCT((LEN(Employees!$A$3:$A$500)&gt;0)*(Employees!$V$3:$V$500=1)*(COUNTIFS($B$3:$B$500,Employees!$A$3:$A$500,$H$3:$H$500,"Approved",$D$3:$D$500,"&lt;="&amp;E215,$E$3:$E$500,"&gt;="&amp;D215,$A$3:$A$500,"&lt;&gt;"&amp;A215)=0)),0))</f>
        <v/>
      </c>
      <c r="P215">
        <f>IF(B215="","",IFERROR(SUMPRODUCT((LEN(Employees!$A$3:$A$500)&gt;0)*(Employees!$W$3:$W$500=1)*(COUNTIFS($B$3:$B$500,Employees!$A$3:$A$500,$H$3:$H$500,"Approved",$D$3:$D$500,"&lt;="&amp;E215,$E$3:$E$500,"&gt;="&amp;D215,$A$3:$A$500,"&lt;&gt;"&amp;A215)=0)),0))</f>
        <v/>
      </c>
      <c r="Q215">
        <f>IF(B215="","",IFERROR(SUMPRODUCT((LEN(Employees!$A$3:$A$500)&gt;0)*(Employees!$N$3:$N$500=1)*(COUNTIFS($B$3:$B$500,Employees!$A$3:$A$500,$H$3:$H$500,"Approved",$D$3:$D$500,"&lt;="&amp;E215,$E$3:$E$500,"&gt;="&amp;D215,$A$3:$A$500,"&lt;&gt;"&amp;A215)&gt;0)),0))</f>
        <v/>
      </c>
      <c r="R215">
        <f>IF(B215="","",IFERROR(SUMPRODUCT((LEN(Employees!$A$3:$A$500)&gt;0)*(Employees!$O$3:$O$500=1)*(COUNTIFS($B$3:$B$500,Employees!$A$3:$A$500,$H$3:$H$500,"Approved",$D$3:$D$500,"&lt;="&amp;E215,$E$3:$E$500,"&gt;="&amp;D215,$A$3:$A$500,"&lt;&gt;"&amp;A215)&gt;0)),0))</f>
        <v/>
      </c>
      <c r="S215">
        <f>IF(OR(B215="",IFERROR(XLOOKUP(B215,Employees!$A$3:$A$500,Employees!$G$3:$G$500,""),"")=""),"",IFERROR(SUMPRODUCT((LEN(Employees!$A$3:$A$500)&gt;0)*(Employees!$G$3:$G$500=IFERROR(XLOOKUP(B215,Employees!$A$3:$A$500,Employees!$G$3:$G$500,""),""))*(COUNTIFS($B$3:$B$500,Employees!$A$3:$A$500,$H$3:$H$500,"Approved",$D$3:$D$500,"&lt;="&amp;E215,$E$3:$E$500,"&gt;="&amp;D215,$A$3:$A$500,"&lt;&gt;"&amp;A215)&gt;0)),0))</f>
        <v/>
      </c>
    </row>
    <row r="216">
      <c r="C216">
        <f>IFERROR(XLOOKUP(B216,Employees!$A$3:$A$500,Employees!$B$3:$B$500,""),"")</f>
        <v/>
      </c>
      <c r="I216">
        <f>IF(AND(B216&lt;&gt;"",D216&lt;&gt;"",E216&lt;&gt;""),E216-D216+1,"")</f>
        <v/>
      </c>
      <c r="J216">
        <f>IF(OR(B216="",D216="",E216=""),"",IF(OR(L216&lt;'Coverage Rules'!E7,M216&lt;'Coverage Rules'!E8,N216&lt;'Coverage Rules'!C8,O216&lt;'Coverage Rules'!E9,P216&lt;'Coverage Rules'!E10,Q216&gt;='Coverage Rules'!B16,R216&gt;='Coverage Rules'!B17,IF(S216="",FALSE,S216&gt;='Coverage Rules'!D24)),"Denied","OK"))</f>
        <v/>
      </c>
      <c r="L216">
        <f>IF(B216="","",IFERROR(SUMPRODUCT((LEN(Employees!$A$3:$A$500)&gt;0)*(Employees!$T$3:$T$500=1)*(COUNTIFS($B$3:$B$500,Employees!$A$3:$A$500,$H$3:$H$500,"Approved",$D$3:$D$500,"&lt;="&amp;E216,$E$3:$E$500,"&gt;="&amp;D216,$A$3:$A$500,"&lt;&gt;"&amp;A216)=0)),0))</f>
        <v/>
      </c>
      <c r="M216">
        <f>IF(B216="","",IFERROR(SUMPRODUCT((LEN(Employees!$A$3:$A$500)&gt;0)*(Employees!$U$3:$U$500=1)*(COUNTIFS($B$3:$B$500,Employees!$A$3:$A$500,$H$3:$H$500,"Approved",$D$3:$D$500,"&lt;="&amp;E216,$E$3:$E$500,"&gt;="&amp;D216,$A$3:$A$500,"&lt;&gt;"&amp;A216)=0)),0))</f>
        <v/>
      </c>
      <c r="N216">
        <f>IF(B216="","",IFERROR(SUMPRODUCT((LEN(Employees!$A$3:$A$500)&gt;0)*(Employees!$B$3:$B$500="Manager")*(Employees!$U$3:$U$500=1)*(COUNTIFS($B$3:$B$500,Employees!$A$3:$A$500,$H$3:$H$500,"Approved",$D$3:$D$500,"&lt;="&amp;E216,$E$3:$E$500,"&gt;="&amp;D216,$A$3:$A$500,"&lt;&gt;"&amp;A216)=0)),0))</f>
        <v/>
      </c>
      <c r="O216">
        <f>IF(B216="","",IFERROR(SUMPRODUCT((LEN(Employees!$A$3:$A$500)&gt;0)*(Employees!$V$3:$V$500=1)*(COUNTIFS($B$3:$B$500,Employees!$A$3:$A$500,$H$3:$H$500,"Approved",$D$3:$D$500,"&lt;="&amp;E216,$E$3:$E$500,"&gt;="&amp;D216,$A$3:$A$500,"&lt;&gt;"&amp;A216)=0)),0))</f>
        <v/>
      </c>
      <c r="P216">
        <f>IF(B216="","",IFERROR(SUMPRODUCT((LEN(Employees!$A$3:$A$500)&gt;0)*(Employees!$W$3:$W$500=1)*(COUNTIFS($B$3:$B$500,Employees!$A$3:$A$500,$H$3:$H$500,"Approved",$D$3:$D$500,"&lt;="&amp;E216,$E$3:$E$500,"&gt;="&amp;D216,$A$3:$A$500,"&lt;&gt;"&amp;A216)=0)),0))</f>
        <v/>
      </c>
      <c r="Q216">
        <f>IF(B216="","",IFERROR(SUMPRODUCT((LEN(Employees!$A$3:$A$500)&gt;0)*(Employees!$N$3:$N$500=1)*(COUNTIFS($B$3:$B$500,Employees!$A$3:$A$500,$H$3:$H$500,"Approved",$D$3:$D$500,"&lt;="&amp;E216,$E$3:$E$500,"&gt;="&amp;D216,$A$3:$A$500,"&lt;&gt;"&amp;A216)&gt;0)),0))</f>
        <v/>
      </c>
      <c r="R216">
        <f>IF(B216="","",IFERROR(SUMPRODUCT((LEN(Employees!$A$3:$A$500)&gt;0)*(Employees!$O$3:$O$500=1)*(COUNTIFS($B$3:$B$500,Employees!$A$3:$A$500,$H$3:$H$500,"Approved",$D$3:$D$500,"&lt;="&amp;E216,$E$3:$E$500,"&gt;="&amp;D216,$A$3:$A$500,"&lt;&gt;"&amp;A216)&gt;0)),0))</f>
        <v/>
      </c>
      <c r="S216">
        <f>IF(OR(B216="",IFERROR(XLOOKUP(B216,Employees!$A$3:$A$500,Employees!$G$3:$G$500,""),"")=""),"",IFERROR(SUMPRODUCT((LEN(Employees!$A$3:$A$500)&gt;0)*(Employees!$G$3:$G$500=IFERROR(XLOOKUP(B216,Employees!$A$3:$A$500,Employees!$G$3:$G$500,""),""))*(COUNTIFS($B$3:$B$500,Employees!$A$3:$A$500,$H$3:$H$500,"Approved",$D$3:$D$500,"&lt;="&amp;E216,$E$3:$E$500,"&gt;="&amp;D216,$A$3:$A$500,"&lt;&gt;"&amp;A216)&gt;0)),0))</f>
        <v/>
      </c>
    </row>
    <row r="217">
      <c r="C217">
        <f>IFERROR(XLOOKUP(B217,Employees!$A$3:$A$500,Employees!$B$3:$B$500,""),"")</f>
        <v/>
      </c>
      <c r="I217">
        <f>IF(AND(B217&lt;&gt;"",D217&lt;&gt;"",E217&lt;&gt;""),E217-D217+1,"")</f>
        <v/>
      </c>
      <c r="J217">
        <f>IF(OR(B217="",D217="",E217=""),"",IF(OR(L217&lt;'Coverage Rules'!E7,M217&lt;'Coverage Rules'!E8,N217&lt;'Coverage Rules'!C8,O217&lt;'Coverage Rules'!E9,P217&lt;'Coverage Rules'!E10,Q217&gt;='Coverage Rules'!B16,R217&gt;='Coverage Rules'!B17,IF(S217="",FALSE,S217&gt;='Coverage Rules'!D24)),"Denied","OK"))</f>
        <v/>
      </c>
      <c r="L217">
        <f>IF(B217="","",IFERROR(SUMPRODUCT((LEN(Employees!$A$3:$A$500)&gt;0)*(Employees!$T$3:$T$500=1)*(COUNTIFS($B$3:$B$500,Employees!$A$3:$A$500,$H$3:$H$500,"Approved",$D$3:$D$500,"&lt;="&amp;E217,$E$3:$E$500,"&gt;="&amp;D217,$A$3:$A$500,"&lt;&gt;"&amp;A217)=0)),0))</f>
        <v/>
      </c>
      <c r="M217">
        <f>IF(B217="","",IFERROR(SUMPRODUCT((LEN(Employees!$A$3:$A$500)&gt;0)*(Employees!$U$3:$U$500=1)*(COUNTIFS($B$3:$B$500,Employees!$A$3:$A$500,$H$3:$H$500,"Approved",$D$3:$D$500,"&lt;="&amp;E217,$E$3:$E$500,"&gt;="&amp;D217,$A$3:$A$500,"&lt;&gt;"&amp;A217)=0)),0))</f>
        <v/>
      </c>
      <c r="N217">
        <f>IF(B217="","",IFERROR(SUMPRODUCT((LEN(Employees!$A$3:$A$500)&gt;0)*(Employees!$B$3:$B$500="Manager")*(Employees!$U$3:$U$500=1)*(COUNTIFS($B$3:$B$500,Employees!$A$3:$A$500,$H$3:$H$500,"Approved",$D$3:$D$500,"&lt;="&amp;E217,$E$3:$E$500,"&gt;="&amp;D217,$A$3:$A$500,"&lt;&gt;"&amp;A217)=0)),0))</f>
        <v/>
      </c>
      <c r="O217">
        <f>IF(B217="","",IFERROR(SUMPRODUCT((LEN(Employees!$A$3:$A$500)&gt;0)*(Employees!$V$3:$V$500=1)*(COUNTIFS($B$3:$B$500,Employees!$A$3:$A$500,$H$3:$H$500,"Approved",$D$3:$D$500,"&lt;="&amp;E217,$E$3:$E$500,"&gt;="&amp;D217,$A$3:$A$500,"&lt;&gt;"&amp;A217)=0)),0))</f>
        <v/>
      </c>
      <c r="P217">
        <f>IF(B217="","",IFERROR(SUMPRODUCT((LEN(Employees!$A$3:$A$500)&gt;0)*(Employees!$W$3:$W$500=1)*(COUNTIFS($B$3:$B$500,Employees!$A$3:$A$500,$H$3:$H$500,"Approved",$D$3:$D$500,"&lt;="&amp;E217,$E$3:$E$500,"&gt;="&amp;D217,$A$3:$A$500,"&lt;&gt;"&amp;A217)=0)),0))</f>
        <v/>
      </c>
      <c r="Q217">
        <f>IF(B217="","",IFERROR(SUMPRODUCT((LEN(Employees!$A$3:$A$500)&gt;0)*(Employees!$N$3:$N$500=1)*(COUNTIFS($B$3:$B$500,Employees!$A$3:$A$500,$H$3:$H$500,"Approved",$D$3:$D$500,"&lt;="&amp;E217,$E$3:$E$500,"&gt;="&amp;D217,$A$3:$A$500,"&lt;&gt;"&amp;A217)&gt;0)),0))</f>
        <v/>
      </c>
      <c r="R217">
        <f>IF(B217="","",IFERROR(SUMPRODUCT((LEN(Employees!$A$3:$A$500)&gt;0)*(Employees!$O$3:$O$500=1)*(COUNTIFS($B$3:$B$500,Employees!$A$3:$A$500,$H$3:$H$500,"Approved",$D$3:$D$500,"&lt;="&amp;E217,$E$3:$E$500,"&gt;="&amp;D217,$A$3:$A$500,"&lt;&gt;"&amp;A217)&gt;0)),0))</f>
        <v/>
      </c>
      <c r="S217">
        <f>IF(OR(B217="",IFERROR(XLOOKUP(B217,Employees!$A$3:$A$500,Employees!$G$3:$G$500,""),"")=""),"",IFERROR(SUMPRODUCT((LEN(Employees!$A$3:$A$500)&gt;0)*(Employees!$G$3:$G$500=IFERROR(XLOOKUP(B217,Employees!$A$3:$A$500,Employees!$G$3:$G$500,""),""))*(COUNTIFS($B$3:$B$500,Employees!$A$3:$A$500,$H$3:$H$500,"Approved",$D$3:$D$500,"&lt;="&amp;E217,$E$3:$E$500,"&gt;="&amp;D217,$A$3:$A$500,"&lt;&gt;"&amp;A217)&gt;0)),0))</f>
        <v/>
      </c>
    </row>
    <row r="218">
      <c r="C218">
        <f>IFERROR(XLOOKUP(B218,Employees!$A$3:$A$500,Employees!$B$3:$B$500,""),"")</f>
        <v/>
      </c>
      <c r="I218">
        <f>IF(AND(B218&lt;&gt;"",D218&lt;&gt;"",E218&lt;&gt;""),E218-D218+1,"")</f>
        <v/>
      </c>
      <c r="J218">
        <f>IF(OR(B218="",D218="",E218=""),"",IF(OR(L218&lt;'Coverage Rules'!E7,M218&lt;'Coverage Rules'!E8,N218&lt;'Coverage Rules'!C8,O218&lt;'Coverage Rules'!E9,P218&lt;'Coverage Rules'!E10,Q218&gt;='Coverage Rules'!B16,R218&gt;='Coverage Rules'!B17,IF(S218="",FALSE,S218&gt;='Coverage Rules'!D24)),"Denied","OK"))</f>
        <v/>
      </c>
      <c r="L218">
        <f>IF(B218="","",IFERROR(SUMPRODUCT((LEN(Employees!$A$3:$A$500)&gt;0)*(Employees!$T$3:$T$500=1)*(COUNTIFS($B$3:$B$500,Employees!$A$3:$A$500,$H$3:$H$500,"Approved",$D$3:$D$500,"&lt;="&amp;E218,$E$3:$E$500,"&gt;="&amp;D218,$A$3:$A$500,"&lt;&gt;"&amp;A218)=0)),0))</f>
        <v/>
      </c>
      <c r="M218">
        <f>IF(B218="","",IFERROR(SUMPRODUCT((LEN(Employees!$A$3:$A$500)&gt;0)*(Employees!$U$3:$U$500=1)*(COUNTIFS($B$3:$B$500,Employees!$A$3:$A$500,$H$3:$H$500,"Approved",$D$3:$D$500,"&lt;="&amp;E218,$E$3:$E$500,"&gt;="&amp;D218,$A$3:$A$500,"&lt;&gt;"&amp;A218)=0)),0))</f>
        <v/>
      </c>
      <c r="N218">
        <f>IF(B218="","",IFERROR(SUMPRODUCT((LEN(Employees!$A$3:$A$500)&gt;0)*(Employees!$B$3:$B$500="Manager")*(Employees!$U$3:$U$500=1)*(COUNTIFS($B$3:$B$500,Employees!$A$3:$A$500,$H$3:$H$500,"Approved",$D$3:$D$500,"&lt;="&amp;E218,$E$3:$E$500,"&gt;="&amp;D218,$A$3:$A$500,"&lt;&gt;"&amp;A218)=0)),0))</f>
        <v/>
      </c>
      <c r="O218">
        <f>IF(B218="","",IFERROR(SUMPRODUCT((LEN(Employees!$A$3:$A$500)&gt;0)*(Employees!$V$3:$V$500=1)*(COUNTIFS($B$3:$B$500,Employees!$A$3:$A$500,$H$3:$H$500,"Approved",$D$3:$D$500,"&lt;="&amp;E218,$E$3:$E$500,"&gt;="&amp;D218,$A$3:$A$500,"&lt;&gt;"&amp;A218)=0)),0))</f>
        <v/>
      </c>
      <c r="P218">
        <f>IF(B218="","",IFERROR(SUMPRODUCT((LEN(Employees!$A$3:$A$500)&gt;0)*(Employees!$W$3:$W$500=1)*(COUNTIFS($B$3:$B$500,Employees!$A$3:$A$500,$H$3:$H$500,"Approved",$D$3:$D$500,"&lt;="&amp;E218,$E$3:$E$500,"&gt;="&amp;D218,$A$3:$A$500,"&lt;&gt;"&amp;A218)=0)),0))</f>
        <v/>
      </c>
      <c r="Q218">
        <f>IF(B218="","",IFERROR(SUMPRODUCT((LEN(Employees!$A$3:$A$500)&gt;0)*(Employees!$N$3:$N$500=1)*(COUNTIFS($B$3:$B$500,Employees!$A$3:$A$500,$H$3:$H$500,"Approved",$D$3:$D$500,"&lt;="&amp;E218,$E$3:$E$500,"&gt;="&amp;D218,$A$3:$A$500,"&lt;&gt;"&amp;A218)&gt;0)),0))</f>
        <v/>
      </c>
      <c r="R218">
        <f>IF(B218="","",IFERROR(SUMPRODUCT((LEN(Employees!$A$3:$A$500)&gt;0)*(Employees!$O$3:$O$500=1)*(COUNTIFS($B$3:$B$500,Employees!$A$3:$A$500,$H$3:$H$500,"Approved",$D$3:$D$500,"&lt;="&amp;E218,$E$3:$E$500,"&gt;="&amp;D218,$A$3:$A$500,"&lt;&gt;"&amp;A218)&gt;0)),0))</f>
        <v/>
      </c>
      <c r="S218">
        <f>IF(OR(B218="",IFERROR(XLOOKUP(B218,Employees!$A$3:$A$500,Employees!$G$3:$G$500,""),"")=""),"",IFERROR(SUMPRODUCT((LEN(Employees!$A$3:$A$500)&gt;0)*(Employees!$G$3:$G$500=IFERROR(XLOOKUP(B218,Employees!$A$3:$A$500,Employees!$G$3:$G$500,""),""))*(COUNTIFS($B$3:$B$500,Employees!$A$3:$A$500,$H$3:$H$500,"Approved",$D$3:$D$500,"&lt;="&amp;E218,$E$3:$E$500,"&gt;="&amp;D218,$A$3:$A$500,"&lt;&gt;"&amp;A218)&gt;0)),0))</f>
        <v/>
      </c>
    </row>
    <row r="219">
      <c r="C219">
        <f>IFERROR(XLOOKUP(B219,Employees!$A$3:$A$500,Employees!$B$3:$B$500,""),"")</f>
        <v/>
      </c>
      <c r="I219">
        <f>IF(AND(B219&lt;&gt;"",D219&lt;&gt;"",E219&lt;&gt;""),E219-D219+1,"")</f>
        <v/>
      </c>
      <c r="J219">
        <f>IF(OR(B219="",D219="",E219=""),"",IF(OR(L219&lt;'Coverage Rules'!E7,M219&lt;'Coverage Rules'!E8,N219&lt;'Coverage Rules'!C8,O219&lt;'Coverage Rules'!E9,P219&lt;'Coverage Rules'!E10,Q219&gt;='Coverage Rules'!B16,R219&gt;='Coverage Rules'!B17,IF(S219="",FALSE,S219&gt;='Coverage Rules'!D24)),"Denied","OK"))</f>
        <v/>
      </c>
      <c r="L219">
        <f>IF(B219="","",IFERROR(SUMPRODUCT((LEN(Employees!$A$3:$A$500)&gt;0)*(Employees!$T$3:$T$500=1)*(COUNTIFS($B$3:$B$500,Employees!$A$3:$A$500,$H$3:$H$500,"Approved",$D$3:$D$500,"&lt;="&amp;E219,$E$3:$E$500,"&gt;="&amp;D219,$A$3:$A$500,"&lt;&gt;"&amp;A219)=0)),0))</f>
        <v/>
      </c>
      <c r="M219">
        <f>IF(B219="","",IFERROR(SUMPRODUCT((LEN(Employees!$A$3:$A$500)&gt;0)*(Employees!$U$3:$U$500=1)*(COUNTIFS($B$3:$B$500,Employees!$A$3:$A$500,$H$3:$H$500,"Approved",$D$3:$D$500,"&lt;="&amp;E219,$E$3:$E$500,"&gt;="&amp;D219,$A$3:$A$500,"&lt;&gt;"&amp;A219)=0)),0))</f>
        <v/>
      </c>
      <c r="N219">
        <f>IF(B219="","",IFERROR(SUMPRODUCT((LEN(Employees!$A$3:$A$500)&gt;0)*(Employees!$B$3:$B$500="Manager")*(Employees!$U$3:$U$500=1)*(COUNTIFS($B$3:$B$500,Employees!$A$3:$A$500,$H$3:$H$500,"Approved",$D$3:$D$500,"&lt;="&amp;E219,$E$3:$E$500,"&gt;="&amp;D219,$A$3:$A$500,"&lt;&gt;"&amp;A219)=0)),0))</f>
        <v/>
      </c>
      <c r="O219">
        <f>IF(B219="","",IFERROR(SUMPRODUCT((LEN(Employees!$A$3:$A$500)&gt;0)*(Employees!$V$3:$V$500=1)*(COUNTIFS($B$3:$B$500,Employees!$A$3:$A$500,$H$3:$H$500,"Approved",$D$3:$D$500,"&lt;="&amp;E219,$E$3:$E$500,"&gt;="&amp;D219,$A$3:$A$500,"&lt;&gt;"&amp;A219)=0)),0))</f>
        <v/>
      </c>
      <c r="P219">
        <f>IF(B219="","",IFERROR(SUMPRODUCT((LEN(Employees!$A$3:$A$500)&gt;0)*(Employees!$W$3:$W$500=1)*(COUNTIFS($B$3:$B$500,Employees!$A$3:$A$500,$H$3:$H$500,"Approved",$D$3:$D$500,"&lt;="&amp;E219,$E$3:$E$500,"&gt;="&amp;D219,$A$3:$A$500,"&lt;&gt;"&amp;A219)=0)),0))</f>
        <v/>
      </c>
      <c r="Q219">
        <f>IF(B219="","",IFERROR(SUMPRODUCT((LEN(Employees!$A$3:$A$500)&gt;0)*(Employees!$N$3:$N$500=1)*(COUNTIFS($B$3:$B$500,Employees!$A$3:$A$500,$H$3:$H$500,"Approved",$D$3:$D$500,"&lt;="&amp;E219,$E$3:$E$500,"&gt;="&amp;D219,$A$3:$A$500,"&lt;&gt;"&amp;A219)&gt;0)),0))</f>
        <v/>
      </c>
      <c r="R219">
        <f>IF(B219="","",IFERROR(SUMPRODUCT((LEN(Employees!$A$3:$A$500)&gt;0)*(Employees!$O$3:$O$500=1)*(COUNTIFS($B$3:$B$500,Employees!$A$3:$A$500,$H$3:$H$500,"Approved",$D$3:$D$500,"&lt;="&amp;E219,$E$3:$E$500,"&gt;="&amp;D219,$A$3:$A$500,"&lt;&gt;"&amp;A219)&gt;0)),0))</f>
        <v/>
      </c>
      <c r="S219">
        <f>IF(OR(B219="",IFERROR(XLOOKUP(B219,Employees!$A$3:$A$500,Employees!$G$3:$G$500,""),"")=""),"",IFERROR(SUMPRODUCT((LEN(Employees!$A$3:$A$500)&gt;0)*(Employees!$G$3:$G$500=IFERROR(XLOOKUP(B219,Employees!$A$3:$A$500,Employees!$G$3:$G$500,""),""))*(COUNTIFS($B$3:$B$500,Employees!$A$3:$A$500,$H$3:$H$500,"Approved",$D$3:$D$500,"&lt;="&amp;E219,$E$3:$E$500,"&gt;="&amp;D219,$A$3:$A$500,"&lt;&gt;"&amp;A219)&gt;0)),0))</f>
        <v/>
      </c>
    </row>
    <row r="220">
      <c r="C220">
        <f>IFERROR(XLOOKUP(B220,Employees!$A$3:$A$500,Employees!$B$3:$B$500,""),"")</f>
        <v/>
      </c>
      <c r="I220">
        <f>IF(AND(B220&lt;&gt;"",D220&lt;&gt;"",E220&lt;&gt;""),E220-D220+1,"")</f>
        <v/>
      </c>
      <c r="J220">
        <f>IF(OR(B220="",D220="",E220=""),"",IF(OR(L220&lt;'Coverage Rules'!E7,M220&lt;'Coverage Rules'!E8,N220&lt;'Coverage Rules'!C8,O220&lt;'Coverage Rules'!E9,P220&lt;'Coverage Rules'!E10,Q220&gt;='Coverage Rules'!B16,R220&gt;='Coverage Rules'!B17,IF(S220="",FALSE,S220&gt;='Coverage Rules'!D24)),"Denied","OK"))</f>
        <v/>
      </c>
      <c r="L220">
        <f>IF(B220="","",IFERROR(SUMPRODUCT((LEN(Employees!$A$3:$A$500)&gt;0)*(Employees!$T$3:$T$500=1)*(COUNTIFS($B$3:$B$500,Employees!$A$3:$A$500,$H$3:$H$500,"Approved",$D$3:$D$500,"&lt;="&amp;E220,$E$3:$E$500,"&gt;="&amp;D220,$A$3:$A$500,"&lt;&gt;"&amp;A220)=0)),0))</f>
        <v/>
      </c>
      <c r="M220">
        <f>IF(B220="","",IFERROR(SUMPRODUCT((LEN(Employees!$A$3:$A$500)&gt;0)*(Employees!$U$3:$U$500=1)*(COUNTIFS($B$3:$B$500,Employees!$A$3:$A$500,$H$3:$H$500,"Approved",$D$3:$D$500,"&lt;="&amp;E220,$E$3:$E$500,"&gt;="&amp;D220,$A$3:$A$500,"&lt;&gt;"&amp;A220)=0)),0))</f>
        <v/>
      </c>
      <c r="N220">
        <f>IF(B220="","",IFERROR(SUMPRODUCT((LEN(Employees!$A$3:$A$500)&gt;0)*(Employees!$B$3:$B$500="Manager")*(Employees!$U$3:$U$500=1)*(COUNTIFS($B$3:$B$500,Employees!$A$3:$A$500,$H$3:$H$500,"Approved",$D$3:$D$500,"&lt;="&amp;E220,$E$3:$E$500,"&gt;="&amp;D220,$A$3:$A$500,"&lt;&gt;"&amp;A220)=0)),0))</f>
        <v/>
      </c>
      <c r="O220">
        <f>IF(B220="","",IFERROR(SUMPRODUCT((LEN(Employees!$A$3:$A$500)&gt;0)*(Employees!$V$3:$V$500=1)*(COUNTIFS($B$3:$B$500,Employees!$A$3:$A$500,$H$3:$H$500,"Approved",$D$3:$D$500,"&lt;="&amp;E220,$E$3:$E$500,"&gt;="&amp;D220,$A$3:$A$500,"&lt;&gt;"&amp;A220)=0)),0))</f>
        <v/>
      </c>
      <c r="P220">
        <f>IF(B220="","",IFERROR(SUMPRODUCT((LEN(Employees!$A$3:$A$500)&gt;0)*(Employees!$W$3:$W$500=1)*(COUNTIFS($B$3:$B$500,Employees!$A$3:$A$500,$H$3:$H$500,"Approved",$D$3:$D$500,"&lt;="&amp;E220,$E$3:$E$500,"&gt;="&amp;D220,$A$3:$A$500,"&lt;&gt;"&amp;A220)=0)),0))</f>
        <v/>
      </c>
      <c r="Q220">
        <f>IF(B220="","",IFERROR(SUMPRODUCT((LEN(Employees!$A$3:$A$500)&gt;0)*(Employees!$N$3:$N$500=1)*(COUNTIFS($B$3:$B$500,Employees!$A$3:$A$500,$H$3:$H$500,"Approved",$D$3:$D$500,"&lt;="&amp;E220,$E$3:$E$500,"&gt;="&amp;D220,$A$3:$A$500,"&lt;&gt;"&amp;A220)&gt;0)),0))</f>
        <v/>
      </c>
      <c r="R220">
        <f>IF(B220="","",IFERROR(SUMPRODUCT((LEN(Employees!$A$3:$A$500)&gt;0)*(Employees!$O$3:$O$500=1)*(COUNTIFS($B$3:$B$500,Employees!$A$3:$A$500,$H$3:$H$500,"Approved",$D$3:$D$500,"&lt;="&amp;E220,$E$3:$E$500,"&gt;="&amp;D220,$A$3:$A$500,"&lt;&gt;"&amp;A220)&gt;0)),0))</f>
        <v/>
      </c>
      <c r="S220">
        <f>IF(OR(B220="",IFERROR(XLOOKUP(B220,Employees!$A$3:$A$500,Employees!$G$3:$G$500,""),"")=""),"",IFERROR(SUMPRODUCT((LEN(Employees!$A$3:$A$500)&gt;0)*(Employees!$G$3:$G$500=IFERROR(XLOOKUP(B220,Employees!$A$3:$A$500,Employees!$G$3:$G$500,""),""))*(COUNTIFS($B$3:$B$500,Employees!$A$3:$A$500,$H$3:$H$500,"Approved",$D$3:$D$500,"&lt;="&amp;E220,$E$3:$E$500,"&gt;="&amp;D220,$A$3:$A$500,"&lt;&gt;"&amp;A220)&gt;0)),0))</f>
        <v/>
      </c>
    </row>
    <row r="221">
      <c r="C221">
        <f>IFERROR(XLOOKUP(B221,Employees!$A$3:$A$500,Employees!$B$3:$B$500,""),"")</f>
        <v/>
      </c>
      <c r="I221">
        <f>IF(AND(B221&lt;&gt;"",D221&lt;&gt;"",E221&lt;&gt;""),E221-D221+1,"")</f>
        <v/>
      </c>
      <c r="J221">
        <f>IF(OR(B221="",D221="",E221=""),"",IF(OR(L221&lt;'Coverage Rules'!E7,M221&lt;'Coverage Rules'!E8,N221&lt;'Coverage Rules'!C8,O221&lt;'Coverage Rules'!E9,P221&lt;'Coverage Rules'!E10,Q221&gt;='Coverage Rules'!B16,R221&gt;='Coverage Rules'!B17,IF(S221="",FALSE,S221&gt;='Coverage Rules'!D24)),"Denied","OK"))</f>
        <v/>
      </c>
      <c r="L221">
        <f>IF(B221="","",IFERROR(SUMPRODUCT((LEN(Employees!$A$3:$A$500)&gt;0)*(Employees!$T$3:$T$500=1)*(COUNTIFS($B$3:$B$500,Employees!$A$3:$A$500,$H$3:$H$500,"Approved",$D$3:$D$500,"&lt;="&amp;E221,$E$3:$E$500,"&gt;="&amp;D221,$A$3:$A$500,"&lt;&gt;"&amp;A221)=0)),0))</f>
        <v/>
      </c>
      <c r="M221">
        <f>IF(B221="","",IFERROR(SUMPRODUCT((LEN(Employees!$A$3:$A$500)&gt;0)*(Employees!$U$3:$U$500=1)*(COUNTIFS($B$3:$B$500,Employees!$A$3:$A$500,$H$3:$H$500,"Approved",$D$3:$D$500,"&lt;="&amp;E221,$E$3:$E$500,"&gt;="&amp;D221,$A$3:$A$500,"&lt;&gt;"&amp;A221)=0)),0))</f>
        <v/>
      </c>
      <c r="N221">
        <f>IF(B221="","",IFERROR(SUMPRODUCT((LEN(Employees!$A$3:$A$500)&gt;0)*(Employees!$B$3:$B$500="Manager")*(Employees!$U$3:$U$500=1)*(COUNTIFS($B$3:$B$500,Employees!$A$3:$A$500,$H$3:$H$500,"Approved",$D$3:$D$500,"&lt;="&amp;E221,$E$3:$E$500,"&gt;="&amp;D221,$A$3:$A$500,"&lt;&gt;"&amp;A221)=0)),0))</f>
        <v/>
      </c>
      <c r="O221">
        <f>IF(B221="","",IFERROR(SUMPRODUCT((LEN(Employees!$A$3:$A$500)&gt;0)*(Employees!$V$3:$V$500=1)*(COUNTIFS($B$3:$B$500,Employees!$A$3:$A$500,$H$3:$H$500,"Approved",$D$3:$D$500,"&lt;="&amp;E221,$E$3:$E$500,"&gt;="&amp;D221,$A$3:$A$500,"&lt;&gt;"&amp;A221)=0)),0))</f>
        <v/>
      </c>
      <c r="P221">
        <f>IF(B221="","",IFERROR(SUMPRODUCT((LEN(Employees!$A$3:$A$500)&gt;0)*(Employees!$W$3:$W$500=1)*(COUNTIFS($B$3:$B$500,Employees!$A$3:$A$500,$H$3:$H$500,"Approved",$D$3:$D$500,"&lt;="&amp;E221,$E$3:$E$500,"&gt;="&amp;D221,$A$3:$A$500,"&lt;&gt;"&amp;A221)=0)),0))</f>
        <v/>
      </c>
      <c r="Q221">
        <f>IF(B221="","",IFERROR(SUMPRODUCT((LEN(Employees!$A$3:$A$500)&gt;0)*(Employees!$N$3:$N$500=1)*(COUNTIFS($B$3:$B$500,Employees!$A$3:$A$500,$H$3:$H$500,"Approved",$D$3:$D$500,"&lt;="&amp;E221,$E$3:$E$500,"&gt;="&amp;D221,$A$3:$A$500,"&lt;&gt;"&amp;A221)&gt;0)),0))</f>
        <v/>
      </c>
      <c r="R221">
        <f>IF(B221="","",IFERROR(SUMPRODUCT((LEN(Employees!$A$3:$A$500)&gt;0)*(Employees!$O$3:$O$500=1)*(COUNTIFS($B$3:$B$500,Employees!$A$3:$A$500,$H$3:$H$500,"Approved",$D$3:$D$500,"&lt;="&amp;E221,$E$3:$E$500,"&gt;="&amp;D221,$A$3:$A$500,"&lt;&gt;"&amp;A221)&gt;0)),0))</f>
        <v/>
      </c>
      <c r="S221">
        <f>IF(OR(B221="",IFERROR(XLOOKUP(B221,Employees!$A$3:$A$500,Employees!$G$3:$G$500,""),"")=""),"",IFERROR(SUMPRODUCT((LEN(Employees!$A$3:$A$500)&gt;0)*(Employees!$G$3:$G$500=IFERROR(XLOOKUP(B221,Employees!$A$3:$A$500,Employees!$G$3:$G$500,""),""))*(COUNTIFS($B$3:$B$500,Employees!$A$3:$A$500,$H$3:$H$500,"Approved",$D$3:$D$500,"&lt;="&amp;E221,$E$3:$E$500,"&gt;="&amp;D221,$A$3:$A$500,"&lt;&gt;"&amp;A221)&gt;0)),0))</f>
        <v/>
      </c>
    </row>
    <row r="222">
      <c r="C222">
        <f>IFERROR(XLOOKUP(B222,Employees!$A$3:$A$500,Employees!$B$3:$B$500,""),"")</f>
        <v/>
      </c>
      <c r="I222">
        <f>IF(AND(B222&lt;&gt;"",D222&lt;&gt;"",E222&lt;&gt;""),E222-D222+1,"")</f>
        <v/>
      </c>
      <c r="J222">
        <f>IF(OR(B222="",D222="",E222=""),"",IF(OR(L222&lt;'Coverage Rules'!E7,M222&lt;'Coverage Rules'!E8,N222&lt;'Coverage Rules'!C8,O222&lt;'Coverage Rules'!E9,P222&lt;'Coverage Rules'!E10,Q222&gt;='Coverage Rules'!B16,R222&gt;='Coverage Rules'!B17,IF(S222="",FALSE,S222&gt;='Coverage Rules'!D24)),"Denied","OK"))</f>
        <v/>
      </c>
      <c r="L222">
        <f>IF(B222="","",IFERROR(SUMPRODUCT((LEN(Employees!$A$3:$A$500)&gt;0)*(Employees!$T$3:$T$500=1)*(COUNTIFS($B$3:$B$500,Employees!$A$3:$A$500,$H$3:$H$500,"Approved",$D$3:$D$500,"&lt;="&amp;E222,$E$3:$E$500,"&gt;="&amp;D222,$A$3:$A$500,"&lt;&gt;"&amp;A222)=0)),0))</f>
        <v/>
      </c>
      <c r="M222">
        <f>IF(B222="","",IFERROR(SUMPRODUCT((LEN(Employees!$A$3:$A$500)&gt;0)*(Employees!$U$3:$U$500=1)*(COUNTIFS($B$3:$B$500,Employees!$A$3:$A$500,$H$3:$H$500,"Approved",$D$3:$D$500,"&lt;="&amp;E222,$E$3:$E$500,"&gt;="&amp;D222,$A$3:$A$500,"&lt;&gt;"&amp;A222)=0)),0))</f>
        <v/>
      </c>
      <c r="N222">
        <f>IF(B222="","",IFERROR(SUMPRODUCT((LEN(Employees!$A$3:$A$500)&gt;0)*(Employees!$B$3:$B$500="Manager")*(Employees!$U$3:$U$500=1)*(COUNTIFS($B$3:$B$500,Employees!$A$3:$A$500,$H$3:$H$500,"Approved",$D$3:$D$500,"&lt;="&amp;E222,$E$3:$E$500,"&gt;="&amp;D222,$A$3:$A$500,"&lt;&gt;"&amp;A222)=0)),0))</f>
        <v/>
      </c>
      <c r="O222">
        <f>IF(B222="","",IFERROR(SUMPRODUCT((LEN(Employees!$A$3:$A$500)&gt;0)*(Employees!$V$3:$V$500=1)*(COUNTIFS($B$3:$B$500,Employees!$A$3:$A$500,$H$3:$H$500,"Approved",$D$3:$D$500,"&lt;="&amp;E222,$E$3:$E$500,"&gt;="&amp;D222,$A$3:$A$500,"&lt;&gt;"&amp;A222)=0)),0))</f>
        <v/>
      </c>
      <c r="P222">
        <f>IF(B222="","",IFERROR(SUMPRODUCT((LEN(Employees!$A$3:$A$500)&gt;0)*(Employees!$W$3:$W$500=1)*(COUNTIFS($B$3:$B$500,Employees!$A$3:$A$500,$H$3:$H$500,"Approved",$D$3:$D$500,"&lt;="&amp;E222,$E$3:$E$500,"&gt;="&amp;D222,$A$3:$A$500,"&lt;&gt;"&amp;A222)=0)),0))</f>
        <v/>
      </c>
      <c r="Q222">
        <f>IF(B222="","",IFERROR(SUMPRODUCT((LEN(Employees!$A$3:$A$500)&gt;0)*(Employees!$N$3:$N$500=1)*(COUNTIFS($B$3:$B$500,Employees!$A$3:$A$500,$H$3:$H$500,"Approved",$D$3:$D$500,"&lt;="&amp;E222,$E$3:$E$500,"&gt;="&amp;D222,$A$3:$A$500,"&lt;&gt;"&amp;A222)&gt;0)),0))</f>
        <v/>
      </c>
      <c r="R222">
        <f>IF(B222="","",IFERROR(SUMPRODUCT((LEN(Employees!$A$3:$A$500)&gt;0)*(Employees!$O$3:$O$500=1)*(COUNTIFS($B$3:$B$500,Employees!$A$3:$A$500,$H$3:$H$500,"Approved",$D$3:$D$500,"&lt;="&amp;E222,$E$3:$E$500,"&gt;="&amp;D222,$A$3:$A$500,"&lt;&gt;"&amp;A222)&gt;0)),0))</f>
        <v/>
      </c>
      <c r="S222">
        <f>IF(OR(B222="",IFERROR(XLOOKUP(B222,Employees!$A$3:$A$500,Employees!$G$3:$G$500,""),"")=""),"",IFERROR(SUMPRODUCT((LEN(Employees!$A$3:$A$500)&gt;0)*(Employees!$G$3:$G$500=IFERROR(XLOOKUP(B222,Employees!$A$3:$A$500,Employees!$G$3:$G$500,""),""))*(COUNTIFS($B$3:$B$500,Employees!$A$3:$A$500,$H$3:$H$500,"Approved",$D$3:$D$500,"&lt;="&amp;E222,$E$3:$E$500,"&gt;="&amp;D222,$A$3:$A$500,"&lt;&gt;"&amp;A222)&gt;0)),0))</f>
        <v/>
      </c>
    </row>
    <row r="223">
      <c r="C223">
        <f>IFERROR(XLOOKUP(B223,Employees!$A$3:$A$500,Employees!$B$3:$B$500,""),"")</f>
        <v/>
      </c>
      <c r="I223">
        <f>IF(AND(B223&lt;&gt;"",D223&lt;&gt;"",E223&lt;&gt;""),E223-D223+1,"")</f>
        <v/>
      </c>
      <c r="J223">
        <f>IF(OR(B223="",D223="",E223=""),"",IF(OR(L223&lt;'Coverage Rules'!E7,M223&lt;'Coverage Rules'!E8,N223&lt;'Coverage Rules'!C8,O223&lt;'Coverage Rules'!E9,P223&lt;'Coverage Rules'!E10,Q223&gt;='Coverage Rules'!B16,R223&gt;='Coverage Rules'!B17,IF(S223="",FALSE,S223&gt;='Coverage Rules'!D24)),"Denied","OK"))</f>
        <v/>
      </c>
      <c r="L223">
        <f>IF(B223="","",IFERROR(SUMPRODUCT((LEN(Employees!$A$3:$A$500)&gt;0)*(Employees!$T$3:$T$500=1)*(COUNTIFS($B$3:$B$500,Employees!$A$3:$A$500,$H$3:$H$500,"Approved",$D$3:$D$500,"&lt;="&amp;E223,$E$3:$E$500,"&gt;="&amp;D223,$A$3:$A$500,"&lt;&gt;"&amp;A223)=0)),0))</f>
        <v/>
      </c>
      <c r="M223">
        <f>IF(B223="","",IFERROR(SUMPRODUCT((LEN(Employees!$A$3:$A$500)&gt;0)*(Employees!$U$3:$U$500=1)*(COUNTIFS($B$3:$B$500,Employees!$A$3:$A$500,$H$3:$H$500,"Approved",$D$3:$D$500,"&lt;="&amp;E223,$E$3:$E$500,"&gt;="&amp;D223,$A$3:$A$500,"&lt;&gt;"&amp;A223)=0)),0))</f>
        <v/>
      </c>
      <c r="N223">
        <f>IF(B223="","",IFERROR(SUMPRODUCT((LEN(Employees!$A$3:$A$500)&gt;0)*(Employees!$B$3:$B$500="Manager")*(Employees!$U$3:$U$500=1)*(COUNTIFS($B$3:$B$500,Employees!$A$3:$A$500,$H$3:$H$500,"Approved",$D$3:$D$500,"&lt;="&amp;E223,$E$3:$E$500,"&gt;="&amp;D223,$A$3:$A$500,"&lt;&gt;"&amp;A223)=0)),0))</f>
        <v/>
      </c>
      <c r="O223">
        <f>IF(B223="","",IFERROR(SUMPRODUCT((LEN(Employees!$A$3:$A$500)&gt;0)*(Employees!$V$3:$V$500=1)*(COUNTIFS($B$3:$B$500,Employees!$A$3:$A$500,$H$3:$H$500,"Approved",$D$3:$D$500,"&lt;="&amp;E223,$E$3:$E$500,"&gt;="&amp;D223,$A$3:$A$500,"&lt;&gt;"&amp;A223)=0)),0))</f>
        <v/>
      </c>
      <c r="P223">
        <f>IF(B223="","",IFERROR(SUMPRODUCT((LEN(Employees!$A$3:$A$500)&gt;0)*(Employees!$W$3:$W$500=1)*(COUNTIFS($B$3:$B$500,Employees!$A$3:$A$500,$H$3:$H$500,"Approved",$D$3:$D$500,"&lt;="&amp;E223,$E$3:$E$500,"&gt;="&amp;D223,$A$3:$A$500,"&lt;&gt;"&amp;A223)=0)),0))</f>
        <v/>
      </c>
      <c r="Q223">
        <f>IF(B223="","",IFERROR(SUMPRODUCT((LEN(Employees!$A$3:$A$500)&gt;0)*(Employees!$N$3:$N$500=1)*(COUNTIFS($B$3:$B$500,Employees!$A$3:$A$500,$H$3:$H$500,"Approved",$D$3:$D$500,"&lt;="&amp;E223,$E$3:$E$500,"&gt;="&amp;D223,$A$3:$A$500,"&lt;&gt;"&amp;A223)&gt;0)),0))</f>
        <v/>
      </c>
      <c r="R223">
        <f>IF(B223="","",IFERROR(SUMPRODUCT((LEN(Employees!$A$3:$A$500)&gt;0)*(Employees!$O$3:$O$500=1)*(COUNTIFS($B$3:$B$500,Employees!$A$3:$A$500,$H$3:$H$500,"Approved",$D$3:$D$500,"&lt;="&amp;E223,$E$3:$E$500,"&gt;="&amp;D223,$A$3:$A$500,"&lt;&gt;"&amp;A223)&gt;0)),0))</f>
        <v/>
      </c>
      <c r="S223">
        <f>IF(OR(B223="",IFERROR(XLOOKUP(B223,Employees!$A$3:$A$500,Employees!$G$3:$G$500,""),"")=""),"",IFERROR(SUMPRODUCT((LEN(Employees!$A$3:$A$500)&gt;0)*(Employees!$G$3:$G$500=IFERROR(XLOOKUP(B223,Employees!$A$3:$A$500,Employees!$G$3:$G$500,""),""))*(COUNTIFS($B$3:$B$500,Employees!$A$3:$A$500,$H$3:$H$500,"Approved",$D$3:$D$500,"&lt;="&amp;E223,$E$3:$E$500,"&gt;="&amp;D223,$A$3:$A$500,"&lt;&gt;"&amp;A223)&gt;0)),0))</f>
        <v/>
      </c>
    </row>
    <row r="224">
      <c r="C224">
        <f>IFERROR(XLOOKUP(B224,Employees!$A$3:$A$500,Employees!$B$3:$B$500,""),"")</f>
        <v/>
      </c>
      <c r="I224">
        <f>IF(AND(B224&lt;&gt;"",D224&lt;&gt;"",E224&lt;&gt;""),E224-D224+1,"")</f>
        <v/>
      </c>
      <c r="J224">
        <f>IF(OR(B224="",D224="",E224=""),"",IF(OR(L224&lt;'Coverage Rules'!E7,M224&lt;'Coverage Rules'!E8,N224&lt;'Coverage Rules'!C8,O224&lt;'Coverage Rules'!E9,P224&lt;'Coverage Rules'!E10,Q224&gt;='Coverage Rules'!B16,R224&gt;='Coverage Rules'!B17,IF(S224="",FALSE,S224&gt;='Coverage Rules'!D24)),"Denied","OK"))</f>
        <v/>
      </c>
      <c r="L224">
        <f>IF(B224="","",IFERROR(SUMPRODUCT((LEN(Employees!$A$3:$A$500)&gt;0)*(Employees!$T$3:$T$500=1)*(COUNTIFS($B$3:$B$500,Employees!$A$3:$A$500,$H$3:$H$500,"Approved",$D$3:$D$500,"&lt;="&amp;E224,$E$3:$E$500,"&gt;="&amp;D224,$A$3:$A$500,"&lt;&gt;"&amp;A224)=0)),0))</f>
        <v/>
      </c>
      <c r="M224">
        <f>IF(B224="","",IFERROR(SUMPRODUCT((LEN(Employees!$A$3:$A$500)&gt;0)*(Employees!$U$3:$U$500=1)*(COUNTIFS($B$3:$B$500,Employees!$A$3:$A$500,$H$3:$H$500,"Approved",$D$3:$D$500,"&lt;="&amp;E224,$E$3:$E$500,"&gt;="&amp;D224,$A$3:$A$500,"&lt;&gt;"&amp;A224)=0)),0))</f>
        <v/>
      </c>
      <c r="N224">
        <f>IF(B224="","",IFERROR(SUMPRODUCT((LEN(Employees!$A$3:$A$500)&gt;0)*(Employees!$B$3:$B$500="Manager")*(Employees!$U$3:$U$500=1)*(COUNTIFS($B$3:$B$500,Employees!$A$3:$A$500,$H$3:$H$500,"Approved",$D$3:$D$500,"&lt;="&amp;E224,$E$3:$E$500,"&gt;="&amp;D224,$A$3:$A$500,"&lt;&gt;"&amp;A224)=0)),0))</f>
        <v/>
      </c>
      <c r="O224">
        <f>IF(B224="","",IFERROR(SUMPRODUCT((LEN(Employees!$A$3:$A$500)&gt;0)*(Employees!$V$3:$V$500=1)*(COUNTIFS($B$3:$B$500,Employees!$A$3:$A$500,$H$3:$H$500,"Approved",$D$3:$D$500,"&lt;="&amp;E224,$E$3:$E$500,"&gt;="&amp;D224,$A$3:$A$500,"&lt;&gt;"&amp;A224)=0)),0))</f>
        <v/>
      </c>
      <c r="P224">
        <f>IF(B224="","",IFERROR(SUMPRODUCT((LEN(Employees!$A$3:$A$500)&gt;0)*(Employees!$W$3:$W$500=1)*(COUNTIFS($B$3:$B$500,Employees!$A$3:$A$500,$H$3:$H$500,"Approved",$D$3:$D$500,"&lt;="&amp;E224,$E$3:$E$500,"&gt;="&amp;D224,$A$3:$A$500,"&lt;&gt;"&amp;A224)=0)),0))</f>
        <v/>
      </c>
      <c r="Q224">
        <f>IF(B224="","",IFERROR(SUMPRODUCT((LEN(Employees!$A$3:$A$500)&gt;0)*(Employees!$N$3:$N$500=1)*(COUNTIFS($B$3:$B$500,Employees!$A$3:$A$500,$H$3:$H$500,"Approved",$D$3:$D$500,"&lt;="&amp;E224,$E$3:$E$500,"&gt;="&amp;D224,$A$3:$A$500,"&lt;&gt;"&amp;A224)&gt;0)),0))</f>
        <v/>
      </c>
      <c r="R224">
        <f>IF(B224="","",IFERROR(SUMPRODUCT((LEN(Employees!$A$3:$A$500)&gt;0)*(Employees!$O$3:$O$500=1)*(COUNTIFS($B$3:$B$500,Employees!$A$3:$A$500,$H$3:$H$500,"Approved",$D$3:$D$500,"&lt;="&amp;E224,$E$3:$E$500,"&gt;="&amp;D224,$A$3:$A$500,"&lt;&gt;"&amp;A224)&gt;0)),0))</f>
        <v/>
      </c>
      <c r="S224">
        <f>IF(OR(B224="",IFERROR(XLOOKUP(B224,Employees!$A$3:$A$500,Employees!$G$3:$G$500,""),"")=""),"",IFERROR(SUMPRODUCT((LEN(Employees!$A$3:$A$500)&gt;0)*(Employees!$G$3:$G$500=IFERROR(XLOOKUP(B224,Employees!$A$3:$A$500,Employees!$G$3:$G$500,""),""))*(COUNTIFS($B$3:$B$500,Employees!$A$3:$A$500,$H$3:$H$500,"Approved",$D$3:$D$500,"&lt;="&amp;E224,$E$3:$E$500,"&gt;="&amp;D224,$A$3:$A$500,"&lt;&gt;"&amp;A224)&gt;0)),0))</f>
        <v/>
      </c>
    </row>
    <row r="225">
      <c r="C225">
        <f>IFERROR(XLOOKUP(B225,Employees!$A$3:$A$500,Employees!$B$3:$B$500,""),"")</f>
        <v/>
      </c>
      <c r="I225">
        <f>IF(AND(B225&lt;&gt;"",D225&lt;&gt;"",E225&lt;&gt;""),E225-D225+1,"")</f>
        <v/>
      </c>
      <c r="J225">
        <f>IF(OR(B225="",D225="",E225=""),"",IF(OR(L225&lt;'Coverage Rules'!E7,M225&lt;'Coverage Rules'!E8,N225&lt;'Coverage Rules'!C8,O225&lt;'Coverage Rules'!E9,P225&lt;'Coverage Rules'!E10,Q225&gt;='Coverage Rules'!B16,R225&gt;='Coverage Rules'!B17,IF(S225="",FALSE,S225&gt;='Coverage Rules'!D24)),"Denied","OK"))</f>
        <v/>
      </c>
      <c r="L225">
        <f>IF(B225="","",IFERROR(SUMPRODUCT((LEN(Employees!$A$3:$A$500)&gt;0)*(Employees!$T$3:$T$500=1)*(COUNTIFS($B$3:$B$500,Employees!$A$3:$A$500,$H$3:$H$500,"Approved",$D$3:$D$500,"&lt;="&amp;E225,$E$3:$E$500,"&gt;="&amp;D225,$A$3:$A$500,"&lt;&gt;"&amp;A225)=0)),0))</f>
        <v/>
      </c>
      <c r="M225">
        <f>IF(B225="","",IFERROR(SUMPRODUCT((LEN(Employees!$A$3:$A$500)&gt;0)*(Employees!$U$3:$U$500=1)*(COUNTIFS($B$3:$B$500,Employees!$A$3:$A$500,$H$3:$H$500,"Approved",$D$3:$D$500,"&lt;="&amp;E225,$E$3:$E$500,"&gt;="&amp;D225,$A$3:$A$500,"&lt;&gt;"&amp;A225)=0)),0))</f>
        <v/>
      </c>
      <c r="N225">
        <f>IF(B225="","",IFERROR(SUMPRODUCT((LEN(Employees!$A$3:$A$500)&gt;0)*(Employees!$B$3:$B$500="Manager")*(Employees!$U$3:$U$500=1)*(COUNTIFS($B$3:$B$500,Employees!$A$3:$A$500,$H$3:$H$500,"Approved",$D$3:$D$500,"&lt;="&amp;E225,$E$3:$E$500,"&gt;="&amp;D225,$A$3:$A$500,"&lt;&gt;"&amp;A225)=0)),0))</f>
        <v/>
      </c>
      <c r="O225">
        <f>IF(B225="","",IFERROR(SUMPRODUCT((LEN(Employees!$A$3:$A$500)&gt;0)*(Employees!$V$3:$V$500=1)*(COUNTIFS($B$3:$B$500,Employees!$A$3:$A$500,$H$3:$H$500,"Approved",$D$3:$D$500,"&lt;="&amp;E225,$E$3:$E$500,"&gt;="&amp;D225,$A$3:$A$500,"&lt;&gt;"&amp;A225)=0)),0))</f>
        <v/>
      </c>
      <c r="P225">
        <f>IF(B225="","",IFERROR(SUMPRODUCT((LEN(Employees!$A$3:$A$500)&gt;0)*(Employees!$W$3:$W$500=1)*(COUNTIFS($B$3:$B$500,Employees!$A$3:$A$500,$H$3:$H$500,"Approved",$D$3:$D$500,"&lt;="&amp;E225,$E$3:$E$500,"&gt;="&amp;D225,$A$3:$A$500,"&lt;&gt;"&amp;A225)=0)),0))</f>
        <v/>
      </c>
      <c r="Q225">
        <f>IF(B225="","",IFERROR(SUMPRODUCT((LEN(Employees!$A$3:$A$500)&gt;0)*(Employees!$N$3:$N$500=1)*(COUNTIFS($B$3:$B$500,Employees!$A$3:$A$500,$H$3:$H$500,"Approved",$D$3:$D$500,"&lt;="&amp;E225,$E$3:$E$500,"&gt;="&amp;D225,$A$3:$A$500,"&lt;&gt;"&amp;A225)&gt;0)),0))</f>
        <v/>
      </c>
      <c r="R225">
        <f>IF(B225="","",IFERROR(SUMPRODUCT((LEN(Employees!$A$3:$A$500)&gt;0)*(Employees!$O$3:$O$500=1)*(COUNTIFS($B$3:$B$500,Employees!$A$3:$A$500,$H$3:$H$500,"Approved",$D$3:$D$500,"&lt;="&amp;E225,$E$3:$E$500,"&gt;="&amp;D225,$A$3:$A$500,"&lt;&gt;"&amp;A225)&gt;0)),0))</f>
        <v/>
      </c>
      <c r="S225">
        <f>IF(OR(B225="",IFERROR(XLOOKUP(B225,Employees!$A$3:$A$500,Employees!$G$3:$G$500,""),"")=""),"",IFERROR(SUMPRODUCT((LEN(Employees!$A$3:$A$500)&gt;0)*(Employees!$G$3:$G$500=IFERROR(XLOOKUP(B225,Employees!$A$3:$A$500,Employees!$G$3:$G$500,""),""))*(COUNTIFS($B$3:$B$500,Employees!$A$3:$A$500,$H$3:$H$500,"Approved",$D$3:$D$500,"&lt;="&amp;E225,$E$3:$E$500,"&gt;="&amp;D225,$A$3:$A$500,"&lt;&gt;"&amp;A225)&gt;0)),0))</f>
        <v/>
      </c>
    </row>
    <row r="226">
      <c r="C226">
        <f>IFERROR(XLOOKUP(B226,Employees!$A$3:$A$500,Employees!$B$3:$B$500,""),"")</f>
        <v/>
      </c>
      <c r="I226">
        <f>IF(AND(B226&lt;&gt;"",D226&lt;&gt;"",E226&lt;&gt;""),E226-D226+1,"")</f>
        <v/>
      </c>
      <c r="J226">
        <f>IF(OR(B226="",D226="",E226=""),"",IF(OR(L226&lt;'Coverage Rules'!E7,M226&lt;'Coverage Rules'!E8,N226&lt;'Coverage Rules'!C8,O226&lt;'Coverage Rules'!E9,P226&lt;'Coverage Rules'!E10,Q226&gt;='Coverage Rules'!B16,R226&gt;='Coverage Rules'!B17,IF(S226="",FALSE,S226&gt;='Coverage Rules'!D24)),"Denied","OK"))</f>
        <v/>
      </c>
      <c r="L226">
        <f>IF(B226="","",IFERROR(SUMPRODUCT((LEN(Employees!$A$3:$A$500)&gt;0)*(Employees!$T$3:$T$500=1)*(COUNTIFS($B$3:$B$500,Employees!$A$3:$A$500,$H$3:$H$500,"Approved",$D$3:$D$500,"&lt;="&amp;E226,$E$3:$E$500,"&gt;="&amp;D226,$A$3:$A$500,"&lt;&gt;"&amp;A226)=0)),0))</f>
        <v/>
      </c>
      <c r="M226">
        <f>IF(B226="","",IFERROR(SUMPRODUCT((LEN(Employees!$A$3:$A$500)&gt;0)*(Employees!$U$3:$U$500=1)*(COUNTIFS($B$3:$B$500,Employees!$A$3:$A$500,$H$3:$H$500,"Approved",$D$3:$D$500,"&lt;="&amp;E226,$E$3:$E$500,"&gt;="&amp;D226,$A$3:$A$500,"&lt;&gt;"&amp;A226)=0)),0))</f>
        <v/>
      </c>
      <c r="N226">
        <f>IF(B226="","",IFERROR(SUMPRODUCT((LEN(Employees!$A$3:$A$500)&gt;0)*(Employees!$B$3:$B$500="Manager")*(Employees!$U$3:$U$500=1)*(COUNTIFS($B$3:$B$500,Employees!$A$3:$A$500,$H$3:$H$500,"Approved",$D$3:$D$500,"&lt;="&amp;E226,$E$3:$E$500,"&gt;="&amp;D226,$A$3:$A$500,"&lt;&gt;"&amp;A226)=0)),0))</f>
        <v/>
      </c>
      <c r="O226">
        <f>IF(B226="","",IFERROR(SUMPRODUCT((LEN(Employees!$A$3:$A$500)&gt;0)*(Employees!$V$3:$V$500=1)*(COUNTIFS($B$3:$B$500,Employees!$A$3:$A$500,$H$3:$H$500,"Approved",$D$3:$D$500,"&lt;="&amp;E226,$E$3:$E$500,"&gt;="&amp;D226,$A$3:$A$500,"&lt;&gt;"&amp;A226)=0)),0))</f>
        <v/>
      </c>
      <c r="P226">
        <f>IF(B226="","",IFERROR(SUMPRODUCT((LEN(Employees!$A$3:$A$500)&gt;0)*(Employees!$W$3:$W$500=1)*(COUNTIFS($B$3:$B$500,Employees!$A$3:$A$500,$H$3:$H$500,"Approved",$D$3:$D$500,"&lt;="&amp;E226,$E$3:$E$500,"&gt;="&amp;D226,$A$3:$A$500,"&lt;&gt;"&amp;A226)=0)),0))</f>
        <v/>
      </c>
      <c r="Q226">
        <f>IF(B226="","",IFERROR(SUMPRODUCT((LEN(Employees!$A$3:$A$500)&gt;0)*(Employees!$N$3:$N$500=1)*(COUNTIFS($B$3:$B$500,Employees!$A$3:$A$500,$H$3:$H$500,"Approved",$D$3:$D$500,"&lt;="&amp;E226,$E$3:$E$500,"&gt;="&amp;D226,$A$3:$A$500,"&lt;&gt;"&amp;A226)&gt;0)),0))</f>
        <v/>
      </c>
      <c r="R226">
        <f>IF(B226="","",IFERROR(SUMPRODUCT((LEN(Employees!$A$3:$A$500)&gt;0)*(Employees!$O$3:$O$500=1)*(COUNTIFS($B$3:$B$500,Employees!$A$3:$A$500,$H$3:$H$500,"Approved",$D$3:$D$500,"&lt;="&amp;E226,$E$3:$E$500,"&gt;="&amp;D226,$A$3:$A$500,"&lt;&gt;"&amp;A226)&gt;0)),0))</f>
        <v/>
      </c>
      <c r="S226">
        <f>IF(OR(B226="",IFERROR(XLOOKUP(B226,Employees!$A$3:$A$500,Employees!$G$3:$G$500,""),"")=""),"",IFERROR(SUMPRODUCT((LEN(Employees!$A$3:$A$500)&gt;0)*(Employees!$G$3:$G$500=IFERROR(XLOOKUP(B226,Employees!$A$3:$A$500,Employees!$G$3:$G$500,""),""))*(COUNTIFS($B$3:$B$500,Employees!$A$3:$A$500,$H$3:$H$500,"Approved",$D$3:$D$500,"&lt;="&amp;E226,$E$3:$E$500,"&gt;="&amp;D226,$A$3:$A$500,"&lt;&gt;"&amp;A226)&gt;0)),0))</f>
        <v/>
      </c>
    </row>
    <row r="227">
      <c r="C227">
        <f>IFERROR(XLOOKUP(B227,Employees!$A$3:$A$500,Employees!$B$3:$B$500,""),"")</f>
        <v/>
      </c>
      <c r="I227">
        <f>IF(AND(B227&lt;&gt;"",D227&lt;&gt;"",E227&lt;&gt;""),E227-D227+1,"")</f>
        <v/>
      </c>
      <c r="J227">
        <f>IF(OR(B227="",D227="",E227=""),"",IF(OR(L227&lt;'Coverage Rules'!E7,M227&lt;'Coverage Rules'!E8,N227&lt;'Coverage Rules'!C8,O227&lt;'Coverage Rules'!E9,P227&lt;'Coverage Rules'!E10,Q227&gt;='Coverage Rules'!B16,R227&gt;='Coverage Rules'!B17,IF(S227="",FALSE,S227&gt;='Coverage Rules'!D24)),"Denied","OK"))</f>
        <v/>
      </c>
      <c r="L227">
        <f>IF(B227="","",IFERROR(SUMPRODUCT((LEN(Employees!$A$3:$A$500)&gt;0)*(Employees!$T$3:$T$500=1)*(COUNTIFS($B$3:$B$500,Employees!$A$3:$A$500,$H$3:$H$500,"Approved",$D$3:$D$500,"&lt;="&amp;E227,$E$3:$E$500,"&gt;="&amp;D227,$A$3:$A$500,"&lt;&gt;"&amp;A227)=0)),0))</f>
        <v/>
      </c>
      <c r="M227">
        <f>IF(B227="","",IFERROR(SUMPRODUCT((LEN(Employees!$A$3:$A$500)&gt;0)*(Employees!$U$3:$U$500=1)*(COUNTIFS($B$3:$B$500,Employees!$A$3:$A$500,$H$3:$H$500,"Approved",$D$3:$D$500,"&lt;="&amp;E227,$E$3:$E$500,"&gt;="&amp;D227,$A$3:$A$500,"&lt;&gt;"&amp;A227)=0)),0))</f>
        <v/>
      </c>
      <c r="N227">
        <f>IF(B227="","",IFERROR(SUMPRODUCT((LEN(Employees!$A$3:$A$500)&gt;0)*(Employees!$B$3:$B$500="Manager")*(Employees!$U$3:$U$500=1)*(COUNTIFS($B$3:$B$500,Employees!$A$3:$A$500,$H$3:$H$500,"Approved",$D$3:$D$500,"&lt;="&amp;E227,$E$3:$E$500,"&gt;="&amp;D227,$A$3:$A$500,"&lt;&gt;"&amp;A227)=0)),0))</f>
        <v/>
      </c>
      <c r="O227">
        <f>IF(B227="","",IFERROR(SUMPRODUCT((LEN(Employees!$A$3:$A$500)&gt;0)*(Employees!$V$3:$V$500=1)*(COUNTIFS($B$3:$B$500,Employees!$A$3:$A$500,$H$3:$H$500,"Approved",$D$3:$D$500,"&lt;="&amp;E227,$E$3:$E$500,"&gt;="&amp;D227,$A$3:$A$500,"&lt;&gt;"&amp;A227)=0)),0))</f>
        <v/>
      </c>
      <c r="P227">
        <f>IF(B227="","",IFERROR(SUMPRODUCT((LEN(Employees!$A$3:$A$500)&gt;0)*(Employees!$W$3:$W$500=1)*(COUNTIFS($B$3:$B$500,Employees!$A$3:$A$500,$H$3:$H$500,"Approved",$D$3:$D$500,"&lt;="&amp;E227,$E$3:$E$500,"&gt;="&amp;D227,$A$3:$A$500,"&lt;&gt;"&amp;A227)=0)),0))</f>
        <v/>
      </c>
      <c r="Q227">
        <f>IF(B227="","",IFERROR(SUMPRODUCT((LEN(Employees!$A$3:$A$500)&gt;0)*(Employees!$N$3:$N$500=1)*(COUNTIFS($B$3:$B$500,Employees!$A$3:$A$500,$H$3:$H$500,"Approved",$D$3:$D$500,"&lt;="&amp;E227,$E$3:$E$500,"&gt;="&amp;D227,$A$3:$A$500,"&lt;&gt;"&amp;A227)&gt;0)),0))</f>
        <v/>
      </c>
      <c r="R227">
        <f>IF(B227="","",IFERROR(SUMPRODUCT((LEN(Employees!$A$3:$A$500)&gt;0)*(Employees!$O$3:$O$500=1)*(COUNTIFS($B$3:$B$500,Employees!$A$3:$A$500,$H$3:$H$500,"Approved",$D$3:$D$500,"&lt;="&amp;E227,$E$3:$E$500,"&gt;="&amp;D227,$A$3:$A$500,"&lt;&gt;"&amp;A227)&gt;0)),0))</f>
        <v/>
      </c>
      <c r="S227">
        <f>IF(OR(B227="",IFERROR(XLOOKUP(B227,Employees!$A$3:$A$500,Employees!$G$3:$G$500,""),"")=""),"",IFERROR(SUMPRODUCT((LEN(Employees!$A$3:$A$500)&gt;0)*(Employees!$G$3:$G$500=IFERROR(XLOOKUP(B227,Employees!$A$3:$A$500,Employees!$G$3:$G$500,""),""))*(COUNTIFS($B$3:$B$500,Employees!$A$3:$A$500,$H$3:$H$500,"Approved",$D$3:$D$500,"&lt;="&amp;E227,$E$3:$E$500,"&gt;="&amp;D227,$A$3:$A$500,"&lt;&gt;"&amp;A227)&gt;0)),0))</f>
        <v/>
      </c>
    </row>
    <row r="228">
      <c r="C228">
        <f>IFERROR(XLOOKUP(B228,Employees!$A$3:$A$500,Employees!$B$3:$B$500,""),"")</f>
        <v/>
      </c>
      <c r="I228">
        <f>IF(AND(B228&lt;&gt;"",D228&lt;&gt;"",E228&lt;&gt;""),E228-D228+1,"")</f>
        <v/>
      </c>
      <c r="J228">
        <f>IF(OR(B228="",D228="",E228=""),"",IF(OR(L228&lt;'Coverage Rules'!E7,M228&lt;'Coverage Rules'!E8,N228&lt;'Coverage Rules'!C8,O228&lt;'Coverage Rules'!E9,P228&lt;'Coverage Rules'!E10,Q228&gt;='Coverage Rules'!B16,R228&gt;='Coverage Rules'!B17,IF(S228="",FALSE,S228&gt;='Coverage Rules'!D24)),"Denied","OK"))</f>
        <v/>
      </c>
      <c r="L228">
        <f>IF(B228="","",IFERROR(SUMPRODUCT((LEN(Employees!$A$3:$A$500)&gt;0)*(Employees!$T$3:$T$500=1)*(COUNTIFS($B$3:$B$500,Employees!$A$3:$A$500,$H$3:$H$500,"Approved",$D$3:$D$500,"&lt;="&amp;E228,$E$3:$E$500,"&gt;="&amp;D228,$A$3:$A$500,"&lt;&gt;"&amp;A228)=0)),0))</f>
        <v/>
      </c>
      <c r="M228">
        <f>IF(B228="","",IFERROR(SUMPRODUCT((LEN(Employees!$A$3:$A$500)&gt;0)*(Employees!$U$3:$U$500=1)*(COUNTIFS($B$3:$B$500,Employees!$A$3:$A$500,$H$3:$H$500,"Approved",$D$3:$D$500,"&lt;="&amp;E228,$E$3:$E$500,"&gt;="&amp;D228,$A$3:$A$500,"&lt;&gt;"&amp;A228)=0)),0))</f>
        <v/>
      </c>
      <c r="N228">
        <f>IF(B228="","",IFERROR(SUMPRODUCT((LEN(Employees!$A$3:$A$500)&gt;0)*(Employees!$B$3:$B$500="Manager")*(Employees!$U$3:$U$500=1)*(COUNTIFS($B$3:$B$500,Employees!$A$3:$A$500,$H$3:$H$500,"Approved",$D$3:$D$500,"&lt;="&amp;E228,$E$3:$E$500,"&gt;="&amp;D228,$A$3:$A$500,"&lt;&gt;"&amp;A228)=0)),0))</f>
        <v/>
      </c>
      <c r="O228">
        <f>IF(B228="","",IFERROR(SUMPRODUCT((LEN(Employees!$A$3:$A$500)&gt;0)*(Employees!$V$3:$V$500=1)*(COUNTIFS($B$3:$B$500,Employees!$A$3:$A$500,$H$3:$H$500,"Approved",$D$3:$D$500,"&lt;="&amp;E228,$E$3:$E$500,"&gt;="&amp;D228,$A$3:$A$500,"&lt;&gt;"&amp;A228)=0)),0))</f>
        <v/>
      </c>
      <c r="P228">
        <f>IF(B228="","",IFERROR(SUMPRODUCT((LEN(Employees!$A$3:$A$500)&gt;0)*(Employees!$W$3:$W$500=1)*(COUNTIFS($B$3:$B$500,Employees!$A$3:$A$500,$H$3:$H$500,"Approved",$D$3:$D$500,"&lt;="&amp;E228,$E$3:$E$500,"&gt;="&amp;D228,$A$3:$A$500,"&lt;&gt;"&amp;A228)=0)),0))</f>
        <v/>
      </c>
      <c r="Q228">
        <f>IF(B228="","",IFERROR(SUMPRODUCT((LEN(Employees!$A$3:$A$500)&gt;0)*(Employees!$N$3:$N$500=1)*(COUNTIFS($B$3:$B$500,Employees!$A$3:$A$500,$H$3:$H$500,"Approved",$D$3:$D$500,"&lt;="&amp;E228,$E$3:$E$500,"&gt;="&amp;D228,$A$3:$A$500,"&lt;&gt;"&amp;A228)&gt;0)),0))</f>
        <v/>
      </c>
      <c r="R228">
        <f>IF(B228="","",IFERROR(SUMPRODUCT((LEN(Employees!$A$3:$A$500)&gt;0)*(Employees!$O$3:$O$500=1)*(COUNTIFS($B$3:$B$500,Employees!$A$3:$A$500,$H$3:$H$500,"Approved",$D$3:$D$500,"&lt;="&amp;E228,$E$3:$E$500,"&gt;="&amp;D228,$A$3:$A$500,"&lt;&gt;"&amp;A228)&gt;0)),0))</f>
        <v/>
      </c>
      <c r="S228">
        <f>IF(OR(B228="",IFERROR(XLOOKUP(B228,Employees!$A$3:$A$500,Employees!$G$3:$G$500,""),"")=""),"",IFERROR(SUMPRODUCT((LEN(Employees!$A$3:$A$500)&gt;0)*(Employees!$G$3:$G$500=IFERROR(XLOOKUP(B228,Employees!$A$3:$A$500,Employees!$G$3:$G$500,""),""))*(COUNTIFS($B$3:$B$500,Employees!$A$3:$A$500,$H$3:$H$500,"Approved",$D$3:$D$500,"&lt;="&amp;E228,$E$3:$E$500,"&gt;="&amp;D228,$A$3:$A$500,"&lt;&gt;"&amp;A228)&gt;0)),0))</f>
        <v/>
      </c>
    </row>
    <row r="229">
      <c r="C229">
        <f>IFERROR(XLOOKUP(B229,Employees!$A$3:$A$500,Employees!$B$3:$B$500,""),"")</f>
        <v/>
      </c>
      <c r="I229">
        <f>IF(AND(B229&lt;&gt;"",D229&lt;&gt;"",E229&lt;&gt;""),E229-D229+1,"")</f>
        <v/>
      </c>
      <c r="J229">
        <f>IF(OR(B229="",D229="",E229=""),"",IF(OR(L229&lt;'Coverage Rules'!E7,M229&lt;'Coverage Rules'!E8,N229&lt;'Coverage Rules'!C8,O229&lt;'Coverage Rules'!E9,P229&lt;'Coverage Rules'!E10,Q229&gt;='Coverage Rules'!B16,R229&gt;='Coverage Rules'!B17,IF(S229="",FALSE,S229&gt;='Coverage Rules'!D24)),"Denied","OK"))</f>
        <v/>
      </c>
      <c r="L229">
        <f>IF(B229="","",IFERROR(SUMPRODUCT((LEN(Employees!$A$3:$A$500)&gt;0)*(Employees!$T$3:$T$500=1)*(COUNTIFS($B$3:$B$500,Employees!$A$3:$A$500,$H$3:$H$500,"Approved",$D$3:$D$500,"&lt;="&amp;E229,$E$3:$E$500,"&gt;="&amp;D229,$A$3:$A$500,"&lt;&gt;"&amp;A229)=0)),0))</f>
        <v/>
      </c>
      <c r="M229">
        <f>IF(B229="","",IFERROR(SUMPRODUCT((LEN(Employees!$A$3:$A$500)&gt;0)*(Employees!$U$3:$U$500=1)*(COUNTIFS($B$3:$B$500,Employees!$A$3:$A$500,$H$3:$H$500,"Approved",$D$3:$D$500,"&lt;="&amp;E229,$E$3:$E$500,"&gt;="&amp;D229,$A$3:$A$500,"&lt;&gt;"&amp;A229)=0)),0))</f>
        <v/>
      </c>
      <c r="N229">
        <f>IF(B229="","",IFERROR(SUMPRODUCT((LEN(Employees!$A$3:$A$500)&gt;0)*(Employees!$B$3:$B$500="Manager")*(Employees!$U$3:$U$500=1)*(COUNTIFS($B$3:$B$500,Employees!$A$3:$A$500,$H$3:$H$500,"Approved",$D$3:$D$500,"&lt;="&amp;E229,$E$3:$E$500,"&gt;="&amp;D229,$A$3:$A$500,"&lt;&gt;"&amp;A229)=0)),0))</f>
        <v/>
      </c>
      <c r="O229">
        <f>IF(B229="","",IFERROR(SUMPRODUCT((LEN(Employees!$A$3:$A$500)&gt;0)*(Employees!$V$3:$V$500=1)*(COUNTIFS($B$3:$B$500,Employees!$A$3:$A$500,$H$3:$H$500,"Approved",$D$3:$D$500,"&lt;="&amp;E229,$E$3:$E$500,"&gt;="&amp;D229,$A$3:$A$500,"&lt;&gt;"&amp;A229)=0)),0))</f>
        <v/>
      </c>
      <c r="P229">
        <f>IF(B229="","",IFERROR(SUMPRODUCT((LEN(Employees!$A$3:$A$500)&gt;0)*(Employees!$W$3:$W$500=1)*(COUNTIFS($B$3:$B$500,Employees!$A$3:$A$500,$H$3:$H$500,"Approved",$D$3:$D$500,"&lt;="&amp;E229,$E$3:$E$500,"&gt;="&amp;D229,$A$3:$A$500,"&lt;&gt;"&amp;A229)=0)),0))</f>
        <v/>
      </c>
      <c r="Q229">
        <f>IF(B229="","",IFERROR(SUMPRODUCT((LEN(Employees!$A$3:$A$500)&gt;0)*(Employees!$N$3:$N$500=1)*(COUNTIFS($B$3:$B$500,Employees!$A$3:$A$500,$H$3:$H$500,"Approved",$D$3:$D$500,"&lt;="&amp;E229,$E$3:$E$500,"&gt;="&amp;D229,$A$3:$A$500,"&lt;&gt;"&amp;A229)&gt;0)),0))</f>
        <v/>
      </c>
      <c r="R229">
        <f>IF(B229="","",IFERROR(SUMPRODUCT((LEN(Employees!$A$3:$A$500)&gt;0)*(Employees!$O$3:$O$500=1)*(COUNTIFS($B$3:$B$500,Employees!$A$3:$A$500,$H$3:$H$500,"Approved",$D$3:$D$500,"&lt;="&amp;E229,$E$3:$E$500,"&gt;="&amp;D229,$A$3:$A$500,"&lt;&gt;"&amp;A229)&gt;0)),0))</f>
        <v/>
      </c>
      <c r="S229">
        <f>IF(OR(B229="",IFERROR(XLOOKUP(B229,Employees!$A$3:$A$500,Employees!$G$3:$G$500,""),"")=""),"",IFERROR(SUMPRODUCT((LEN(Employees!$A$3:$A$500)&gt;0)*(Employees!$G$3:$G$500=IFERROR(XLOOKUP(B229,Employees!$A$3:$A$500,Employees!$G$3:$G$500,""),""))*(COUNTIFS($B$3:$B$500,Employees!$A$3:$A$500,$H$3:$H$500,"Approved",$D$3:$D$500,"&lt;="&amp;E229,$E$3:$E$500,"&gt;="&amp;D229,$A$3:$A$500,"&lt;&gt;"&amp;A229)&gt;0)),0))</f>
        <v/>
      </c>
    </row>
    <row r="230">
      <c r="C230">
        <f>IFERROR(XLOOKUP(B230,Employees!$A$3:$A$500,Employees!$B$3:$B$500,""),"")</f>
        <v/>
      </c>
      <c r="I230">
        <f>IF(AND(B230&lt;&gt;"",D230&lt;&gt;"",E230&lt;&gt;""),E230-D230+1,"")</f>
        <v/>
      </c>
      <c r="J230">
        <f>IF(OR(B230="",D230="",E230=""),"",IF(OR(L230&lt;'Coverage Rules'!E7,M230&lt;'Coverage Rules'!E8,N230&lt;'Coverage Rules'!C8,O230&lt;'Coverage Rules'!E9,P230&lt;'Coverage Rules'!E10,Q230&gt;='Coverage Rules'!B16,R230&gt;='Coverage Rules'!B17,IF(S230="",FALSE,S230&gt;='Coverage Rules'!D24)),"Denied","OK"))</f>
        <v/>
      </c>
      <c r="L230">
        <f>IF(B230="","",IFERROR(SUMPRODUCT((LEN(Employees!$A$3:$A$500)&gt;0)*(Employees!$T$3:$T$500=1)*(COUNTIFS($B$3:$B$500,Employees!$A$3:$A$500,$H$3:$H$500,"Approved",$D$3:$D$500,"&lt;="&amp;E230,$E$3:$E$500,"&gt;="&amp;D230,$A$3:$A$500,"&lt;&gt;"&amp;A230)=0)),0))</f>
        <v/>
      </c>
      <c r="M230">
        <f>IF(B230="","",IFERROR(SUMPRODUCT((LEN(Employees!$A$3:$A$500)&gt;0)*(Employees!$U$3:$U$500=1)*(COUNTIFS($B$3:$B$500,Employees!$A$3:$A$500,$H$3:$H$500,"Approved",$D$3:$D$500,"&lt;="&amp;E230,$E$3:$E$500,"&gt;="&amp;D230,$A$3:$A$500,"&lt;&gt;"&amp;A230)=0)),0))</f>
        <v/>
      </c>
      <c r="N230">
        <f>IF(B230="","",IFERROR(SUMPRODUCT((LEN(Employees!$A$3:$A$500)&gt;0)*(Employees!$B$3:$B$500="Manager")*(Employees!$U$3:$U$500=1)*(COUNTIFS($B$3:$B$500,Employees!$A$3:$A$500,$H$3:$H$500,"Approved",$D$3:$D$500,"&lt;="&amp;E230,$E$3:$E$500,"&gt;="&amp;D230,$A$3:$A$500,"&lt;&gt;"&amp;A230)=0)),0))</f>
        <v/>
      </c>
      <c r="O230">
        <f>IF(B230="","",IFERROR(SUMPRODUCT((LEN(Employees!$A$3:$A$500)&gt;0)*(Employees!$V$3:$V$500=1)*(COUNTIFS($B$3:$B$500,Employees!$A$3:$A$500,$H$3:$H$500,"Approved",$D$3:$D$500,"&lt;="&amp;E230,$E$3:$E$500,"&gt;="&amp;D230,$A$3:$A$500,"&lt;&gt;"&amp;A230)=0)),0))</f>
        <v/>
      </c>
      <c r="P230">
        <f>IF(B230="","",IFERROR(SUMPRODUCT((LEN(Employees!$A$3:$A$500)&gt;0)*(Employees!$W$3:$W$500=1)*(COUNTIFS($B$3:$B$500,Employees!$A$3:$A$500,$H$3:$H$500,"Approved",$D$3:$D$500,"&lt;="&amp;E230,$E$3:$E$500,"&gt;="&amp;D230,$A$3:$A$500,"&lt;&gt;"&amp;A230)=0)),0))</f>
        <v/>
      </c>
      <c r="Q230">
        <f>IF(B230="","",IFERROR(SUMPRODUCT((LEN(Employees!$A$3:$A$500)&gt;0)*(Employees!$N$3:$N$500=1)*(COUNTIFS($B$3:$B$500,Employees!$A$3:$A$500,$H$3:$H$500,"Approved",$D$3:$D$500,"&lt;="&amp;E230,$E$3:$E$500,"&gt;="&amp;D230,$A$3:$A$500,"&lt;&gt;"&amp;A230)&gt;0)),0))</f>
        <v/>
      </c>
      <c r="R230">
        <f>IF(B230="","",IFERROR(SUMPRODUCT((LEN(Employees!$A$3:$A$500)&gt;0)*(Employees!$O$3:$O$500=1)*(COUNTIFS($B$3:$B$500,Employees!$A$3:$A$500,$H$3:$H$500,"Approved",$D$3:$D$500,"&lt;="&amp;E230,$E$3:$E$500,"&gt;="&amp;D230,$A$3:$A$500,"&lt;&gt;"&amp;A230)&gt;0)),0))</f>
        <v/>
      </c>
      <c r="S230">
        <f>IF(OR(B230="",IFERROR(XLOOKUP(B230,Employees!$A$3:$A$500,Employees!$G$3:$G$500,""),"")=""),"",IFERROR(SUMPRODUCT((LEN(Employees!$A$3:$A$500)&gt;0)*(Employees!$G$3:$G$500=IFERROR(XLOOKUP(B230,Employees!$A$3:$A$500,Employees!$G$3:$G$500,""),""))*(COUNTIFS($B$3:$B$500,Employees!$A$3:$A$500,$H$3:$H$500,"Approved",$D$3:$D$500,"&lt;="&amp;E230,$E$3:$E$500,"&gt;="&amp;D230,$A$3:$A$500,"&lt;&gt;"&amp;A230)&gt;0)),0))</f>
        <v/>
      </c>
    </row>
    <row r="231">
      <c r="C231">
        <f>IFERROR(XLOOKUP(B231,Employees!$A$3:$A$500,Employees!$B$3:$B$500,""),"")</f>
        <v/>
      </c>
      <c r="I231">
        <f>IF(AND(B231&lt;&gt;"",D231&lt;&gt;"",E231&lt;&gt;""),E231-D231+1,"")</f>
        <v/>
      </c>
      <c r="J231">
        <f>IF(OR(B231="",D231="",E231=""),"",IF(OR(L231&lt;'Coverage Rules'!E7,M231&lt;'Coverage Rules'!E8,N231&lt;'Coverage Rules'!C8,O231&lt;'Coverage Rules'!E9,P231&lt;'Coverage Rules'!E10,Q231&gt;='Coverage Rules'!B16,R231&gt;='Coverage Rules'!B17,IF(S231="",FALSE,S231&gt;='Coverage Rules'!D24)),"Denied","OK"))</f>
        <v/>
      </c>
      <c r="L231">
        <f>IF(B231="","",IFERROR(SUMPRODUCT((LEN(Employees!$A$3:$A$500)&gt;0)*(Employees!$T$3:$T$500=1)*(COUNTIFS($B$3:$B$500,Employees!$A$3:$A$500,$H$3:$H$500,"Approved",$D$3:$D$500,"&lt;="&amp;E231,$E$3:$E$500,"&gt;="&amp;D231,$A$3:$A$500,"&lt;&gt;"&amp;A231)=0)),0))</f>
        <v/>
      </c>
      <c r="M231">
        <f>IF(B231="","",IFERROR(SUMPRODUCT((LEN(Employees!$A$3:$A$500)&gt;0)*(Employees!$U$3:$U$500=1)*(COUNTIFS($B$3:$B$500,Employees!$A$3:$A$500,$H$3:$H$500,"Approved",$D$3:$D$500,"&lt;="&amp;E231,$E$3:$E$500,"&gt;="&amp;D231,$A$3:$A$500,"&lt;&gt;"&amp;A231)=0)),0))</f>
        <v/>
      </c>
      <c r="N231">
        <f>IF(B231="","",IFERROR(SUMPRODUCT((LEN(Employees!$A$3:$A$500)&gt;0)*(Employees!$B$3:$B$500="Manager")*(Employees!$U$3:$U$500=1)*(COUNTIFS($B$3:$B$500,Employees!$A$3:$A$500,$H$3:$H$500,"Approved",$D$3:$D$500,"&lt;="&amp;E231,$E$3:$E$500,"&gt;="&amp;D231,$A$3:$A$500,"&lt;&gt;"&amp;A231)=0)),0))</f>
        <v/>
      </c>
      <c r="O231">
        <f>IF(B231="","",IFERROR(SUMPRODUCT((LEN(Employees!$A$3:$A$500)&gt;0)*(Employees!$V$3:$V$500=1)*(COUNTIFS($B$3:$B$500,Employees!$A$3:$A$500,$H$3:$H$500,"Approved",$D$3:$D$500,"&lt;="&amp;E231,$E$3:$E$500,"&gt;="&amp;D231,$A$3:$A$500,"&lt;&gt;"&amp;A231)=0)),0))</f>
        <v/>
      </c>
      <c r="P231">
        <f>IF(B231="","",IFERROR(SUMPRODUCT((LEN(Employees!$A$3:$A$500)&gt;0)*(Employees!$W$3:$W$500=1)*(COUNTIFS($B$3:$B$500,Employees!$A$3:$A$500,$H$3:$H$500,"Approved",$D$3:$D$500,"&lt;="&amp;E231,$E$3:$E$500,"&gt;="&amp;D231,$A$3:$A$500,"&lt;&gt;"&amp;A231)=0)),0))</f>
        <v/>
      </c>
      <c r="Q231">
        <f>IF(B231="","",IFERROR(SUMPRODUCT((LEN(Employees!$A$3:$A$500)&gt;0)*(Employees!$N$3:$N$500=1)*(COUNTIFS($B$3:$B$500,Employees!$A$3:$A$500,$H$3:$H$500,"Approved",$D$3:$D$500,"&lt;="&amp;E231,$E$3:$E$500,"&gt;="&amp;D231,$A$3:$A$500,"&lt;&gt;"&amp;A231)&gt;0)),0))</f>
        <v/>
      </c>
      <c r="R231">
        <f>IF(B231="","",IFERROR(SUMPRODUCT((LEN(Employees!$A$3:$A$500)&gt;0)*(Employees!$O$3:$O$500=1)*(COUNTIFS($B$3:$B$500,Employees!$A$3:$A$500,$H$3:$H$500,"Approved",$D$3:$D$500,"&lt;="&amp;E231,$E$3:$E$500,"&gt;="&amp;D231,$A$3:$A$500,"&lt;&gt;"&amp;A231)&gt;0)),0))</f>
        <v/>
      </c>
      <c r="S231">
        <f>IF(OR(B231="",IFERROR(XLOOKUP(B231,Employees!$A$3:$A$500,Employees!$G$3:$G$500,""),"")=""),"",IFERROR(SUMPRODUCT((LEN(Employees!$A$3:$A$500)&gt;0)*(Employees!$G$3:$G$500=IFERROR(XLOOKUP(B231,Employees!$A$3:$A$500,Employees!$G$3:$G$500,""),""))*(COUNTIFS($B$3:$B$500,Employees!$A$3:$A$500,$H$3:$H$500,"Approved",$D$3:$D$500,"&lt;="&amp;E231,$E$3:$E$500,"&gt;="&amp;D231,$A$3:$A$500,"&lt;&gt;"&amp;A231)&gt;0)),0))</f>
        <v/>
      </c>
    </row>
    <row r="232">
      <c r="C232">
        <f>IFERROR(XLOOKUP(B232,Employees!$A$3:$A$500,Employees!$B$3:$B$500,""),"")</f>
        <v/>
      </c>
      <c r="I232">
        <f>IF(AND(B232&lt;&gt;"",D232&lt;&gt;"",E232&lt;&gt;""),E232-D232+1,"")</f>
        <v/>
      </c>
      <c r="J232">
        <f>IF(OR(B232="",D232="",E232=""),"",IF(OR(L232&lt;'Coverage Rules'!E7,M232&lt;'Coverage Rules'!E8,N232&lt;'Coverage Rules'!C8,O232&lt;'Coverage Rules'!E9,P232&lt;'Coverage Rules'!E10,Q232&gt;='Coverage Rules'!B16,R232&gt;='Coverage Rules'!B17,IF(S232="",FALSE,S232&gt;='Coverage Rules'!D24)),"Denied","OK"))</f>
        <v/>
      </c>
      <c r="L232">
        <f>IF(B232="","",IFERROR(SUMPRODUCT((LEN(Employees!$A$3:$A$500)&gt;0)*(Employees!$T$3:$T$500=1)*(COUNTIFS($B$3:$B$500,Employees!$A$3:$A$500,$H$3:$H$500,"Approved",$D$3:$D$500,"&lt;="&amp;E232,$E$3:$E$500,"&gt;="&amp;D232,$A$3:$A$500,"&lt;&gt;"&amp;A232)=0)),0))</f>
        <v/>
      </c>
      <c r="M232">
        <f>IF(B232="","",IFERROR(SUMPRODUCT((LEN(Employees!$A$3:$A$500)&gt;0)*(Employees!$U$3:$U$500=1)*(COUNTIFS($B$3:$B$500,Employees!$A$3:$A$500,$H$3:$H$500,"Approved",$D$3:$D$500,"&lt;="&amp;E232,$E$3:$E$500,"&gt;="&amp;D232,$A$3:$A$500,"&lt;&gt;"&amp;A232)=0)),0))</f>
        <v/>
      </c>
      <c r="N232">
        <f>IF(B232="","",IFERROR(SUMPRODUCT((LEN(Employees!$A$3:$A$500)&gt;0)*(Employees!$B$3:$B$500="Manager")*(Employees!$U$3:$U$500=1)*(COUNTIFS($B$3:$B$500,Employees!$A$3:$A$500,$H$3:$H$500,"Approved",$D$3:$D$500,"&lt;="&amp;E232,$E$3:$E$500,"&gt;="&amp;D232,$A$3:$A$500,"&lt;&gt;"&amp;A232)=0)),0))</f>
        <v/>
      </c>
      <c r="O232">
        <f>IF(B232="","",IFERROR(SUMPRODUCT((LEN(Employees!$A$3:$A$500)&gt;0)*(Employees!$V$3:$V$500=1)*(COUNTIFS($B$3:$B$500,Employees!$A$3:$A$500,$H$3:$H$500,"Approved",$D$3:$D$500,"&lt;="&amp;E232,$E$3:$E$500,"&gt;="&amp;D232,$A$3:$A$500,"&lt;&gt;"&amp;A232)=0)),0))</f>
        <v/>
      </c>
      <c r="P232">
        <f>IF(B232="","",IFERROR(SUMPRODUCT((LEN(Employees!$A$3:$A$500)&gt;0)*(Employees!$W$3:$W$500=1)*(COUNTIFS($B$3:$B$500,Employees!$A$3:$A$500,$H$3:$H$500,"Approved",$D$3:$D$500,"&lt;="&amp;E232,$E$3:$E$500,"&gt;="&amp;D232,$A$3:$A$500,"&lt;&gt;"&amp;A232)=0)),0))</f>
        <v/>
      </c>
      <c r="Q232">
        <f>IF(B232="","",IFERROR(SUMPRODUCT((LEN(Employees!$A$3:$A$500)&gt;0)*(Employees!$N$3:$N$500=1)*(COUNTIFS($B$3:$B$500,Employees!$A$3:$A$500,$H$3:$H$500,"Approved",$D$3:$D$500,"&lt;="&amp;E232,$E$3:$E$500,"&gt;="&amp;D232,$A$3:$A$500,"&lt;&gt;"&amp;A232)&gt;0)),0))</f>
        <v/>
      </c>
      <c r="R232">
        <f>IF(B232="","",IFERROR(SUMPRODUCT((LEN(Employees!$A$3:$A$500)&gt;0)*(Employees!$O$3:$O$500=1)*(COUNTIFS($B$3:$B$500,Employees!$A$3:$A$500,$H$3:$H$500,"Approved",$D$3:$D$500,"&lt;="&amp;E232,$E$3:$E$500,"&gt;="&amp;D232,$A$3:$A$500,"&lt;&gt;"&amp;A232)&gt;0)),0))</f>
        <v/>
      </c>
      <c r="S232">
        <f>IF(OR(B232="",IFERROR(XLOOKUP(B232,Employees!$A$3:$A$500,Employees!$G$3:$G$500,""),"")=""),"",IFERROR(SUMPRODUCT((LEN(Employees!$A$3:$A$500)&gt;0)*(Employees!$G$3:$G$500=IFERROR(XLOOKUP(B232,Employees!$A$3:$A$500,Employees!$G$3:$G$500,""),""))*(COUNTIFS($B$3:$B$500,Employees!$A$3:$A$500,$H$3:$H$500,"Approved",$D$3:$D$500,"&lt;="&amp;E232,$E$3:$E$500,"&gt;="&amp;D232,$A$3:$A$500,"&lt;&gt;"&amp;A232)&gt;0)),0))</f>
        <v/>
      </c>
    </row>
    <row r="233">
      <c r="C233">
        <f>IFERROR(XLOOKUP(B233,Employees!$A$3:$A$500,Employees!$B$3:$B$500,""),"")</f>
        <v/>
      </c>
      <c r="I233">
        <f>IF(AND(B233&lt;&gt;"",D233&lt;&gt;"",E233&lt;&gt;""),E233-D233+1,"")</f>
        <v/>
      </c>
      <c r="J233">
        <f>IF(OR(B233="",D233="",E233=""),"",IF(OR(L233&lt;'Coverage Rules'!E7,M233&lt;'Coverage Rules'!E8,N233&lt;'Coverage Rules'!C8,O233&lt;'Coverage Rules'!E9,P233&lt;'Coverage Rules'!E10,Q233&gt;='Coverage Rules'!B16,R233&gt;='Coverage Rules'!B17,IF(S233="",FALSE,S233&gt;='Coverage Rules'!D24)),"Denied","OK"))</f>
        <v/>
      </c>
      <c r="L233">
        <f>IF(B233="","",IFERROR(SUMPRODUCT((LEN(Employees!$A$3:$A$500)&gt;0)*(Employees!$T$3:$T$500=1)*(COUNTIFS($B$3:$B$500,Employees!$A$3:$A$500,$H$3:$H$500,"Approved",$D$3:$D$500,"&lt;="&amp;E233,$E$3:$E$500,"&gt;="&amp;D233,$A$3:$A$500,"&lt;&gt;"&amp;A233)=0)),0))</f>
        <v/>
      </c>
      <c r="M233">
        <f>IF(B233="","",IFERROR(SUMPRODUCT((LEN(Employees!$A$3:$A$500)&gt;0)*(Employees!$U$3:$U$500=1)*(COUNTIFS($B$3:$B$500,Employees!$A$3:$A$500,$H$3:$H$500,"Approved",$D$3:$D$500,"&lt;="&amp;E233,$E$3:$E$500,"&gt;="&amp;D233,$A$3:$A$500,"&lt;&gt;"&amp;A233)=0)),0))</f>
        <v/>
      </c>
      <c r="N233">
        <f>IF(B233="","",IFERROR(SUMPRODUCT((LEN(Employees!$A$3:$A$500)&gt;0)*(Employees!$B$3:$B$500="Manager")*(Employees!$U$3:$U$500=1)*(COUNTIFS($B$3:$B$500,Employees!$A$3:$A$500,$H$3:$H$500,"Approved",$D$3:$D$500,"&lt;="&amp;E233,$E$3:$E$500,"&gt;="&amp;D233,$A$3:$A$500,"&lt;&gt;"&amp;A233)=0)),0))</f>
        <v/>
      </c>
      <c r="O233">
        <f>IF(B233="","",IFERROR(SUMPRODUCT((LEN(Employees!$A$3:$A$500)&gt;0)*(Employees!$V$3:$V$500=1)*(COUNTIFS($B$3:$B$500,Employees!$A$3:$A$500,$H$3:$H$500,"Approved",$D$3:$D$500,"&lt;="&amp;E233,$E$3:$E$500,"&gt;="&amp;D233,$A$3:$A$500,"&lt;&gt;"&amp;A233)=0)),0))</f>
        <v/>
      </c>
      <c r="P233">
        <f>IF(B233="","",IFERROR(SUMPRODUCT((LEN(Employees!$A$3:$A$500)&gt;0)*(Employees!$W$3:$W$500=1)*(COUNTIFS($B$3:$B$500,Employees!$A$3:$A$500,$H$3:$H$500,"Approved",$D$3:$D$500,"&lt;="&amp;E233,$E$3:$E$500,"&gt;="&amp;D233,$A$3:$A$500,"&lt;&gt;"&amp;A233)=0)),0))</f>
        <v/>
      </c>
      <c r="Q233">
        <f>IF(B233="","",IFERROR(SUMPRODUCT((LEN(Employees!$A$3:$A$500)&gt;0)*(Employees!$N$3:$N$500=1)*(COUNTIFS($B$3:$B$500,Employees!$A$3:$A$500,$H$3:$H$500,"Approved",$D$3:$D$500,"&lt;="&amp;E233,$E$3:$E$500,"&gt;="&amp;D233,$A$3:$A$500,"&lt;&gt;"&amp;A233)&gt;0)),0))</f>
        <v/>
      </c>
      <c r="R233">
        <f>IF(B233="","",IFERROR(SUMPRODUCT((LEN(Employees!$A$3:$A$500)&gt;0)*(Employees!$O$3:$O$500=1)*(COUNTIFS($B$3:$B$500,Employees!$A$3:$A$500,$H$3:$H$500,"Approved",$D$3:$D$500,"&lt;="&amp;E233,$E$3:$E$500,"&gt;="&amp;D233,$A$3:$A$500,"&lt;&gt;"&amp;A233)&gt;0)),0))</f>
        <v/>
      </c>
      <c r="S233">
        <f>IF(OR(B233="",IFERROR(XLOOKUP(B233,Employees!$A$3:$A$500,Employees!$G$3:$G$500,""),"")=""),"",IFERROR(SUMPRODUCT((LEN(Employees!$A$3:$A$500)&gt;0)*(Employees!$G$3:$G$500=IFERROR(XLOOKUP(B233,Employees!$A$3:$A$500,Employees!$G$3:$G$500,""),""))*(COUNTIFS($B$3:$B$500,Employees!$A$3:$A$500,$H$3:$H$500,"Approved",$D$3:$D$500,"&lt;="&amp;E233,$E$3:$E$500,"&gt;="&amp;D233,$A$3:$A$500,"&lt;&gt;"&amp;A233)&gt;0)),0))</f>
        <v/>
      </c>
    </row>
    <row r="234">
      <c r="C234">
        <f>IFERROR(XLOOKUP(B234,Employees!$A$3:$A$500,Employees!$B$3:$B$500,""),"")</f>
        <v/>
      </c>
      <c r="I234">
        <f>IF(AND(B234&lt;&gt;"",D234&lt;&gt;"",E234&lt;&gt;""),E234-D234+1,"")</f>
        <v/>
      </c>
      <c r="J234">
        <f>IF(OR(B234="",D234="",E234=""),"",IF(OR(L234&lt;'Coverage Rules'!E7,M234&lt;'Coverage Rules'!E8,N234&lt;'Coverage Rules'!C8,O234&lt;'Coverage Rules'!E9,P234&lt;'Coverage Rules'!E10,Q234&gt;='Coverage Rules'!B16,R234&gt;='Coverage Rules'!B17,IF(S234="",FALSE,S234&gt;='Coverage Rules'!D24)),"Denied","OK"))</f>
        <v/>
      </c>
      <c r="L234">
        <f>IF(B234="","",IFERROR(SUMPRODUCT((LEN(Employees!$A$3:$A$500)&gt;0)*(Employees!$T$3:$T$500=1)*(COUNTIFS($B$3:$B$500,Employees!$A$3:$A$500,$H$3:$H$500,"Approved",$D$3:$D$500,"&lt;="&amp;E234,$E$3:$E$500,"&gt;="&amp;D234,$A$3:$A$500,"&lt;&gt;"&amp;A234)=0)),0))</f>
        <v/>
      </c>
      <c r="M234">
        <f>IF(B234="","",IFERROR(SUMPRODUCT((LEN(Employees!$A$3:$A$500)&gt;0)*(Employees!$U$3:$U$500=1)*(COUNTIFS($B$3:$B$500,Employees!$A$3:$A$500,$H$3:$H$500,"Approved",$D$3:$D$500,"&lt;="&amp;E234,$E$3:$E$500,"&gt;="&amp;D234,$A$3:$A$500,"&lt;&gt;"&amp;A234)=0)),0))</f>
        <v/>
      </c>
      <c r="N234">
        <f>IF(B234="","",IFERROR(SUMPRODUCT((LEN(Employees!$A$3:$A$500)&gt;0)*(Employees!$B$3:$B$500="Manager")*(Employees!$U$3:$U$500=1)*(COUNTIFS($B$3:$B$500,Employees!$A$3:$A$500,$H$3:$H$500,"Approved",$D$3:$D$500,"&lt;="&amp;E234,$E$3:$E$500,"&gt;="&amp;D234,$A$3:$A$500,"&lt;&gt;"&amp;A234)=0)),0))</f>
        <v/>
      </c>
      <c r="O234">
        <f>IF(B234="","",IFERROR(SUMPRODUCT((LEN(Employees!$A$3:$A$500)&gt;0)*(Employees!$V$3:$V$500=1)*(COUNTIFS($B$3:$B$500,Employees!$A$3:$A$500,$H$3:$H$500,"Approved",$D$3:$D$500,"&lt;="&amp;E234,$E$3:$E$500,"&gt;="&amp;D234,$A$3:$A$500,"&lt;&gt;"&amp;A234)=0)),0))</f>
        <v/>
      </c>
      <c r="P234">
        <f>IF(B234="","",IFERROR(SUMPRODUCT((LEN(Employees!$A$3:$A$500)&gt;0)*(Employees!$W$3:$W$500=1)*(COUNTIFS($B$3:$B$500,Employees!$A$3:$A$500,$H$3:$H$500,"Approved",$D$3:$D$500,"&lt;="&amp;E234,$E$3:$E$500,"&gt;="&amp;D234,$A$3:$A$500,"&lt;&gt;"&amp;A234)=0)),0))</f>
        <v/>
      </c>
      <c r="Q234">
        <f>IF(B234="","",IFERROR(SUMPRODUCT((LEN(Employees!$A$3:$A$500)&gt;0)*(Employees!$N$3:$N$500=1)*(COUNTIFS($B$3:$B$500,Employees!$A$3:$A$500,$H$3:$H$500,"Approved",$D$3:$D$500,"&lt;="&amp;E234,$E$3:$E$500,"&gt;="&amp;D234,$A$3:$A$500,"&lt;&gt;"&amp;A234)&gt;0)),0))</f>
        <v/>
      </c>
      <c r="R234">
        <f>IF(B234="","",IFERROR(SUMPRODUCT((LEN(Employees!$A$3:$A$500)&gt;0)*(Employees!$O$3:$O$500=1)*(COUNTIFS($B$3:$B$500,Employees!$A$3:$A$500,$H$3:$H$500,"Approved",$D$3:$D$500,"&lt;="&amp;E234,$E$3:$E$500,"&gt;="&amp;D234,$A$3:$A$500,"&lt;&gt;"&amp;A234)&gt;0)),0))</f>
        <v/>
      </c>
      <c r="S234">
        <f>IF(OR(B234="",IFERROR(XLOOKUP(B234,Employees!$A$3:$A$500,Employees!$G$3:$G$500,""),"")=""),"",IFERROR(SUMPRODUCT((LEN(Employees!$A$3:$A$500)&gt;0)*(Employees!$G$3:$G$500=IFERROR(XLOOKUP(B234,Employees!$A$3:$A$500,Employees!$G$3:$G$500,""),""))*(COUNTIFS($B$3:$B$500,Employees!$A$3:$A$500,$H$3:$H$500,"Approved",$D$3:$D$500,"&lt;="&amp;E234,$E$3:$E$500,"&gt;="&amp;D234,$A$3:$A$500,"&lt;&gt;"&amp;A234)&gt;0)),0))</f>
        <v/>
      </c>
    </row>
    <row r="235">
      <c r="C235">
        <f>IFERROR(XLOOKUP(B235,Employees!$A$3:$A$500,Employees!$B$3:$B$500,""),"")</f>
        <v/>
      </c>
      <c r="I235">
        <f>IF(AND(B235&lt;&gt;"",D235&lt;&gt;"",E235&lt;&gt;""),E235-D235+1,"")</f>
        <v/>
      </c>
      <c r="J235">
        <f>IF(OR(B235="",D235="",E235=""),"",IF(OR(L235&lt;'Coverage Rules'!E7,M235&lt;'Coverage Rules'!E8,N235&lt;'Coverage Rules'!C8,O235&lt;'Coverage Rules'!E9,P235&lt;'Coverage Rules'!E10,Q235&gt;='Coverage Rules'!B16,R235&gt;='Coverage Rules'!B17,IF(S235="",FALSE,S235&gt;='Coverage Rules'!D24)),"Denied","OK"))</f>
        <v/>
      </c>
      <c r="L235">
        <f>IF(B235="","",IFERROR(SUMPRODUCT((LEN(Employees!$A$3:$A$500)&gt;0)*(Employees!$T$3:$T$500=1)*(COUNTIFS($B$3:$B$500,Employees!$A$3:$A$500,$H$3:$H$500,"Approved",$D$3:$D$500,"&lt;="&amp;E235,$E$3:$E$500,"&gt;="&amp;D235,$A$3:$A$500,"&lt;&gt;"&amp;A235)=0)),0))</f>
        <v/>
      </c>
      <c r="M235">
        <f>IF(B235="","",IFERROR(SUMPRODUCT((LEN(Employees!$A$3:$A$500)&gt;0)*(Employees!$U$3:$U$500=1)*(COUNTIFS($B$3:$B$500,Employees!$A$3:$A$500,$H$3:$H$500,"Approved",$D$3:$D$500,"&lt;="&amp;E235,$E$3:$E$500,"&gt;="&amp;D235,$A$3:$A$500,"&lt;&gt;"&amp;A235)=0)),0))</f>
        <v/>
      </c>
      <c r="N235">
        <f>IF(B235="","",IFERROR(SUMPRODUCT((LEN(Employees!$A$3:$A$500)&gt;0)*(Employees!$B$3:$B$500="Manager")*(Employees!$U$3:$U$500=1)*(COUNTIFS($B$3:$B$500,Employees!$A$3:$A$500,$H$3:$H$500,"Approved",$D$3:$D$500,"&lt;="&amp;E235,$E$3:$E$500,"&gt;="&amp;D235,$A$3:$A$500,"&lt;&gt;"&amp;A235)=0)),0))</f>
        <v/>
      </c>
      <c r="O235">
        <f>IF(B235="","",IFERROR(SUMPRODUCT((LEN(Employees!$A$3:$A$500)&gt;0)*(Employees!$V$3:$V$500=1)*(COUNTIFS($B$3:$B$500,Employees!$A$3:$A$500,$H$3:$H$500,"Approved",$D$3:$D$500,"&lt;="&amp;E235,$E$3:$E$500,"&gt;="&amp;D235,$A$3:$A$500,"&lt;&gt;"&amp;A235)=0)),0))</f>
        <v/>
      </c>
      <c r="P235">
        <f>IF(B235="","",IFERROR(SUMPRODUCT((LEN(Employees!$A$3:$A$500)&gt;0)*(Employees!$W$3:$W$500=1)*(COUNTIFS($B$3:$B$500,Employees!$A$3:$A$500,$H$3:$H$500,"Approved",$D$3:$D$500,"&lt;="&amp;E235,$E$3:$E$500,"&gt;="&amp;D235,$A$3:$A$500,"&lt;&gt;"&amp;A235)=0)),0))</f>
        <v/>
      </c>
      <c r="Q235">
        <f>IF(B235="","",IFERROR(SUMPRODUCT((LEN(Employees!$A$3:$A$500)&gt;0)*(Employees!$N$3:$N$500=1)*(COUNTIFS($B$3:$B$500,Employees!$A$3:$A$500,$H$3:$H$500,"Approved",$D$3:$D$500,"&lt;="&amp;E235,$E$3:$E$500,"&gt;="&amp;D235,$A$3:$A$500,"&lt;&gt;"&amp;A235)&gt;0)),0))</f>
        <v/>
      </c>
      <c r="R235">
        <f>IF(B235="","",IFERROR(SUMPRODUCT((LEN(Employees!$A$3:$A$500)&gt;0)*(Employees!$O$3:$O$500=1)*(COUNTIFS($B$3:$B$500,Employees!$A$3:$A$500,$H$3:$H$500,"Approved",$D$3:$D$500,"&lt;="&amp;E235,$E$3:$E$500,"&gt;="&amp;D235,$A$3:$A$500,"&lt;&gt;"&amp;A235)&gt;0)),0))</f>
        <v/>
      </c>
      <c r="S235">
        <f>IF(OR(B235="",IFERROR(XLOOKUP(B235,Employees!$A$3:$A$500,Employees!$G$3:$G$500,""),"")=""),"",IFERROR(SUMPRODUCT((LEN(Employees!$A$3:$A$500)&gt;0)*(Employees!$G$3:$G$500=IFERROR(XLOOKUP(B235,Employees!$A$3:$A$500,Employees!$G$3:$G$500,""),""))*(COUNTIFS($B$3:$B$500,Employees!$A$3:$A$500,$H$3:$H$500,"Approved",$D$3:$D$500,"&lt;="&amp;E235,$E$3:$E$500,"&gt;="&amp;D235,$A$3:$A$500,"&lt;&gt;"&amp;A235)&gt;0)),0))</f>
        <v/>
      </c>
    </row>
    <row r="236">
      <c r="C236">
        <f>IFERROR(XLOOKUP(B236,Employees!$A$3:$A$500,Employees!$B$3:$B$500,""),"")</f>
        <v/>
      </c>
      <c r="I236">
        <f>IF(AND(B236&lt;&gt;"",D236&lt;&gt;"",E236&lt;&gt;""),E236-D236+1,"")</f>
        <v/>
      </c>
      <c r="J236">
        <f>IF(OR(B236="",D236="",E236=""),"",IF(OR(L236&lt;'Coverage Rules'!E7,M236&lt;'Coverage Rules'!E8,N236&lt;'Coverage Rules'!C8,O236&lt;'Coverage Rules'!E9,P236&lt;'Coverage Rules'!E10,Q236&gt;='Coverage Rules'!B16,R236&gt;='Coverage Rules'!B17,IF(S236="",FALSE,S236&gt;='Coverage Rules'!D24)),"Denied","OK"))</f>
        <v/>
      </c>
      <c r="L236">
        <f>IF(B236="","",IFERROR(SUMPRODUCT((LEN(Employees!$A$3:$A$500)&gt;0)*(Employees!$T$3:$T$500=1)*(COUNTIFS($B$3:$B$500,Employees!$A$3:$A$500,$H$3:$H$500,"Approved",$D$3:$D$500,"&lt;="&amp;E236,$E$3:$E$500,"&gt;="&amp;D236,$A$3:$A$500,"&lt;&gt;"&amp;A236)=0)),0))</f>
        <v/>
      </c>
      <c r="M236">
        <f>IF(B236="","",IFERROR(SUMPRODUCT((LEN(Employees!$A$3:$A$500)&gt;0)*(Employees!$U$3:$U$500=1)*(COUNTIFS($B$3:$B$500,Employees!$A$3:$A$500,$H$3:$H$500,"Approved",$D$3:$D$500,"&lt;="&amp;E236,$E$3:$E$500,"&gt;="&amp;D236,$A$3:$A$500,"&lt;&gt;"&amp;A236)=0)),0))</f>
        <v/>
      </c>
      <c r="N236">
        <f>IF(B236="","",IFERROR(SUMPRODUCT((LEN(Employees!$A$3:$A$500)&gt;0)*(Employees!$B$3:$B$500="Manager")*(Employees!$U$3:$U$500=1)*(COUNTIFS($B$3:$B$500,Employees!$A$3:$A$500,$H$3:$H$500,"Approved",$D$3:$D$500,"&lt;="&amp;E236,$E$3:$E$500,"&gt;="&amp;D236,$A$3:$A$500,"&lt;&gt;"&amp;A236)=0)),0))</f>
        <v/>
      </c>
      <c r="O236">
        <f>IF(B236="","",IFERROR(SUMPRODUCT((LEN(Employees!$A$3:$A$500)&gt;0)*(Employees!$V$3:$V$500=1)*(COUNTIFS($B$3:$B$500,Employees!$A$3:$A$500,$H$3:$H$500,"Approved",$D$3:$D$500,"&lt;="&amp;E236,$E$3:$E$500,"&gt;="&amp;D236,$A$3:$A$500,"&lt;&gt;"&amp;A236)=0)),0))</f>
        <v/>
      </c>
      <c r="P236">
        <f>IF(B236="","",IFERROR(SUMPRODUCT((LEN(Employees!$A$3:$A$500)&gt;0)*(Employees!$W$3:$W$500=1)*(COUNTIFS($B$3:$B$500,Employees!$A$3:$A$500,$H$3:$H$500,"Approved",$D$3:$D$500,"&lt;="&amp;E236,$E$3:$E$500,"&gt;="&amp;D236,$A$3:$A$500,"&lt;&gt;"&amp;A236)=0)),0))</f>
        <v/>
      </c>
      <c r="Q236">
        <f>IF(B236="","",IFERROR(SUMPRODUCT((LEN(Employees!$A$3:$A$500)&gt;0)*(Employees!$N$3:$N$500=1)*(COUNTIFS($B$3:$B$500,Employees!$A$3:$A$500,$H$3:$H$500,"Approved",$D$3:$D$500,"&lt;="&amp;E236,$E$3:$E$500,"&gt;="&amp;D236,$A$3:$A$500,"&lt;&gt;"&amp;A236)&gt;0)),0))</f>
        <v/>
      </c>
      <c r="R236">
        <f>IF(B236="","",IFERROR(SUMPRODUCT((LEN(Employees!$A$3:$A$500)&gt;0)*(Employees!$O$3:$O$500=1)*(COUNTIFS($B$3:$B$500,Employees!$A$3:$A$500,$H$3:$H$500,"Approved",$D$3:$D$500,"&lt;="&amp;E236,$E$3:$E$500,"&gt;="&amp;D236,$A$3:$A$500,"&lt;&gt;"&amp;A236)&gt;0)),0))</f>
        <v/>
      </c>
      <c r="S236">
        <f>IF(OR(B236="",IFERROR(XLOOKUP(B236,Employees!$A$3:$A$500,Employees!$G$3:$G$500,""),"")=""),"",IFERROR(SUMPRODUCT((LEN(Employees!$A$3:$A$500)&gt;0)*(Employees!$G$3:$G$500=IFERROR(XLOOKUP(B236,Employees!$A$3:$A$500,Employees!$G$3:$G$500,""),""))*(COUNTIFS($B$3:$B$500,Employees!$A$3:$A$500,$H$3:$H$500,"Approved",$D$3:$D$500,"&lt;="&amp;E236,$E$3:$E$500,"&gt;="&amp;D236,$A$3:$A$500,"&lt;&gt;"&amp;A236)&gt;0)),0))</f>
        <v/>
      </c>
    </row>
    <row r="237">
      <c r="C237">
        <f>IFERROR(XLOOKUP(B237,Employees!$A$3:$A$500,Employees!$B$3:$B$500,""),"")</f>
        <v/>
      </c>
      <c r="I237">
        <f>IF(AND(B237&lt;&gt;"",D237&lt;&gt;"",E237&lt;&gt;""),E237-D237+1,"")</f>
        <v/>
      </c>
      <c r="J237">
        <f>IF(OR(B237="",D237="",E237=""),"",IF(OR(L237&lt;'Coverage Rules'!E7,M237&lt;'Coverage Rules'!E8,N237&lt;'Coverage Rules'!C8,O237&lt;'Coverage Rules'!E9,P237&lt;'Coverage Rules'!E10,Q237&gt;='Coverage Rules'!B16,R237&gt;='Coverage Rules'!B17,IF(S237="",FALSE,S237&gt;='Coverage Rules'!D24)),"Denied","OK"))</f>
        <v/>
      </c>
      <c r="L237">
        <f>IF(B237="","",IFERROR(SUMPRODUCT((LEN(Employees!$A$3:$A$500)&gt;0)*(Employees!$T$3:$T$500=1)*(COUNTIFS($B$3:$B$500,Employees!$A$3:$A$500,$H$3:$H$500,"Approved",$D$3:$D$500,"&lt;="&amp;E237,$E$3:$E$500,"&gt;="&amp;D237,$A$3:$A$500,"&lt;&gt;"&amp;A237)=0)),0))</f>
        <v/>
      </c>
      <c r="M237">
        <f>IF(B237="","",IFERROR(SUMPRODUCT((LEN(Employees!$A$3:$A$500)&gt;0)*(Employees!$U$3:$U$500=1)*(COUNTIFS($B$3:$B$500,Employees!$A$3:$A$500,$H$3:$H$500,"Approved",$D$3:$D$500,"&lt;="&amp;E237,$E$3:$E$500,"&gt;="&amp;D237,$A$3:$A$500,"&lt;&gt;"&amp;A237)=0)),0))</f>
        <v/>
      </c>
      <c r="N237">
        <f>IF(B237="","",IFERROR(SUMPRODUCT((LEN(Employees!$A$3:$A$500)&gt;0)*(Employees!$B$3:$B$500="Manager")*(Employees!$U$3:$U$500=1)*(COUNTIFS($B$3:$B$500,Employees!$A$3:$A$500,$H$3:$H$500,"Approved",$D$3:$D$500,"&lt;="&amp;E237,$E$3:$E$500,"&gt;="&amp;D237,$A$3:$A$500,"&lt;&gt;"&amp;A237)=0)),0))</f>
        <v/>
      </c>
      <c r="O237">
        <f>IF(B237="","",IFERROR(SUMPRODUCT((LEN(Employees!$A$3:$A$500)&gt;0)*(Employees!$V$3:$V$500=1)*(COUNTIFS($B$3:$B$500,Employees!$A$3:$A$500,$H$3:$H$500,"Approved",$D$3:$D$500,"&lt;="&amp;E237,$E$3:$E$500,"&gt;="&amp;D237,$A$3:$A$500,"&lt;&gt;"&amp;A237)=0)),0))</f>
        <v/>
      </c>
      <c r="P237">
        <f>IF(B237="","",IFERROR(SUMPRODUCT((LEN(Employees!$A$3:$A$500)&gt;0)*(Employees!$W$3:$W$500=1)*(COUNTIFS($B$3:$B$500,Employees!$A$3:$A$500,$H$3:$H$500,"Approved",$D$3:$D$500,"&lt;="&amp;E237,$E$3:$E$500,"&gt;="&amp;D237,$A$3:$A$500,"&lt;&gt;"&amp;A237)=0)),0))</f>
        <v/>
      </c>
      <c r="Q237">
        <f>IF(B237="","",IFERROR(SUMPRODUCT((LEN(Employees!$A$3:$A$500)&gt;0)*(Employees!$N$3:$N$500=1)*(COUNTIFS($B$3:$B$500,Employees!$A$3:$A$500,$H$3:$H$500,"Approved",$D$3:$D$500,"&lt;="&amp;E237,$E$3:$E$500,"&gt;="&amp;D237,$A$3:$A$500,"&lt;&gt;"&amp;A237)&gt;0)),0))</f>
        <v/>
      </c>
      <c r="R237">
        <f>IF(B237="","",IFERROR(SUMPRODUCT((LEN(Employees!$A$3:$A$500)&gt;0)*(Employees!$O$3:$O$500=1)*(COUNTIFS($B$3:$B$500,Employees!$A$3:$A$500,$H$3:$H$500,"Approved",$D$3:$D$500,"&lt;="&amp;E237,$E$3:$E$500,"&gt;="&amp;D237,$A$3:$A$500,"&lt;&gt;"&amp;A237)&gt;0)),0))</f>
        <v/>
      </c>
      <c r="S237">
        <f>IF(OR(B237="",IFERROR(XLOOKUP(B237,Employees!$A$3:$A$500,Employees!$G$3:$G$500,""),"")=""),"",IFERROR(SUMPRODUCT((LEN(Employees!$A$3:$A$500)&gt;0)*(Employees!$G$3:$G$500=IFERROR(XLOOKUP(B237,Employees!$A$3:$A$500,Employees!$G$3:$G$500,""),""))*(COUNTIFS($B$3:$B$500,Employees!$A$3:$A$500,$H$3:$H$500,"Approved",$D$3:$D$500,"&lt;="&amp;E237,$E$3:$E$500,"&gt;="&amp;D237,$A$3:$A$500,"&lt;&gt;"&amp;A237)&gt;0)),0))</f>
        <v/>
      </c>
    </row>
    <row r="238">
      <c r="C238">
        <f>IFERROR(XLOOKUP(B238,Employees!$A$3:$A$500,Employees!$B$3:$B$500,""),"")</f>
        <v/>
      </c>
      <c r="I238">
        <f>IF(AND(B238&lt;&gt;"",D238&lt;&gt;"",E238&lt;&gt;""),E238-D238+1,"")</f>
        <v/>
      </c>
      <c r="J238">
        <f>IF(OR(B238="",D238="",E238=""),"",IF(OR(L238&lt;'Coverage Rules'!E7,M238&lt;'Coverage Rules'!E8,N238&lt;'Coverage Rules'!C8,O238&lt;'Coverage Rules'!E9,P238&lt;'Coverage Rules'!E10,Q238&gt;='Coverage Rules'!B16,R238&gt;='Coverage Rules'!B17,IF(S238="",FALSE,S238&gt;='Coverage Rules'!D24)),"Denied","OK"))</f>
        <v/>
      </c>
      <c r="L238">
        <f>IF(B238="","",IFERROR(SUMPRODUCT((LEN(Employees!$A$3:$A$500)&gt;0)*(Employees!$T$3:$T$500=1)*(COUNTIFS($B$3:$B$500,Employees!$A$3:$A$500,$H$3:$H$500,"Approved",$D$3:$D$500,"&lt;="&amp;E238,$E$3:$E$500,"&gt;="&amp;D238,$A$3:$A$500,"&lt;&gt;"&amp;A238)=0)),0))</f>
        <v/>
      </c>
      <c r="M238">
        <f>IF(B238="","",IFERROR(SUMPRODUCT((LEN(Employees!$A$3:$A$500)&gt;0)*(Employees!$U$3:$U$500=1)*(COUNTIFS($B$3:$B$500,Employees!$A$3:$A$500,$H$3:$H$500,"Approved",$D$3:$D$500,"&lt;="&amp;E238,$E$3:$E$500,"&gt;="&amp;D238,$A$3:$A$500,"&lt;&gt;"&amp;A238)=0)),0))</f>
        <v/>
      </c>
      <c r="N238">
        <f>IF(B238="","",IFERROR(SUMPRODUCT((LEN(Employees!$A$3:$A$500)&gt;0)*(Employees!$B$3:$B$500="Manager")*(Employees!$U$3:$U$500=1)*(COUNTIFS($B$3:$B$500,Employees!$A$3:$A$500,$H$3:$H$500,"Approved",$D$3:$D$500,"&lt;="&amp;E238,$E$3:$E$500,"&gt;="&amp;D238,$A$3:$A$500,"&lt;&gt;"&amp;A238)=0)),0))</f>
        <v/>
      </c>
      <c r="O238">
        <f>IF(B238="","",IFERROR(SUMPRODUCT((LEN(Employees!$A$3:$A$500)&gt;0)*(Employees!$V$3:$V$500=1)*(COUNTIFS($B$3:$B$500,Employees!$A$3:$A$500,$H$3:$H$500,"Approved",$D$3:$D$500,"&lt;="&amp;E238,$E$3:$E$500,"&gt;="&amp;D238,$A$3:$A$500,"&lt;&gt;"&amp;A238)=0)),0))</f>
        <v/>
      </c>
      <c r="P238">
        <f>IF(B238="","",IFERROR(SUMPRODUCT((LEN(Employees!$A$3:$A$500)&gt;0)*(Employees!$W$3:$W$500=1)*(COUNTIFS($B$3:$B$500,Employees!$A$3:$A$500,$H$3:$H$500,"Approved",$D$3:$D$500,"&lt;="&amp;E238,$E$3:$E$500,"&gt;="&amp;D238,$A$3:$A$500,"&lt;&gt;"&amp;A238)=0)),0))</f>
        <v/>
      </c>
      <c r="Q238">
        <f>IF(B238="","",IFERROR(SUMPRODUCT((LEN(Employees!$A$3:$A$500)&gt;0)*(Employees!$N$3:$N$500=1)*(COUNTIFS($B$3:$B$500,Employees!$A$3:$A$500,$H$3:$H$500,"Approved",$D$3:$D$500,"&lt;="&amp;E238,$E$3:$E$500,"&gt;="&amp;D238,$A$3:$A$500,"&lt;&gt;"&amp;A238)&gt;0)),0))</f>
        <v/>
      </c>
      <c r="R238">
        <f>IF(B238="","",IFERROR(SUMPRODUCT((LEN(Employees!$A$3:$A$500)&gt;0)*(Employees!$O$3:$O$500=1)*(COUNTIFS($B$3:$B$500,Employees!$A$3:$A$500,$H$3:$H$500,"Approved",$D$3:$D$500,"&lt;="&amp;E238,$E$3:$E$500,"&gt;="&amp;D238,$A$3:$A$500,"&lt;&gt;"&amp;A238)&gt;0)),0))</f>
        <v/>
      </c>
      <c r="S238">
        <f>IF(OR(B238="",IFERROR(XLOOKUP(B238,Employees!$A$3:$A$500,Employees!$G$3:$G$500,""),"")=""),"",IFERROR(SUMPRODUCT((LEN(Employees!$A$3:$A$500)&gt;0)*(Employees!$G$3:$G$500=IFERROR(XLOOKUP(B238,Employees!$A$3:$A$500,Employees!$G$3:$G$500,""),""))*(COUNTIFS($B$3:$B$500,Employees!$A$3:$A$500,$H$3:$H$500,"Approved",$D$3:$D$500,"&lt;="&amp;E238,$E$3:$E$500,"&gt;="&amp;D238,$A$3:$A$500,"&lt;&gt;"&amp;A238)&gt;0)),0))</f>
        <v/>
      </c>
    </row>
    <row r="239">
      <c r="C239">
        <f>IFERROR(XLOOKUP(B239,Employees!$A$3:$A$500,Employees!$B$3:$B$500,""),"")</f>
        <v/>
      </c>
      <c r="I239">
        <f>IF(AND(B239&lt;&gt;"",D239&lt;&gt;"",E239&lt;&gt;""),E239-D239+1,"")</f>
        <v/>
      </c>
      <c r="J239">
        <f>IF(OR(B239="",D239="",E239=""),"",IF(OR(L239&lt;'Coverage Rules'!E7,M239&lt;'Coverage Rules'!E8,N239&lt;'Coverage Rules'!C8,O239&lt;'Coverage Rules'!E9,P239&lt;'Coverage Rules'!E10,Q239&gt;='Coverage Rules'!B16,R239&gt;='Coverage Rules'!B17,IF(S239="",FALSE,S239&gt;='Coverage Rules'!D24)),"Denied","OK"))</f>
        <v/>
      </c>
      <c r="L239">
        <f>IF(B239="","",IFERROR(SUMPRODUCT((LEN(Employees!$A$3:$A$500)&gt;0)*(Employees!$T$3:$T$500=1)*(COUNTIFS($B$3:$B$500,Employees!$A$3:$A$500,$H$3:$H$500,"Approved",$D$3:$D$500,"&lt;="&amp;E239,$E$3:$E$500,"&gt;="&amp;D239,$A$3:$A$500,"&lt;&gt;"&amp;A239)=0)),0))</f>
        <v/>
      </c>
      <c r="M239">
        <f>IF(B239="","",IFERROR(SUMPRODUCT((LEN(Employees!$A$3:$A$500)&gt;0)*(Employees!$U$3:$U$500=1)*(COUNTIFS($B$3:$B$500,Employees!$A$3:$A$500,$H$3:$H$500,"Approved",$D$3:$D$500,"&lt;="&amp;E239,$E$3:$E$500,"&gt;="&amp;D239,$A$3:$A$500,"&lt;&gt;"&amp;A239)=0)),0))</f>
        <v/>
      </c>
      <c r="N239">
        <f>IF(B239="","",IFERROR(SUMPRODUCT((LEN(Employees!$A$3:$A$500)&gt;0)*(Employees!$B$3:$B$500="Manager")*(Employees!$U$3:$U$500=1)*(COUNTIFS($B$3:$B$500,Employees!$A$3:$A$500,$H$3:$H$500,"Approved",$D$3:$D$500,"&lt;="&amp;E239,$E$3:$E$500,"&gt;="&amp;D239,$A$3:$A$500,"&lt;&gt;"&amp;A239)=0)),0))</f>
        <v/>
      </c>
      <c r="O239">
        <f>IF(B239="","",IFERROR(SUMPRODUCT((LEN(Employees!$A$3:$A$500)&gt;0)*(Employees!$V$3:$V$500=1)*(COUNTIFS($B$3:$B$500,Employees!$A$3:$A$500,$H$3:$H$500,"Approved",$D$3:$D$500,"&lt;="&amp;E239,$E$3:$E$500,"&gt;="&amp;D239,$A$3:$A$500,"&lt;&gt;"&amp;A239)=0)),0))</f>
        <v/>
      </c>
      <c r="P239">
        <f>IF(B239="","",IFERROR(SUMPRODUCT((LEN(Employees!$A$3:$A$500)&gt;0)*(Employees!$W$3:$W$500=1)*(COUNTIFS($B$3:$B$500,Employees!$A$3:$A$500,$H$3:$H$500,"Approved",$D$3:$D$500,"&lt;="&amp;E239,$E$3:$E$500,"&gt;="&amp;D239,$A$3:$A$500,"&lt;&gt;"&amp;A239)=0)),0))</f>
        <v/>
      </c>
      <c r="Q239">
        <f>IF(B239="","",IFERROR(SUMPRODUCT((LEN(Employees!$A$3:$A$500)&gt;0)*(Employees!$N$3:$N$500=1)*(COUNTIFS($B$3:$B$500,Employees!$A$3:$A$500,$H$3:$H$500,"Approved",$D$3:$D$500,"&lt;="&amp;E239,$E$3:$E$500,"&gt;="&amp;D239,$A$3:$A$500,"&lt;&gt;"&amp;A239)&gt;0)),0))</f>
        <v/>
      </c>
      <c r="R239">
        <f>IF(B239="","",IFERROR(SUMPRODUCT((LEN(Employees!$A$3:$A$500)&gt;0)*(Employees!$O$3:$O$500=1)*(COUNTIFS($B$3:$B$500,Employees!$A$3:$A$500,$H$3:$H$500,"Approved",$D$3:$D$500,"&lt;="&amp;E239,$E$3:$E$500,"&gt;="&amp;D239,$A$3:$A$500,"&lt;&gt;"&amp;A239)&gt;0)),0))</f>
        <v/>
      </c>
      <c r="S239">
        <f>IF(OR(B239="",IFERROR(XLOOKUP(B239,Employees!$A$3:$A$500,Employees!$G$3:$G$500,""),"")=""),"",IFERROR(SUMPRODUCT((LEN(Employees!$A$3:$A$500)&gt;0)*(Employees!$G$3:$G$500=IFERROR(XLOOKUP(B239,Employees!$A$3:$A$500,Employees!$G$3:$G$500,""),""))*(COUNTIFS($B$3:$B$500,Employees!$A$3:$A$500,$H$3:$H$500,"Approved",$D$3:$D$500,"&lt;="&amp;E239,$E$3:$E$500,"&gt;="&amp;D239,$A$3:$A$500,"&lt;&gt;"&amp;A239)&gt;0)),0))</f>
        <v/>
      </c>
    </row>
    <row r="240">
      <c r="C240">
        <f>IFERROR(XLOOKUP(B240,Employees!$A$3:$A$500,Employees!$B$3:$B$500,""),"")</f>
        <v/>
      </c>
      <c r="I240">
        <f>IF(AND(B240&lt;&gt;"",D240&lt;&gt;"",E240&lt;&gt;""),E240-D240+1,"")</f>
        <v/>
      </c>
      <c r="J240">
        <f>IF(OR(B240="",D240="",E240=""),"",IF(OR(L240&lt;'Coverage Rules'!E7,M240&lt;'Coverage Rules'!E8,N240&lt;'Coverage Rules'!C8,O240&lt;'Coverage Rules'!E9,P240&lt;'Coverage Rules'!E10,Q240&gt;='Coverage Rules'!B16,R240&gt;='Coverage Rules'!B17,IF(S240="",FALSE,S240&gt;='Coverage Rules'!D24)),"Denied","OK"))</f>
        <v/>
      </c>
      <c r="L240">
        <f>IF(B240="","",IFERROR(SUMPRODUCT((LEN(Employees!$A$3:$A$500)&gt;0)*(Employees!$T$3:$T$500=1)*(COUNTIFS($B$3:$B$500,Employees!$A$3:$A$500,$H$3:$H$500,"Approved",$D$3:$D$500,"&lt;="&amp;E240,$E$3:$E$500,"&gt;="&amp;D240,$A$3:$A$500,"&lt;&gt;"&amp;A240)=0)),0))</f>
        <v/>
      </c>
      <c r="M240">
        <f>IF(B240="","",IFERROR(SUMPRODUCT((LEN(Employees!$A$3:$A$500)&gt;0)*(Employees!$U$3:$U$500=1)*(COUNTIFS($B$3:$B$500,Employees!$A$3:$A$500,$H$3:$H$500,"Approved",$D$3:$D$500,"&lt;="&amp;E240,$E$3:$E$500,"&gt;="&amp;D240,$A$3:$A$500,"&lt;&gt;"&amp;A240)=0)),0))</f>
        <v/>
      </c>
      <c r="N240">
        <f>IF(B240="","",IFERROR(SUMPRODUCT((LEN(Employees!$A$3:$A$500)&gt;0)*(Employees!$B$3:$B$500="Manager")*(Employees!$U$3:$U$500=1)*(COUNTIFS($B$3:$B$500,Employees!$A$3:$A$500,$H$3:$H$500,"Approved",$D$3:$D$500,"&lt;="&amp;E240,$E$3:$E$500,"&gt;="&amp;D240,$A$3:$A$500,"&lt;&gt;"&amp;A240)=0)),0))</f>
        <v/>
      </c>
      <c r="O240">
        <f>IF(B240="","",IFERROR(SUMPRODUCT((LEN(Employees!$A$3:$A$500)&gt;0)*(Employees!$V$3:$V$500=1)*(COUNTIFS($B$3:$B$500,Employees!$A$3:$A$500,$H$3:$H$500,"Approved",$D$3:$D$500,"&lt;="&amp;E240,$E$3:$E$500,"&gt;="&amp;D240,$A$3:$A$500,"&lt;&gt;"&amp;A240)=0)),0))</f>
        <v/>
      </c>
      <c r="P240">
        <f>IF(B240="","",IFERROR(SUMPRODUCT((LEN(Employees!$A$3:$A$500)&gt;0)*(Employees!$W$3:$W$500=1)*(COUNTIFS($B$3:$B$500,Employees!$A$3:$A$500,$H$3:$H$500,"Approved",$D$3:$D$500,"&lt;="&amp;E240,$E$3:$E$500,"&gt;="&amp;D240,$A$3:$A$500,"&lt;&gt;"&amp;A240)=0)),0))</f>
        <v/>
      </c>
      <c r="Q240">
        <f>IF(B240="","",IFERROR(SUMPRODUCT((LEN(Employees!$A$3:$A$500)&gt;0)*(Employees!$N$3:$N$500=1)*(COUNTIFS($B$3:$B$500,Employees!$A$3:$A$500,$H$3:$H$500,"Approved",$D$3:$D$500,"&lt;="&amp;E240,$E$3:$E$500,"&gt;="&amp;D240,$A$3:$A$500,"&lt;&gt;"&amp;A240)&gt;0)),0))</f>
        <v/>
      </c>
      <c r="R240">
        <f>IF(B240="","",IFERROR(SUMPRODUCT((LEN(Employees!$A$3:$A$500)&gt;0)*(Employees!$O$3:$O$500=1)*(COUNTIFS($B$3:$B$500,Employees!$A$3:$A$500,$H$3:$H$500,"Approved",$D$3:$D$500,"&lt;="&amp;E240,$E$3:$E$500,"&gt;="&amp;D240,$A$3:$A$500,"&lt;&gt;"&amp;A240)&gt;0)),0))</f>
        <v/>
      </c>
      <c r="S240">
        <f>IF(OR(B240="",IFERROR(XLOOKUP(B240,Employees!$A$3:$A$500,Employees!$G$3:$G$500,""),"")=""),"",IFERROR(SUMPRODUCT((LEN(Employees!$A$3:$A$500)&gt;0)*(Employees!$G$3:$G$500=IFERROR(XLOOKUP(B240,Employees!$A$3:$A$500,Employees!$G$3:$G$500,""),""))*(COUNTIFS($B$3:$B$500,Employees!$A$3:$A$500,$H$3:$H$500,"Approved",$D$3:$D$500,"&lt;="&amp;E240,$E$3:$E$500,"&gt;="&amp;D240,$A$3:$A$500,"&lt;&gt;"&amp;A240)&gt;0)),0))</f>
        <v/>
      </c>
    </row>
    <row r="241">
      <c r="C241">
        <f>IFERROR(XLOOKUP(B241,Employees!$A$3:$A$500,Employees!$B$3:$B$500,""),"")</f>
        <v/>
      </c>
      <c r="I241">
        <f>IF(AND(B241&lt;&gt;"",D241&lt;&gt;"",E241&lt;&gt;""),E241-D241+1,"")</f>
        <v/>
      </c>
      <c r="J241">
        <f>IF(OR(B241="",D241="",E241=""),"",IF(OR(L241&lt;'Coverage Rules'!E7,M241&lt;'Coverage Rules'!E8,N241&lt;'Coverage Rules'!C8,O241&lt;'Coverage Rules'!E9,P241&lt;'Coverage Rules'!E10,Q241&gt;='Coverage Rules'!B16,R241&gt;='Coverage Rules'!B17,IF(S241="",FALSE,S241&gt;='Coverage Rules'!D24)),"Denied","OK"))</f>
        <v/>
      </c>
      <c r="L241">
        <f>IF(B241="","",IFERROR(SUMPRODUCT((LEN(Employees!$A$3:$A$500)&gt;0)*(Employees!$T$3:$T$500=1)*(COUNTIFS($B$3:$B$500,Employees!$A$3:$A$500,$H$3:$H$500,"Approved",$D$3:$D$500,"&lt;="&amp;E241,$E$3:$E$500,"&gt;="&amp;D241,$A$3:$A$500,"&lt;&gt;"&amp;A241)=0)),0))</f>
        <v/>
      </c>
      <c r="M241">
        <f>IF(B241="","",IFERROR(SUMPRODUCT((LEN(Employees!$A$3:$A$500)&gt;0)*(Employees!$U$3:$U$500=1)*(COUNTIFS($B$3:$B$500,Employees!$A$3:$A$500,$H$3:$H$500,"Approved",$D$3:$D$500,"&lt;="&amp;E241,$E$3:$E$500,"&gt;="&amp;D241,$A$3:$A$500,"&lt;&gt;"&amp;A241)=0)),0))</f>
        <v/>
      </c>
      <c r="N241">
        <f>IF(B241="","",IFERROR(SUMPRODUCT((LEN(Employees!$A$3:$A$500)&gt;0)*(Employees!$B$3:$B$500="Manager")*(Employees!$U$3:$U$500=1)*(COUNTIFS($B$3:$B$500,Employees!$A$3:$A$500,$H$3:$H$500,"Approved",$D$3:$D$500,"&lt;="&amp;E241,$E$3:$E$500,"&gt;="&amp;D241,$A$3:$A$500,"&lt;&gt;"&amp;A241)=0)),0))</f>
        <v/>
      </c>
      <c r="O241">
        <f>IF(B241="","",IFERROR(SUMPRODUCT((LEN(Employees!$A$3:$A$500)&gt;0)*(Employees!$V$3:$V$500=1)*(COUNTIFS($B$3:$B$500,Employees!$A$3:$A$500,$H$3:$H$500,"Approved",$D$3:$D$500,"&lt;="&amp;E241,$E$3:$E$500,"&gt;="&amp;D241,$A$3:$A$500,"&lt;&gt;"&amp;A241)=0)),0))</f>
        <v/>
      </c>
      <c r="P241">
        <f>IF(B241="","",IFERROR(SUMPRODUCT((LEN(Employees!$A$3:$A$500)&gt;0)*(Employees!$W$3:$W$500=1)*(COUNTIFS($B$3:$B$500,Employees!$A$3:$A$500,$H$3:$H$500,"Approved",$D$3:$D$500,"&lt;="&amp;E241,$E$3:$E$500,"&gt;="&amp;D241,$A$3:$A$500,"&lt;&gt;"&amp;A241)=0)),0))</f>
        <v/>
      </c>
      <c r="Q241">
        <f>IF(B241="","",IFERROR(SUMPRODUCT((LEN(Employees!$A$3:$A$500)&gt;0)*(Employees!$N$3:$N$500=1)*(COUNTIFS($B$3:$B$500,Employees!$A$3:$A$500,$H$3:$H$500,"Approved",$D$3:$D$500,"&lt;="&amp;E241,$E$3:$E$500,"&gt;="&amp;D241,$A$3:$A$500,"&lt;&gt;"&amp;A241)&gt;0)),0))</f>
        <v/>
      </c>
      <c r="R241">
        <f>IF(B241="","",IFERROR(SUMPRODUCT((LEN(Employees!$A$3:$A$500)&gt;0)*(Employees!$O$3:$O$500=1)*(COUNTIFS($B$3:$B$500,Employees!$A$3:$A$500,$H$3:$H$500,"Approved",$D$3:$D$500,"&lt;="&amp;E241,$E$3:$E$500,"&gt;="&amp;D241,$A$3:$A$500,"&lt;&gt;"&amp;A241)&gt;0)),0))</f>
        <v/>
      </c>
      <c r="S241">
        <f>IF(OR(B241="",IFERROR(XLOOKUP(B241,Employees!$A$3:$A$500,Employees!$G$3:$G$500,""),"")=""),"",IFERROR(SUMPRODUCT((LEN(Employees!$A$3:$A$500)&gt;0)*(Employees!$G$3:$G$500=IFERROR(XLOOKUP(B241,Employees!$A$3:$A$500,Employees!$G$3:$G$500,""),""))*(COUNTIFS($B$3:$B$500,Employees!$A$3:$A$500,$H$3:$H$500,"Approved",$D$3:$D$500,"&lt;="&amp;E241,$E$3:$E$500,"&gt;="&amp;D241,$A$3:$A$500,"&lt;&gt;"&amp;A241)&gt;0)),0))</f>
        <v/>
      </c>
    </row>
    <row r="242">
      <c r="C242">
        <f>IFERROR(XLOOKUP(B242,Employees!$A$3:$A$500,Employees!$B$3:$B$500,""),"")</f>
        <v/>
      </c>
      <c r="I242">
        <f>IF(AND(B242&lt;&gt;"",D242&lt;&gt;"",E242&lt;&gt;""),E242-D242+1,"")</f>
        <v/>
      </c>
      <c r="J242">
        <f>IF(OR(B242="",D242="",E242=""),"",IF(OR(L242&lt;'Coverage Rules'!E7,M242&lt;'Coverage Rules'!E8,N242&lt;'Coverage Rules'!C8,O242&lt;'Coverage Rules'!E9,P242&lt;'Coverage Rules'!E10,Q242&gt;='Coverage Rules'!B16,R242&gt;='Coverage Rules'!B17,IF(S242="",FALSE,S242&gt;='Coverage Rules'!D24)),"Denied","OK"))</f>
        <v/>
      </c>
      <c r="L242">
        <f>IF(B242="","",IFERROR(SUMPRODUCT((LEN(Employees!$A$3:$A$500)&gt;0)*(Employees!$T$3:$T$500=1)*(COUNTIFS($B$3:$B$500,Employees!$A$3:$A$500,$H$3:$H$500,"Approved",$D$3:$D$500,"&lt;="&amp;E242,$E$3:$E$500,"&gt;="&amp;D242,$A$3:$A$500,"&lt;&gt;"&amp;A242)=0)),0))</f>
        <v/>
      </c>
      <c r="M242">
        <f>IF(B242="","",IFERROR(SUMPRODUCT((LEN(Employees!$A$3:$A$500)&gt;0)*(Employees!$U$3:$U$500=1)*(COUNTIFS($B$3:$B$500,Employees!$A$3:$A$500,$H$3:$H$500,"Approved",$D$3:$D$500,"&lt;="&amp;E242,$E$3:$E$500,"&gt;="&amp;D242,$A$3:$A$500,"&lt;&gt;"&amp;A242)=0)),0))</f>
        <v/>
      </c>
      <c r="N242">
        <f>IF(B242="","",IFERROR(SUMPRODUCT((LEN(Employees!$A$3:$A$500)&gt;0)*(Employees!$B$3:$B$500="Manager")*(Employees!$U$3:$U$500=1)*(COUNTIFS($B$3:$B$500,Employees!$A$3:$A$500,$H$3:$H$500,"Approved",$D$3:$D$500,"&lt;="&amp;E242,$E$3:$E$500,"&gt;="&amp;D242,$A$3:$A$500,"&lt;&gt;"&amp;A242)=0)),0))</f>
        <v/>
      </c>
      <c r="O242">
        <f>IF(B242="","",IFERROR(SUMPRODUCT((LEN(Employees!$A$3:$A$500)&gt;0)*(Employees!$V$3:$V$500=1)*(COUNTIFS($B$3:$B$500,Employees!$A$3:$A$500,$H$3:$H$500,"Approved",$D$3:$D$500,"&lt;="&amp;E242,$E$3:$E$500,"&gt;="&amp;D242,$A$3:$A$500,"&lt;&gt;"&amp;A242)=0)),0))</f>
        <v/>
      </c>
      <c r="P242">
        <f>IF(B242="","",IFERROR(SUMPRODUCT((LEN(Employees!$A$3:$A$500)&gt;0)*(Employees!$W$3:$W$500=1)*(COUNTIFS($B$3:$B$500,Employees!$A$3:$A$500,$H$3:$H$500,"Approved",$D$3:$D$500,"&lt;="&amp;E242,$E$3:$E$500,"&gt;="&amp;D242,$A$3:$A$500,"&lt;&gt;"&amp;A242)=0)),0))</f>
        <v/>
      </c>
      <c r="Q242">
        <f>IF(B242="","",IFERROR(SUMPRODUCT((LEN(Employees!$A$3:$A$500)&gt;0)*(Employees!$N$3:$N$500=1)*(COUNTIFS($B$3:$B$500,Employees!$A$3:$A$500,$H$3:$H$500,"Approved",$D$3:$D$500,"&lt;="&amp;E242,$E$3:$E$500,"&gt;="&amp;D242,$A$3:$A$500,"&lt;&gt;"&amp;A242)&gt;0)),0))</f>
        <v/>
      </c>
      <c r="R242">
        <f>IF(B242="","",IFERROR(SUMPRODUCT((LEN(Employees!$A$3:$A$500)&gt;0)*(Employees!$O$3:$O$500=1)*(COUNTIFS($B$3:$B$500,Employees!$A$3:$A$500,$H$3:$H$500,"Approved",$D$3:$D$500,"&lt;="&amp;E242,$E$3:$E$500,"&gt;="&amp;D242,$A$3:$A$500,"&lt;&gt;"&amp;A242)&gt;0)),0))</f>
        <v/>
      </c>
      <c r="S242">
        <f>IF(OR(B242="",IFERROR(XLOOKUP(B242,Employees!$A$3:$A$500,Employees!$G$3:$G$500,""),"")=""),"",IFERROR(SUMPRODUCT((LEN(Employees!$A$3:$A$500)&gt;0)*(Employees!$G$3:$G$500=IFERROR(XLOOKUP(B242,Employees!$A$3:$A$500,Employees!$G$3:$G$500,""),""))*(COUNTIFS($B$3:$B$500,Employees!$A$3:$A$500,$H$3:$H$500,"Approved",$D$3:$D$500,"&lt;="&amp;E242,$E$3:$E$500,"&gt;="&amp;D242,$A$3:$A$500,"&lt;&gt;"&amp;A242)&gt;0)),0))</f>
        <v/>
      </c>
    </row>
    <row r="243">
      <c r="C243">
        <f>IFERROR(XLOOKUP(B243,Employees!$A$3:$A$500,Employees!$B$3:$B$500,""),"")</f>
        <v/>
      </c>
      <c r="I243">
        <f>IF(AND(B243&lt;&gt;"",D243&lt;&gt;"",E243&lt;&gt;""),E243-D243+1,"")</f>
        <v/>
      </c>
      <c r="J243">
        <f>IF(OR(B243="",D243="",E243=""),"",IF(OR(L243&lt;'Coverage Rules'!E7,M243&lt;'Coverage Rules'!E8,N243&lt;'Coverage Rules'!C8,O243&lt;'Coverage Rules'!E9,P243&lt;'Coverage Rules'!E10,Q243&gt;='Coverage Rules'!B16,R243&gt;='Coverage Rules'!B17,IF(S243="",FALSE,S243&gt;='Coverage Rules'!D24)),"Denied","OK"))</f>
        <v/>
      </c>
      <c r="L243">
        <f>IF(B243="","",IFERROR(SUMPRODUCT((LEN(Employees!$A$3:$A$500)&gt;0)*(Employees!$T$3:$T$500=1)*(COUNTIFS($B$3:$B$500,Employees!$A$3:$A$500,$H$3:$H$500,"Approved",$D$3:$D$500,"&lt;="&amp;E243,$E$3:$E$500,"&gt;="&amp;D243,$A$3:$A$500,"&lt;&gt;"&amp;A243)=0)),0))</f>
        <v/>
      </c>
      <c r="M243">
        <f>IF(B243="","",IFERROR(SUMPRODUCT((LEN(Employees!$A$3:$A$500)&gt;0)*(Employees!$U$3:$U$500=1)*(COUNTIFS($B$3:$B$500,Employees!$A$3:$A$500,$H$3:$H$500,"Approved",$D$3:$D$500,"&lt;="&amp;E243,$E$3:$E$500,"&gt;="&amp;D243,$A$3:$A$500,"&lt;&gt;"&amp;A243)=0)),0))</f>
        <v/>
      </c>
      <c r="N243">
        <f>IF(B243="","",IFERROR(SUMPRODUCT((LEN(Employees!$A$3:$A$500)&gt;0)*(Employees!$B$3:$B$500="Manager")*(Employees!$U$3:$U$500=1)*(COUNTIFS($B$3:$B$500,Employees!$A$3:$A$500,$H$3:$H$500,"Approved",$D$3:$D$500,"&lt;="&amp;E243,$E$3:$E$500,"&gt;="&amp;D243,$A$3:$A$500,"&lt;&gt;"&amp;A243)=0)),0))</f>
        <v/>
      </c>
      <c r="O243">
        <f>IF(B243="","",IFERROR(SUMPRODUCT((LEN(Employees!$A$3:$A$500)&gt;0)*(Employees!$V$3:$V$500=1)*(COUNTIFS($B$3:$B$500,Employees!$A$3:$A$500,$H$3:$H$500,"Approved",$D$3:$D$500,"&lt;="&amp;E243,$E$3:$E$500,"&gt;="&amp;D243,$A$3:$A$500,"&lt;&gt;"&amp;A243)=0)),0))</f>
        <v/>
      </c>
      <c r="P243">
        <f>IF(B243="","",IFERROR(SUMPRODUCT((LEN(Employees!$A$3:$A$500)&gt;0)*(Employees!$W$3:$W$500=1)*(COUNTIFS($B$3:$B$500,Employees!$A$3:$A$500,$H$3:$H$500,"Approved",$D$3:$D$500,"&lt;="&amp;E243,$E$3:$E$500,"&gt;="&amp;D243,$A$3:$A$500,"&lt;&gt;"&amp;A243)=0)),0))</f>
        <v/>
      </c>
      <c r="Q243">
        <f>IF(B243="","",IFERROR(SUMPRODUCT((LEN(Employees!$A$3:$A$500)&gt;0)*(Employees!$N$3:$N$500=1)*(COUNTIFS($B$3:$B$500,Employees!$A$3:$A$500,$H$3:$H$500,"Approved",$D$3:$D$500,"&lt;="&amp;E243,$E$3:$E$500,"&gt;="&amp;D243,$A$3:$A$500,"&lt;&gt;"&amp;A243)&gt;0)),0))</f>
        <v/>
      </c>
      <c r="R243">
        <f>IF(B243="","",IFERROR(SUMPRODUCT((LEN(Employees!$A$3:$A$500)&gt;0)*(Employees!$O$3:$O$500=1)*(COUNTIFS($B$3:$B$500,Employees!$A$3:$A$500,$H$3:$H$500,"Approved",$D$3:$D$500,"&lt;="&amp;E243,$E$3:$E$500,"&gt;="&amp;D243,$A$3:$A$500,"&lt;&gt;"&amp;A243)&gt;0)),0))</f>
        <v/>
      </c>
      <c r="S243">
        <f>IF(OR(B243="",IFERROR(XLOOKUP(B243,Employees!$A$3:$A$500,Employees!$G$3:$G$500,""),"")=""),"",IFERROR(SUMPRODUCT((LEN(Employees!$A$3:$A$500)&gt;0)*(Employees!$G$3:$G$500=IFERROR(XLOOKUP(B243,Employees!$A$3:$A$500,Employees!$G$3:$G$500,""),""))*(COUNTIFS($B$3:$B$500,Employees!$A$3:$A$500,$H$3:$H$500,"Approved",$D$3:$D$500,"&lt;="&amp;E243,$E$3:$E$500,"&gt;="&amp;D243,$A$3:$A$500,"&lt;&gt;"&amp;A243)&gt;0)),0))</f>
        <v/>
      </c>
    </row>
    <row r="244">
      <c r="C244">
        <f>IFERROR(XLOOKUP(B244,Employees!$A$3:$A$500,Employees!$B$3:$B$500,""),"")</f>
        <v/>
      </c>
      <c r="I244">
        <f>IF(AND(B244&lt;&gt;"",D244&lt;&gt;"",E244&lt;&gt;""),E244-D244+1,"")</f>
        <v/>
      </c>
      <c r="J244">
        <f>IF(OR(B244="",D244="",E244=""),"",IF(OR(L244&lt;'Coverage Rules'!E7,M244&lt;'Coverage Rules'!E8,N244&lt;'Coverage Rules'!C8,O244&lt;'Coverage Rules'!E9,P244&lt;'Coverage Rules'!E10,Q244&gt;='Coverage Rules'!B16,R244&gt;='Coverage Rules'!B17,IF(S244="",FALSE,S244&gt;='Coverage Rules'!D24)),"Denied","OK"))</f>
        <v/>
      </c>
      <c r="L244">
        <f>IF(B244="","",IFERROR(SUMPRODUCT((LEN(Employees!$A$3:$A$500)&gt;0)*(Employees!$T$3:$T$500=1)*(COUNTIFS($B$3:$B$500,Employees!$A$3:$A$500,$H$3:$H$500,"Approved",$D$3:$D$500,"&lt;="&amp;E244,$E$3:$E$500,"&gt;="&amp;D244,$A$3:$A$500,"&lt;&gt;"&amp;A244)=0)),0))</f>
        <v/>
      </c>
      <c r="M244">
        <f>IF(B244="","",IFERROR(SUMPRODUCT((LEN(Employees!$A$3:$A$500)&gt;0)*(Employees!$U$3:$U$500=1)*(COUNTIFS($B$3:$B$500,Employees!$A$3:$A$500,$H$3:$H$500,"Approved",$D$3:$D$500,"&lt;="&amp;E244,$E$3:$E$500,"&gt;="&amp;D244,$A$3:$A$500,"&lt;&gt;"&amp;A244)=0)),0))</f>
        <v/>
      </c>
      <c r="N244">
        <f>IF(B244="","",IFERROR(SUMPRODUCT((LEN(Employees!$A$3:$A$500)&gt;0)*(Employees!$B$3:$B$500="Manager")*(Employees!$U$3:$U$500=1)*(COUNTIFS($B$3:$B$500,Employees!$A$3:$A$500,$H$3:$H$500,"Approved",$D$3:$D$500,"&lt;="&amp;E244,$E$3:$E$500,"&gt;="&amp;D244,$A$3:$A$500,"&lt;&gt;"&amp;A244)=0)),0))</f>
        <v/>
      </c>
      <c r="O244">
        <f>IF(B244="","",IFERROR(SUMPRODUCT((LEN(Employees!$A$3:$A$500)&gt;0)*(Employees!$V$3:$V$500=1)*(COUNTIFS($B$3:$B$500,Employees!$A$3:$A$500,$H$3:$H$500,"Approved",$D$3:$D$500,"&lt;="&amp;E244,$E$3:$E$500,"&gt;="&amp;D244,$A$3:$A$500,"&lt;&gt;"&amp;A244)=0)),0))</f>
        <v/>
      </c>
      <c r="P244">
        <f>IF(B244="","",IFERROR(SUMPRODUCT((LEN(Employees!$A$3:$A$500)&gt;0)*(Employees!$W$3:$W$500=1)*(COUNTIFS($B$3:$B$500,Employees!$A$3:$A$500,$H$3:$H$500,"Approved",$D$3:$D$500,"&lt;="&amp;E244,$E$3:$E$500,"&gt;="&amp;D244,$A$3:$A$500,"&lt;&gt;"&amp;A244)=0)),0))</f>
        <v/>
      </c>
      <c r="Q244">
        <f>IF(B244="","",IFERROR(SUMPRODUCT((LEN(Employees!$A$3:$A$500)&gt;0)*(Employees!$N$3:$N$500=1)*(COUNTIFS($B$3:$B$500,Employees!$A$3:$A$500,$H$3:$H$500,"Approved",$D$3:$D$500,"&lt;="&amp;E244,$E$3:$E$500,"&gt;="&amp;D244,$A$3:$A$500,"&lt;&gt;"&amp;A244)&gt;0)),0))</f>
        <v/>
      </c>
      <c r="R244">
        <f>IF(B244="","",IFERROR(SUMPRODUCT((LEN(Employees!$A$3:$A$500)&gt;0)*(Employees!$O$3:$O$500=1)*(COUNTIFS($B$3:$B$500,Employees!$A$3:$A$500,$H$3:$H$500,"Approved",$D$3:$D$500,"&lt;="&amp;E244,$E$3:$E$500,"&gt;="&amp;D244,$A$3:$A$500,"&lt;&gt;"&amp;A244)&gt;0)),0))</f>
        <v/>
      </c>
      <c r="S244">
        <f>IF(OR(B244="",IFERROR(XLOOKUP(B244,Employees!$A$3:$A$500,Employees!$G$3:$G$500,""),"")=""),"",IFERROR(SUMPRODUCT((LEN(Employees!$A$3:$A$500)&gt;0)*(Employees!$G$3:$G$500=IFERROR(XLOOKUP(B244,Employees!$A$3:$A$500,Employees!$G$3:$G$500,""),""))*(COUNTIFS($B$3:$B$500,Employees!$A$3:$A$500,$H$3:$H$500,"Approved",$D$3:$D$500,"&lt;="&amp;E244,$E$3:$E$500,"&gt;="&amp;D244,$A$3:$A$500,"&lt;&gt;"&amp;A244)&gt;0)),0))</f>
        <v/>
      </c>
    </row>
    <row r="245">
      <c r="C245">
        <f>IFERROR(XLOOKUP(B245,Employees!$A$3:$A$500,Employees!$B$3:$B$500,""),"")</f>
        <v/>
      </c>
      <c r="I245">
        <f>IF(AND(B245&lt;&gt;"",D245&lt;&gt;"",E245&lt;&gt;""),E245-D245+1,"")</f>
        <v/>
      </c>
      <c r="J245">
        <f>IF(OR(B245="",D245="",E245=""),"",IF(OR(L245&lt;'Coverage Rules'!E7,M245&lt;'Coverage Rules'!E8,N245&lt;'Coverage Rules'!C8,O245&lt;'Coverage Rules'!E9,P245&lt;'Coverage Rules'!E10,Q245&gt;='Coverage Rules'!B16,R245&gt;='Coverage Rules'!B17,IF(S245="",FALSE,S245&gt;='Coverage Rules'!D24)),"Denied","OK"))</f>
        <v/>
      </c>
      <c r="L245">
        <f>IF(B245="","",IFERROR(SUMPRODUCT((LEN(Employees!$A$3:$A$500)&gt;0)*(Employees!$T$3:$T$500=1)*(COUNTIFS($B$3:$B$500,Employees!$A$3:$A$500,$H$3:$H$500,"Approved",$D$3:$D$500,"&lt;="&amp;E245,$E$3:$E$500,"&gt;="&amp;D245,$A$3:$A$500,"&lt;&gt;"&amp;A245)=0)),0))</f>
        <v/>
      </c>
      <c r="M245">
        <f>IF(B245="","",IFERROR(SUMPRODUCT((LEN(Employees!$A$3:$A$500)&gt;0)*(Employees!$U$3:$U$500=1)*(COUNTIFS($B$3:$B$500,Employees!$A$3:$A$500,$H$3:$H$500,"Approved",$D$3:$D$500,"&lt;="&amp;E245,$E$3:$E$500,"&gt;="&amp;D245,$A$3:$A$500,"&lt;&gt;"&amp;A245)=0)),0))</f>
        <v/>
      </c>
      <c r="N245">
        <f>IF(B245="","",IFERROR(SUMPRODUCT((LEN(Employees!$A$3:$A$500)&gt;0)*(Employees!$B$3:$B$500="Manager")*(Employees!$U$3:$U$500=1)*(COUNTIFS($B$3:$B$500,Employees!$A$3:$A$500,$H$3:$H$500,"Approved",$D$3:$D$500,"&lt;="&amp;E245,$E$3:$E$500,"&gt;="&amp;D245,$A$3:$A$500,"&lt;&gt;"&amp;A245)=0)),0))</f>
        <v/>
      </c>
      <c r="O245">
        <f>IF(B245="","",IFERROR(SUMPRODUCT((LEN(Employees!$A$3:$A$500)&gt;0)*(Employees!$V$3:$V$500=1)*(COUNTIFS($B$3:$B$500,Employees!$A$3:$A$500,$H$3:$H$500,"Approved",$D$3:$D$500,"&lt;="&amp;E245,$E$3:$E$500,"&gt;="&amp;D245,$A$3:$A$500,"&lt;&gt;"&amp;A245)=0)),0))</f>
        <v/>
      </c>
      <c r="P245">
        <f>IF(B245="","",IFERROR(SUMPRODUCT((LEN(Employees!$A$3:$A$500)&gt;0)*(Employees!$W$3:$W$500=1)*(COUNTIFS($B$3:$B$500,Employees!$A$3:$A$500,$H$3:$H$500,"Approved",$D$3:$D$500,"&lt;="&amp;E245,$E$3:$E$500,"&gt;="&amp;D245,$A$3:$A$500,"&lt;&gt;"&amp;A245)=0)),0))</f>
        <v/>
      </c>
      <c r="Q245">
        <f>IF(B245="","",IFERROR(SUMPRODUCT((LEN(Employees!$A$3:$A$500)&gt;0)*(Employees!$N$3:$N$500=1)*(COUNTIFS($B$3:$B$500,Employees!$A$3:$A$500,$H$3:$H$500,"Approved",$D$3:$D$500,"&lt;="&amp;E245,$E$3:$E$500,"&gt;="&amp;D245,$A$3:$A$500,"&lt;&gt;"&amp;A245)&gt;0)),0))</f>
        <v/>
      </c>
      <c r="R245">
        <f>IF(B245="","",IFERROR(SUMPRODUCT((LEN(Employees!$A$3:$A$500)&gt;0)*(Employees!$O$3:$O$500=1)*(COUNTIFS($B$3:$B$500,Employees!$A$3:$A$500,$H$3:$H$500,"Approved",$D$3:$D$500,"&lt;="&amp;E245,$E$3:$E$500,"&gt;="&amp;D245,$A$3:$A$500,"&lt;&gt;"&amp;A245)&gt;0)),0))</f>
        <v/>
      </c>
      <c r="S245">
        <f>IF(OR(B245="",IFERROR(XLOOKUP(B245,Employees!$A$3:$A$500,Employees!$G$3:$G$500,""),"")=""),"",IFERROR(SUMPRODUCT((LEN(Employees!$A$3:$A$500)&gt;0)*(Employees!$G$3:$G$500=IFERROR(XLOOKUP(B245,Employees!$A$3:$A$500,Employees!$G$3:$G$500,""),""))*(COUNTIFS($B$3:$B$500,Employees!$A$3:$A$500,$H$3:$H$500,"Approved",$D$3:$D$500,"&lt;="&amp;E245,$E$3:$E$500,"&gt;="&amp;D245,$A$3:$A$500,"&lt;&gt;"&amp;A245)&gt;0)),0))</f>
        <v/>
      </c>
    </row>
    <row r="246">
      <c r="C246">
        <f>IFERROR(XLOOKUP(B246,Employees!$A$3:$A$500,Employees!$B$3:$B$500,""),"")</f>
        <v/>
      </c>
      <c r="I246">
        <f>IF(AND(B246&lt;&gt;"",D246&lt;&gt;"",E246&lt;&gt;""),E246-D246+1,"")</f>
        <v/>
      </c>
      <c r="J246">
        <f>IF(OR(B246="",D246="",E246=""),"",IF(OR(L246&lt;'Coverage Rules'!E7,M246&lt;'Coverage Rules'!E8,N246&lt;'Coverage Rules'!C8,O246&lt;'Coverage Rules'!E9,P246&lt;'Coverage Rules'!E10,Q246&gt;='Coverage Rules'!B16,R246&gt;='Coverage Rules'!B17,IF(S246="",FALSE,S246&gt;='Coverage Rules'!D24)),"Denied","OK"))</f>
        <v/>
      </c>
      <c r="L246">
        <f>IF(B246="","",IFERROR(SUMPRODUCT((LEN(Employees!$A$3:$A$500)&gt;0)*(Employees!$T$3:$T$500=1)*(COUNTIFS($B$3:$B$500,Employees!$A$3:$A$500,$H$3:$H$500,"Approved",$D$3:$D$500,"&lt;="&amp;E246,$E$3:$E$500,"&gt;="&amp;D246,$A$3:$A$500,"&lt;&gt;"&amp;A246)=0)),0))</f>
        <v/>
      </c>
      <c r="M246">
        <f>IF(B246="","",IFERROR(SUMPRODUCT((LEN(Employees!$A$3:$A$500)&gt;0)*(Employees!$U$3:$U$500=1)*(COUNTIFS($B$3:$B$500,Employees!$A$3:$A$500,$H$3:$H$500,"Approved",$D$3:$D$500,"&lt;="&amp;E246,$E$3:$E$500,"&gt;="&amp;D246,$A$3:$A$500,"&lt;&gt;"&amp;A246)=0)),0))</f>
        <v/>
      </c>
      <c r="N246">
        <f>IF(B246="","",IFERROR(SUMPRODUCT((LEN(Employees!$A$3:$A$500)&gt;0)*(Employees!$B$3:$B$500="Manager")*(Employees!$U$3:$U$500=1)*(COUNTIFS($B$3:$B$500,Employees!$A$3:$A$500,$H$3:$H$500,"Approved",$D$3:$D$500,"&lt;="&amp;E246,$E$3:$E$500,"&gt;="&amp;D246,$A$3:$A$500,"&lt;&gt;"&amp;A246)=0)),0))</f>
        <v/>
      </c>
      <c r="O246">
        <f>IF(B246="","",IFERROR(SUMPRODUCT((LEN(Employees!$A$3:$A$500)&gt;0)*(Employees!$V$3:$V$500=1)*(COUNTIFS($B$3:$B$500,Employees!$A$3:$A$500,$H$3:$H$500,"Approved",$D$3:$D$500,"&lt;="&amp;E246,$E$3:$E$500,"&gt;="&amp;D246,$A$3:$A$500,"&lt;&gt;"&amp;A246)=0)),0))</f>
        <v/>
      </c>
      <c r="P246">
        <f>IF(B246="","",IFERROR(SUMPRODUCT((LEN(Employees!$A$3:$A$500)&gt;0)*(Employees!$W$3:$W$500=1)*(COUNTIFS($B$3:$B$500,Employees!$A$3:$A$500,$H$3:$H$500,"Approved",$D$3:$D$500,"&lt;="&amp;E246,$E$3:$E$500,"&gt;="&amp;D246,$A$3:$A$500,"&lt;&gt;"&amp;A246)=0)),0))</f>
        <v/>
      </c>
      <c r="Q246">
        <f>IF(B246="","",IFERROR(SUMPRODUCT((LEN(Employees!$A$3:$A$500)&gt;0)*(Employees!$N$3:$N$500=1)*(COUNTIFS($B$3:$B$500,Employees!$A$3:$A$500,$H$3:$H$500,"Approved",$D$3:$D$500,"&lt;="&amp;E246,$E$3:$E$500,"&gt;="&amp;D246,$A$3:$A$500,"&lt;&gt;"&amp;A246)&gt;0)),0))</f>
        <v/>
      </c>
      <c r="R246">
        <f>IF(B246="","",IFERROR(SUMPRODUCT((LEN(Employees!$A$3:$A$500)&gt;0)*(Employees!$O$3:$O$500=1)*(COUNTIFS($B$3:$B$500,Employees!$A$3:$A$500,$H$3:$H$500,"Approved",$D$3:$D$500,"&lt;="&amp;E246,$E$3:$E$500,"&gt;="&amp;D246,$A$3:$A$500,"&lt;&gt;"&amp;A246)&gt;0)),0))</f>
        <v/>
      </c>
      <c r="S246">
        <f>IF(OR(B246="",IFERROR(XLOOKUP(B246,Employees!$A$3:$A$500,Employees!$G$3:$G$500,""),"")=""),"",IFERROR(SUMPRODUCT((LEN(Employees!$A$3:$A$500)&gt;0)*(Employees!$G$3:$G$500=IFERROR(XLOOKUP(B246,Employees!$A$3:$A$500,Employees!$G$3:$G$500,""),""))*(COUNTIFS($B$3:$B$500,Employees!$A$3:$A$500,$H$3:$H$500,"Approved",$D$3:$D$500,"&lt;="&amp;E246,$E$3:$E$500,"&gt;="&amp;D246,$A$3:$A$500,"&lt;&gt;"&amp;A246)&gt;0)),0))</f>
        <v/>
      </c>
    </row>
    <row r="247">
      <c r="C247">
        <f>IFERROR(XLOOKUP(B247,Employees!$A$3:$A$500,Employees!$B$3:$B$500,""),"")</f>
        <v/>
      </c>
      <c r="I247">
        <f>IF(AND(B247&lt;&gt;"",D247&lt;&gt;"",E247&lt;&gt;""),E247-D247+1,"")</f>
        <v/>
      </c>
      <c r="J247">
        <f>IF(OR(B247="",D247="",E247=""),"",IF(OR(L247&lt;'Coverage Rules'!E7,M247&lt;'Coverage Rules'!E8,N247&lt;'Coverage Rules'!C8,O247&lt;'Coverage Rules'!E9,P247&lt;'Coverage Rules'!E10,Q247&gt;='Coverage Rules'!B16,R247&gt;='Coverage Rules'!B17,IF(S247="",FALSE,S247&gt;='Coverage Rules'!D24)),"Denied","OK"))</f>
        <v/>
      </c>
      <c r="L247">
        <f>IF(B247="","",IFERROR(SUMPRODUCT((LEN(Employees!$A$3:$A$500)&gt;0)*(Employees!$T$3:$T$500=1)*(COUNTIFS($B$3:$B$500,Employees!$A$3:$A$500,$H$3:$H$500,"Approved",$D$3:$D$500,"&lt;="&amp;E247,$E$3:$E$500,"&gt;="&amp;D247,$A$3:$A$500,"&lt;&gt;"&amp;A247)=0)),0))</f>
        <v/>
      </c>
      <c r="M247">
        <f>IF(B247="","",IFERROR(SUMPRODUCT((LEN(Employees!$A$3:$A$500)&gt;0)*(Employees!$U$3:$U$500=1)*(COUNTIFS($B$3:$B$500,Employees!$A$3:$A$500,$H$3:$H$500,"Approved",$D$3:$D$500,"&lt;="&amp;E247,$E$3:$E$500,"&gt;="&amp;D247,$A$3:$A$500,"&lt;&gt;"&amp;A247)=0)),0))</f>
        <v/>
      </c>
      <c r="N247">
        <f>IF(B247="","",IFERROR(SUMPRODUCT((LEN(Employees!$A$3:$A$500)&gt;0)*(Employees!$B$3:$B$500="Manager")*(Employees!$U$3:$U$500=1)*(COUNTIFS($B$3:$B$500,Employees!$A$3:$A$500,$H$3:$H$500,"Approved",$D$3:$D$500,"&lt;="&amp;E247,$E$3:$E$500,"&gt;="&amp;D247,$A$3:$A$500,"&lt;&gt;"&amp;A247)=0)),0))</f>
        <v/>
      </c>
      <c r="O247">
        <f>IF(B247="","",IFERROR(SUMPRODUCT((LEN(Employees!$A$3:$A$500)&gt;0)*(Employees!$V$3:$V$500=1)*(COUNTIFS($B$3:$B$500,Employees!$A$3:$A$500,$H$3:$H$500,"Approved",$D$3:$D$500,"&lt;="&amp;E247,$E$3:$E$500,"&gt;="&amp;D247,$A$3:$A$500,"&lt;&gt;"&amp;A247)=0)),0))</f>
        <v/>
      </c>
      <c r="P247">
        <f>IF(B247="","",IFERROR(SUMPRODUCT((LEN(Employees!$A$3:$A$500)&gt;0)*(Employees!$W$3:$W$500=1)*(COUNTIFS($B$3:$B$500,Employees!$A$3:$A$500,$H$3:$H$500,"Approved",$D$3:$D$500,"&lt;="&amp;E247,$E$3:$E$500,"&gt;="&amp;D247,$A$3:$A$500,"&lt;&gt;"&amp;A247)=0)),0))</f>
        <v/>
      </c>
      <c r="Q247">
        <f>IF(B247="","",IFERROR(SUMPRODUCT((LEN(Employees!$A$3:$A$500)&gt;0)*(Employees!$N$3:$N$500=1)*(COUNTIFS($B$3:$B$500,Employees!$A$3:$A$500,$H$3:$H$500,"Approved",$D$3:$D$500,"&lt;="&amp;E247,$E$3:$E$500,"&gt;="&amp;D247,$A$3:$A$500,"&lt;&gt;"&amp;A247)&gt;0)),0))</f>
        <v/>
      </c>
      <c r="R247">
        <f>IF(B247="","",IFERROR(SUMPRODUCT((LEN(Employees!$A$3:$A$500)&gt;0)*(Employees!$O$3:$O$500=1)*(COUNTIFS($B$3:$B$500,Employees!$A$3:$A$500,$H$3:$H$500,"Approved",$D$3:$D$500,"&lt;="&amp;E247,$E$3:$E$500,"&gt;="&amp;D247,$A$3:$A$500,"&lt;&gt;"&amp;A247)&gt;0)),0))</f>
        <v/>
      </c>
      <c r="S247">
        <f>IF(OR(B247="",IFERROR(XLOOKUP(B247,Employees!$A$3:$A$500,Employees!$G$3:$G$500,""),"")=""),"",IFERROR(SUMPRODUCT((LEN(Employees!$A$3:$A$500)&gt;0)*(Employees!$G$3:$G$500=IFERROR(XLOOKUP(B247,Employees!$A$3:$A$500,Employees!$G$3:$G$500,""),""))*(COUNTIFS($B$3:$B$500,Employees!$A$3:$A$500,$H$3:$H$500,"Approved",$D$3:$D$500,"&lt;="&amp;E247,$E$3:$E$500,"&gt;="&amp;D247,$A$3:$A$500,"&lt;&gt;"&amp;A247)&gt;0)),0))</f>
        <v/>
      </c>
    </row>
    <row r="248">
      <c r="C248">
        <f>IFERROR(XLOOKUP(B248,Employees!$A$3:$A$500,Employees!$B$3:$B$500,""),"")</f>
        <v/>
      </c>
      <c r="I248">
        <f>IF(AND(B248&lt;&gt;"",D248&lt;&gt;"",E248&lt;&gt;""),E248-D248+1,"")</f>
        <v/>
      </c>
      <c r="J248">
        <f>IF(OR(B248="",D248="",E248=""),"",IF(OR(L248&lt;'Coverage Rules'!E7,M248&lt;'Coverage Rules'!E8,N248&lt;'Coverage Rules'!C8,O248&lt;'Coverage Rules'!E9,P248&lt;'Coverage Rules'!E10,Q248&gt;='Coverage Rules'!B16,R248&gt;='Coverage Rules'!B17,IF(S248="",FALSE,S248&gt;='Coverage Rules'!D24)),"Denied","OK"))</f>
        <v/>
      </c>
      <c r="L248">
        <f>IF(B248="","",IFERROR(SUMPRODUCT((LEN(Employees!$A$3:$A$500)&gt;0)*(Employees!$T$3:$T$500=1)*(COUNTIFS($B$3:$B$500,Employees!$A$3:$A$500,$H$3:$H$500,"Approved",$D$3:$D$500,"&lt;="&amp;E248,$E$3:$E$500,"&gt;="&amp;D248,$A$3:$A$500,"&lt;&gt;"&amp;A248)=0)),0))</f>
        <v/>
      </c>
      <c r="M248">
        <f>IF(B248="","",IFERROR(SUMPRODUCT((LEN(Employees!$A$3:$A$500)&gt;0)*(Employees!$U$3:$U$500=1)*(COUNTIFS($B$3:$B$500,Employees!$A$3:$A$500,$H$3:$H$500,"Approved",$D$3:$D$500,"&lt;="&amp;E248,$E$3:$E$500,"&gt;="&amp;D248,$A$3:$A$500,"&lt;&gt;"&amp;A248)=0)),0))</f>
        <v/>
      </c>
      <c r="N248">
        <f>IF(B248="","",IFERROR(SUMPRODUCT((LEN(Employees!$A$3:$A$500)&gt;0)*(Employees!$B$3:$B$500="Manager")*(Employees!$U$3:$U$500=1)*(COUNTIFS($B$3:$B$500,Employees!$A$3:$A$500,$H$3:$H$500,"Approved",$D$3:$D$500,"&lt;="&amp;E248,$E$3:$E$500,"&gt;="&amp;D248,$A$3:$A$500,"&lt;&gt;"&amp;A248)=0)),0))</f>
        <v/>
      </c>
      <c r="O248">
        <f>IF(B248="","",IFERROR(SUMPRODUCT((LEN(Employees!$A$3:$A$500)&gt;0)*(Employees!$V$3:$V$500=1)*(COUNTIFS($B$3:$B$500,Employees!$A$3:$A$500,$H$3:$H$500,"Approved",$D$3:$D$500,"&lt;="&amp;E248,$E$3:$E$500,"&gt;="&amp;D248,$A$3:$A$500,"&lt;&gt;"&amp;A248)=0)),0))</f>
        <v/>
      </c>
      <c r="P248">
        <f>IF(B248="","",IFERROR(SUMPRODUCT((LEN(Employees!$A$3:$A$500)&gt;0)*(Employees!$W$3:$W$500=1)*(COUNTIFS($B$3:$B$500,Employees!$A$3:$A$500,$H$3:$H$500,"Approved",$D$3:$D$500,"&lt;="&amp;E248,$E$3:$E$500,"&gt;="&amp;D248,$A$3:$A$500,"&lt;&gt;"&amp;A248)=0)),0))</f>
        <v/>
      </c>
      <c r="Q248">
        <f>IF(B248="","",IFERROR(SUMPRODUCT((LEN(Employees!$A$3:$A$500)&gt;0)*(Employees!$N$3:$N$500=1)*(COUNTIFS($B$3:$B$500,Employees!$A$3:$A$500,$H$3:$H$500,"Approved",$D$3:$D$500,"&lt;="&amp;E248,$E$3:$E$500,"&gt;="&amp;D248,$A$3:$A$500,"&lt;&gt;"&amp;A248)&gt;0)),0))</f>
        <v/>
      </c>
      <c r="R248">
        <f>IF(B248="","",IFERROR(SUMPRODUCT((LEN(Employees!$A$3:$A$500)&gt;0)*(Employees!$O$3:$O$500=1)*(COUNTIFS($B$3:$B$500,Employees!$A$3:$A$500,$H$3:$H$500,"Approved",$D$3:$D$500,"&lt;="&amp;E248,$E$3:$E$500,"&gt;="&amp;D248,$A$3:$A$500,"&lt;&gt;"&amp;A248)&gt;0)),0))</f>
        <v/>
      </c>
      <c r="S248">
        <f>IF(OR(B248="",IFERROR(XLOOKUP(B248,Employees!$A$3:$A$500,Employees!$G$3:$G$500,""),"")=""),"",IFERROR(SUMPRODUCT((LEN(Employees!$A$3:$A$500)&gt;0)*(Employees!$G$3:$G$500=IFERROR(XLOOKUP(B248,Employees!$A$3:$A$500,Employees!$G$3:$G$500,""),""))*(COUNTIFS($B$3:$B$500,Employees!$A$3:$A$500,$H$3:$H$500,"Approved",$D$3:$D$500,"&lt;="&amp;E248,$E$3:$E$500,"&gt;="&amp;D248,$A$3:$A$500,"&lt;&gt;"&amp;A248)&gt;0)),0))</f>
        <v/>
      </c>
    </row>
    <row r="249">
      <c r="C249">
        <f>IFERROR(XLOOKUP(B249,Employees!$A$3:$A$500,Employees!$B$3:$B$500,""),"")</f>
        <v/>
      </c>
      <c r="I249">
        <f>IF(AND(B249&lt;&gt;"",D249&lt;&gt;"",E249&lt;&gt;""),E249-D249+1,"")</f>
        <v/>
      </c>
      <c r="J249">
        <f>IF(OR(B249="",D249="",E249=""),"",IF(OR(L249&lt;'Coverage Rules'!E7,M249&lt;'Coverage Rules'!E8,N249&lt;'Coverage Rules'!C8,O249&lt;'Coverage Rules'!E9,P249&lt;'Coverage Rules'!E10,Q249&gt;='Coverage Rules'!B16,R249&gt;='Coverage Rules'!B17,IF(S249="",FALSE,S249&gt;='Coverage Rules'!D24)),"Denied","OK"))</f>
        <v/>
      </c>
      <c r="L249">
        <f>IF(B249="","",IFERROR(SUMPRODUCT((LEN(Employees!$A$3:$A$500)&gt;0)*(Employees!$T$3:$T$500=1)*(COUNTIFS($B$3:$B$500,Employees!$A$3:$A$500,$H$3:$H$500,"Approved",$D$3:$D$500,"&lt;="&amp;E249,$E$3:$E$500,"&gt;="&amp;D249,$A$3:$A$500,"&lt;&gt;"&amp;A249)=0)),0))</f>
        <v/>
      </c>
      <c r="M249">
        <f>IF(B249="","",IFERROR(SUMPRODUCT((LEN(Employees!$A$3:$A$500)&gt;0)*(Employees!$U$3:$U$500=1)*(COUNTIFS($B$3:$B$500,Employees!$A$3:$A$500,$H$3:$H$500,"Approved",$D$3:$D$500,"&lt;="&amp;E249,$E$3:$E$500,"&gt;="&amp;D249,$A$3:$A$500,"&lt;&gt;"&amp;A249)=0)),0))</f>
        <v/>
      </c>
      <c r="N249">
        <f>IF(B249="","",IFERROR(SUMPRODUCT((LEN(Employees!$A$3:$A$500)&gt;0)*(Employees!$B$3:$B$500="Manager")*(Employees!$U$3:$U$500=1)*(COUNTIFS($B$3:$B$500,Employees!$A$3:$A$500,$H$3:$H$500,"Approved",$D$3:$D$500,"&lt;="&amp;E249,$E$3:$E$500,"&gt;="&amp;D249,$A$3:$A$500,"&lt;&gt;"&amp;A249)=0)),0))</f>
        <v/>
      </c>
      <c r="O249">
        <f>IF(B249="","",IFERROR(SUMPRODUCT((LEN(Employees!$A$3:$A$500)&gt;0)*(Employees!$V$3:$V$500=1)*(COUNTIFS($B$3:$B$500,Employees!$A$3:$A$500,$H$3:$H$500,"Approved",$D$3:$D$500,"&lt;="&amp;E249,$E$3:$E$500,"&gt;="&amp;D249,$A$3:$A$500,"&lt;&gt;"&amp;A249)=0)),0))</f>
        <v/>
      </c>
      <c r="P249">
        <f>IF(B249="","",IFERROR(SUMPRODUCT((LEN(Employees!$A$3:$A$500)&gt;0)*(Employees!$W$3:$W$500=1)*(COUNTIFS($B$3:$B$500,Employees!$A$3:$A$500,$H$3:$H$500,"Approved",$D$3:$D$500,"&lt;="&amp;E249,$E$3:$E$500,"&gt;="&amp;D249,$A$3:$A$500,"&lt;&gt;"&amp;A249)=0)),0))</f>
        <v/>
      </c>
      <c r="Q249">
        <f>IF(B249="","",IFERROR(SUMPRODUCT((LEN(Employees!$A$3:$A$500)&gt;0)*(Employees!$N$3:$N$500=1)*(COUNTIFS($B$3:$B$500,Employees!$A$3:$A$500,$H$3:$H$500,"Approved",$D$3:$D$500,"&lt;="&amp;E249,$E$3:$E$500,"&gt;="&amp;D249,$A$3:$A$500,"&lt;&gt;"&amp;A249)&gt;0)),0))</f>
        <v/>
      </c>
      <c r="R249">
        <f>IF(B249="","",IFERROR(SUMPRODUCT((LEN(Employees!$A$3:$A$500)&gt;0)*(Employees!$O$3:$O$500=1)*(COUNTIFS($B$3:$B$500,Employees!$A$3:$A$500,$H$3:$H$500,"Approved",$D$3:$D$500,"&lt;="&amp;E249,$E$3:$E$500,"&gt;="&amp;D249,$A$3:$A$500,"&lt;&gt;"&amp;A249)&gt;0)),0))</f>
        <v/>
      </c>
      <c r="S249">
        <f>IF(OR(B249="",IFERROR(XLOOKUP(B249,Employees!$A$3:$A$500,Employees!$G$3:$G$500,""),"")=""),"",IFERROR(SUMPRODUCT((LEN(Employees!$A$3:$A$500)&gt;0)*(Employees!$G$3:$G$500=IFERROR(XLOOKUP(B249,Employees!$A$3:$A$500,Employees!$G$3:$G$500,""),""))*(COUNTIFS($B$3:$B$500,Employees!$A$3:$A$500,$H$3:$H$500,"Approved",$D$3:$D$500,"&lt;="&amp;E249,$E$3:$E$500,"&gt;="&amp;D249,$A$3:$A$500,"&lt;&gt;"&amp;A249)&gt;0)),0))</f>
        <v/>
      </c>
    </row>
    <row r="250">
      <c r="C250">
        <f>IFERROR(XLOOKUP(B250,Employees!$A$3:$A$500,Employees!$B$3:$B$500,""),"")</f>
        <v/>
      </c>
      <c r="I250">
        <f>IF(AND(B250&lt;&gt;"",D250&lt;&gt;"",E250&lt;&gt;""),E250-D250+1,"")</f>
        <v/>
      </c>
      <c r="J250">
        <f>IF(OR(B250="",D250="",E250=""),"",IF(OR(L250&lt;'Coverage Rules'!E7,M250&lt;'Coverage Rules'!E8,N250&lt;'Coverage Rules'!C8,O250&lt;'Coverage Rules'!E9,P250&lt;'Coverage Rules'!E10,Q250&gt;='Coverage Rules'!B16,R250&gt;='Coverage Rules'!B17,IF(S250="",FALSE,S250&gt;='Coverage Rules'!D24)),"Denied","OK"))</f>
        <v/>
      </c>
      <c r="L250">
        <f>IF(B250="","",IFERROR(SUMPRODUCT((LEN(Employees!$A$3:$A$500)&gt;0)*(Employees!$T$3:$T$500=1)*(COUNTIFS($B$3:$B$500,Employees!$A$3:$A$500,$H$3:$H$500,"Approved",$D$3:$D$500,"&lt;="&amp;E250,$E$3:$E$500,"&gt;="&amp;D250,$A$3:$A$500,"&lt;&gt;"&amp;A250)=0)),0))</f>
        <v/>
      </c>
      <c r="M250">
        <f>IF(B250="","",IFERROR(SUMPRODUCT((LEN(Employees!$A$3:$A$500)&gt;0)*(Employees!$U$3:$U$500=1)*(COUNTIFS($B$3:$B$500,Employees!$A$3:$A$500,$H$3:$H$500,"Approved",$D$3:$D$500,"&lt;="&amp;E250,$E$3:$E$500,"&gt;="&amp;D250,$A$3:$A$500,"&lt;&gt;"&amp;A250)=0)),0))</f>
        <v/>
      </c>
      <c r="N250">
        <f>IF(B250="","",IFERROR(SUMPRODUCT((LEN(Employees!$A$3:$A$500)&gt;0)*(Employees!$B$3:$B$500="Manager")*(Employees!$U$3:$U$500=1)*(COUNTIFS($B$3:$B$500,Employees!$A$3:$A$500,$H$3:$H$500,"Approved",$D$3:$D$500,"&lt;="&amp;E250,$E$3:$E$500,"&gt;="&amp;D250,$A$3:$A$500,"&lt;&gt;"&amp;A250)=0)),0))</f>
        <v/>
      </c>
      <c r="O250">
        <f>IF(B250="","",IFERROR(SUMPRODUCT((LEN(Employees!$A$3:$A$500)&gt;0)*(Employees!$V$3:$V$500=1)*(COUNTIFS($B$3:$B$500,Employees!$A$3:$A$500,$H$3:$H$500,"Approved",$D$3:$D$500,"&lt;="&amp;E250,$E$3:$E$500,"&gt;="&amp;D250,$A$3:$A$500,"&lt;&gt;"&amp;A250)=0)),0))</f>
        <v/>
      </c>
      <c r="P250">
        <f>IF(B250="","",IFERROR(SUMPRODUCT((LEN(Employees!$A$3:$A$500)&gt;0)*(Employees!$W$3:$W$500=1)*(COUNTIFS($B$3:$B$500,Employees!$A$3:$A$500,$H$3:$H$500,"Approved",$D$3:$D$500,"&lt;="&amp;E250,$E$3:$E$500,"&gt;="&amp;D250,$A$3:$A$500,"&lt;&gt;"&amp;A250)=0)),0))</f>
        <v/>
      </c>
      <c r="Q250">
        <f>IF(B250="","",IFERROR(SUMPRODUCT((LEN(Employees!$A$3:$A$500)&gt;0)*(Employees!$N$3:$N$500=1)*(COUNTIFS($B$3:$B$500,Employees!$A$3:$A$500,$H$3:$H$500,"Approved",$D$3:$D$500,"&lt;="&amp;E250,$E$3:$E$500,"&gt;="&amp;D250,$A$3:$A$500,"&lt;&gt;"&amp;A250)&gt;0)),0))</f>
        <v/>
      </c>
      <c r="R250">
        <f>IF(B250="","",IFERROR(SUMPRODUCT((LEN(Employees!$A$3:$A$500)&gt;0)*(Employees!$O$3:$O$500=1)*(COUNTIFS($B$3:$B$500,Employees!$A$3:$A$500,$H$3:$H$500,"Approved",$D$3:$D$500,"&lt;="&amp;E250,$E$3:$E$500,"&gt;="&amp;D250,$A$3:$A$500,"&lt;&gt;"&amp;A250)&gt;0)),0))</f>
        <v/>
      </c>
      <c r="S250">
        <f>IF(OR(B250="",IFERROR(XLOOKUP(B250,Employees!$A$3:$A$500,Employees!$G$3:$G$500,""),"")=""),"",IFERROR(SUMPRODUCT((LEN(Employees!$A$3:$A$500)&gt;0)*(Employees!$G$3:$G$500=IFERROR(XLOOKUP(B250,Employees!$A$3:$A$500,Employees!$G$3:$G$500,""),""))*(COUNTIFS($B$3:$B$500,Employees!$A$3:$A$500,$H$3:$H$500,"Approved",$D$3:$D$500,"&lt;="&amp;E250,$E$3:$E$500,"&gt;="&amp;D250,$A$3:$A$500,"&lt;&gt;"&amp;A250)&gt;0)),0))</f>
        <v/>
      </c>
    </row>
    <row r="251">
      <c r="C251">
        <f>IFERROR(XLOOKUP(B251,Employees!$A$3:$A$500,Employees!$B$3:$B$500,""),"")</f>
        <v/>
      </c>
      <c r="I251">
        <f>IF(AND(B251&lt;&gt;"",D251&lt;&gt;"",E251&lt;&gt;""),E251-D251+1,"")</f>
        <v/>
      </c>
      <c r="J251">
        <f>IF(OR(B251="",D251="",E251=""),"",IF(OR(L251&lt;'Coverage Rules'!E7,M251&lt;'Coverage Rules'!E8,N251&lt;'Coverage Rules'!C8,O251&lt;'Coverage Rules'!E9,P251&lt;'Coverage Rules'!E10,Q251&gt;='Coverage Rules'!B16,R251&gt;='Coverage Rules'!B17,IF(S251="",FALSE,S251&gt;='Coverage Rules'!D24)),"Denied","OK"))</f>
        <v/>
      </c>
      <c r="L251">
        <f>IF(B251="","",IFERROR(SUMPRODUCT((LEN(Employees!$A$3:$A$500)&gt;0)*(Employees!$T$3:$T$500=1)*(COUNTIFS($B$3:$B$500,Employees!$A$3:$A$500,$H$3:$H$500,"Approved",$D$3:$D$500,"&lt;="&amp;E251,$E$3:$E$500,"&gt;="&amp;D251,$A$3:$A$500,"&lt;&gt;"&amp;A251)=0)),0))</f>
        <v/>
      </c>
      <c r="M251">
        <f>IF(B251="","",IFERROR(SUMPRODUCT((LEN(Employees!$A$3:$A$500)&gt;0)*(Employees!$U$3:$U$500=1)*(COUNTIFS($B$3:$B$500,Employees!$A$3:$A$500,$H$3:$H$500,"Approved",$D$3:$D$500,"&lt;="&amp;E251,$E$3:$E$500,"&gt;="&amp;D251,$A$3:$A$500,"&lt;&gt;"&amp;A251)=0)),0))</f>
        <v/>
      </c>
      <c r="N251">
        <f>IF(B251="","",IFERROR(SUMPRODUCT((LEN(Employees!$A$3:$A$500)&gt;0)*(Employees!$B$3:$B$500="Manager")*(Employees!$U$3:$U$500=1)*(COUNTIFS($B$3:$B$500,Employees!$A$3:$A$500,$H$3:$H$500,"Approved",$D$3:$D$500,"&lt;="&amp;E251,$E$3:$E$500,"&gt;="&amp;D251,$A$3:$A$500,"&lt;&gt;"&amp;A251)=0)),0))</f>
        <v/>
      </c>
      <c r="O251">
        <f>IF(B251="","",IFERROR(SUMPRODUCT((LEN(Employees!$A$3:$A$500)&gt;0)*(Employees!$V$3:$V$500=1)*(COUNTIFS($B$3:$B$500,Employees!$A$3:$A$500,$H$3:$H$500,"Approved",$D$3:$D$500,"&lt;="&amp;E251,$E$3:$E$500,"&gt;="&amp;D251,$A$3:$A$500,"&lt;&gt;"&amp;A251)=0)),0))</f>
        <v/>
      </c>
      <c r="P251">
        <f>IF(B251="","",IFERROR(SUMPRODUCT((LEN(Employees!$A$3:$A$500)&gt;0)*(Employees!$W$3:$W$500=1)*(COUNTIFS($B$3:$B$500,Employees!$A$3:$A$500,$H$3:$H$500,"Approved",$D$3:$D$500,"&lt;="&amp;E251,$E$3:$E$500,"&gt;="&amp;D251,$A$3:$A$500,"&lt;&gt;"&amp;A251)=0)),0))</f>
        <v/>
      </c>
      <c r="Q251">
        <f>IF(B251="","",IFERROR(SUMPRODUCT((LEN(Employees!$A$3:$A$500)&gt;0)*(Employees!$N$3:$N$500=1)*(COUNTIFS($B$3:$B$500,Employees!$A$3:$A$500,$H$3:$H$500,"Approved",$D$3:$D$500,"&lt;="&amp;E251,$E$3:$E$500,"&gt;="&amp;D251,$A$3:$A$500,"&lt;&gt;"&amp;A251)&gt;0)),0))</f>
        <v/>
      </c>
      <c r="R251">
        <f>IF(B251="","",IFERROR(SUMPRODUCT((LEN(Employees!$A$3:$A$500)&gt;0)*(Employees!$O$3:$O$500=1)*(COUNTIFS($B$3:$B$500,Employees!$A$3:$A$500,$H$3:$H$500,"Approved",$D$3:$D$500,"&lt;="&amp;E251,$E$3:$E$500,"&gt;="&amp;D251,$A$3:$A$500,"&lt;&gt;"&amp;A251)&gt;0)),0))</f>
        <v/>
      </c>
      <c r="S251">
        <f>IF(OR(B251="",IFERROR(XLOOKUP(B251,Employees!$A$3:$A$500,Employees!$G$3:$G$500,""),"")=""),"",IFERROR(SUMPRODUCT((LEN(Employees!$A$3:$A$500)&gt;0)*(Employees!$G$3:$G$500=IFERROR(XLOOKUP(B251,Employees!$A$3:$A$500,Employees!$G$3:$G$500,""),""))*(COUNTIFS($B$3:$B$500,Employees!$A$3:$A$500,$H$3:$H$500,"Approved",$D$3:$D$500,"&lt;="&amp;E251,$E$3:$E$500,"&gt;="&amp;D251,$A$3:$A$500,"&lt;&gt;"&amp;A251)&gt;0)),0))</f>
        <v/>
      </c>
    </row>
    <row r="252">
      <c r="C252">
        <f>IFERROR(XLOOKUP(B252,Employees!$A$3:$A$500,Employees!$B$3:$B$500,""),"")</f>
        <v/>
      </c>
      <c r="I252">
        <f>IF(AND(B252&lt;&gt;"",D252&lt;&gt;"",E252&lt;&gt;""),E252-D252+1,"")</f>
        <v/>
      </c>
      <c r="J252">
        <f>IF(OR(B252="",D252="",E252=""),"",IF(OR(L252&lt;'Coverage Rules'!E7,M252&lt;'Coverage Rules'!E8,N252&lt;'Coverage Rules'!C8,O252&lt;'Coverage Rules'!E9,P252&lt;'Coverage Rules'!E10,Q252&gt;='Coverage Rules'!B16,R252&gt;='Coverage Rules'!B17,IF(S252="",FALSE,S252&gt;='Coverage Rules'!D24)),"Denied","OK"))</f>
        <v/>
      </c>
      <c r="L252">
        <f>IF(B252="","",IFERROR(SUMPRODUCT((LEN(Employees!$A$3:$A$500)&gt;0)*(Employees!$T$3:$T$500=1)*(COUNTIFS($B$3:$B$500,Employees!$A$3:$A$500,$H$3:$H$500,"Approved",$D$3:$D$500,"&lt;="&amp;E252,$E$3:$E$500,"&gt;="&amp;D252,$A$3:$A$500,"&lt;&gt;"&amp;A252)=0)),0))</f>
        <v/>
      </c>
      <c r="M252">
        <f>IF(B252="","",IFERROR(SUMPRODUCT((LEN(Employees!$A$3:$A$500)&gt;0)*(Employees!$U$3:$U$500=1)*(COUNTIFS($B$3:$B$500,Employees!$A$3:$A$500,$H$3:$H$500,"Approved",$D$3:$D$500,"&lt;="&amp;E252,$E$3:$E$500,"&gt;="&amp;D252,$A$3:$A$500,"&lt;&gt;"&amp;A252)=0)),0))</f>
        <v/>
      </c>
      <c r="N252">
        <f>IF(B252="","",IFERROR(SUMPRODUCT((LEN(Employees!$A$3:$A$500)&gt;0)*(Employees!$B$3:$B$500="Manager")*(Employees!$U$3:$U$500=1)*(COUNTIFS($B$3:$B$500,Employees!$A$3:$A$500,$H$3:$H$500,"Approved",$D$3:$D$500,"&lt;="&amp;E252,$E$3:$E$500,"&gt;="&amp;D252,$A$3:$A$500,"&lt;&gt;"&amp;A252)=0)),0))</f>
        <v/>
      </c>
      <c r="O252">
        <f>IF(B252="","",IFERROR(SUMPRODUCT((LEN(Employees!$A$3:$A$500)&gt;0)*(Employees!$V$3:$V$500=1)*(COUNTIFS($B$3:$B$500,Employees!$A$3:$A$500,$H$3:$H$500,"Approved",$D$3:$D$500,"&lt;="&amp;E252,$E$3:$E$500,"&gt;="&amp;D252,$A$3:$A$500,"&lt;&gt;"&amp;A252)=0)),0))</f>
        <v/>
      </c>
      <c r="P252">
        <f>IF(B252="","",IFERROR(SUMPRODUCT((LEN(Employees!$A$3:$A$500)&gt;0)*(Employees!$W$3:$W$500=1)*(COUNTIFS($B$3:$B$500,Employees!$A$3:$A$500,$H$3:$H$500,"Approved",$D$3:$D$500,"&lt;="&amp;E252,$E$3:$E$500,"&gt;="&amp;D252,$A$3:$A$500,"&lt;&gt;"&amp;A252)=0)),0))</f>
        <v/>
      </c>
      <c r="Q252">
        <f>IF(B252="","",IFERROR(SUMPRODUCT((LEN(Employees!$A$3:$A$500)&gt;0)*(Employees!$N$3:$N$500=1)*(COUNTIFS($B$3:$B$500,Employees!$A$3:$A$500,$H$3:$H$500,"Approved",$D$3:$D$500,"&lt;="&amp;E252,$E$3:$E$500,"&gt;="&amp;D252,$A$3:$A$500,"&lt;&gt;"&amp;A252)&gt;0)),0))</f>
        <v/>
      </c>
      <c r="R252">
        <f>IF(B252="","",IFERROR(SUMPRODUCT((LEN(Employees!$A$3:$A$500)&gt;0)*(Employees!$O$3:$O$500=1)*(COUNTIFS($B$3:$B$500,Employees!$A$3:$A$500,$H$3:$H$500,"Approved",$D$3:$D$500,"&lt;="&amp;E252,$E$3:$E$500,"&gt;="&amp;D252,$A$3:$A$500,"&lt;&gt;"&amp;A252)&gt;0)),0))</f>
        <v/>
      </c>
      <c r="S252">
        <f>IF(OR(B252="",IFERROR(XLOOKUP(B252,Employees!$A$3:$A$500,Employees!$G$3:$G$500,""),"")=""),"",IFERROR(SUMPRODUCT((LEN(Employees!$A$3:$A$500)&gt;0)*(Employees!$G$3:$G$500=IFERROR(XLOOKUP(B252,Employees!$A$3:$A$500,Employees!$G$3:$G$500,""),""))*(COUNTIFS($B$3:$B$500,Employees!$A$3:$A$500,$H$3:$H$500,"Approved",$D$3:$D$500,"&lt;="&amp;E252,$E$3:$E$500,"&gt;="&amp;D252,$A$3:$A$500,"&lt;&gt;"&amp;A252)&gt;0)),0))</f>
        <v/>
      </c>
    </row>
    <row r="253">
      <c r="C253">
        <f>IFERROR(XLOOKUP(B253,Employees!$A$3:$A$500,Employees!$B$3:$B$500,""),"")</f>
        <v/>
      </c>
      <c r="I253">
        <f>IF(AND(B253&lt;&gt;"",D253&lt;&gt;"",E253&lt;&gt;""),E253-D253+1,"")</f>
        <v/>
      </c>
      <c r="J253">
        <f>IF(OR(B253="",D253="",E253=""),"",IF(OR(L253&lt;'Coverage Rules'!E7,M253&lt;'Coverage Rules'!E8,N253&lt;'Coverage Rules'!C8,O253&lt;'Coverage Rules'!E9,P253&lt;'Coverage Rules'!E10,Q253&gt;='Coverage Rules'!B16,R253&gt;='Coverage Rules'!B17,IF(S253="",FALSE,S253&gt;='Coverage Rules'!D24)),"Denied","OK"))</f>
        <v/>
      </c>
      <c r="L253">
        <f>IF(B253="","",IFERROR(SUMPRODUCT((LEN(Employees!$A$3:$A$500)&gt;0)*(Employees!$T$3:$T$500=1)*(COUNTIFS($B$3:$B$500,Employees!$A$3:$A$500,$H$3:$H$500,"Approved",$D$3:$D$500,"&lt;="&amp;E253,$E$3:$E$500,"&gt;="&amp;D253,$A$3:$A$500,"&lt;&gt;"&amp;A253)=0)),0))</f>
        <v/>
      </c>
      <c r="M253">
        <f>IF(B253="","",IFERROR(SUMPRODUCT((LEN(Employees!$A$3:$A$500)&gt;0)*(Employees!$U$3:$U$500=1)*(COUNTIFS($B$3:$B$500,Employees!$A$3:$A$500,$H$3:$H$500,"Approved",$D$3:$D$500,"&lt;="&amp;E253,$E$3:$E$500,"&gt;="&amp;D253,$A$3:$A$500,"&lt;&gt;"&amp;A253)=0)),0))</f>
        <v/>
      </c>
      <c r="N253">
        <f>IF(B253="","",IFERROR(SUMPRODUCT((LEN(Employees!$A$3:$A$500)&gt;0)*(Employees!$B$3:$B$500="Manager")*(Employees!$U$3:$U$500=1)*(COUNTIFS($B$3:$B$500,Employees!$A$3:$A$500,$H$3:$H$500,"Approved",$D$3:$D$500,"&lt;="&amp;E253,$E$3:$E$500,"&gt;="&amp;D253,$A$3:$A$500,"&lt;&gt;"&amp;A253)=0)),0))</f>
        <v/>
      </c>
      <c r="O253">
        <f>IF(B253="","",IFERROR(SUMPRODUCT((LEN(Employees!$A$3:$A$500)&gt;0)*(Employees!$V$3:$V$500=1)*(COUNTIFS($B$3:$B$500,Employees!$A$3:$A$500,$H$3:$H$500,"Approved",$D$3:$D$500,"&lt;="&amp;E253,$E$3:$E$500,"&gt;="&amp;D253,$A$3:$A$500,"&lt;&gt;"&amp;A253)=0)),0))</f>
        <v/>
      </c>
      <c r="P253">
        <f>IF(B253="","",IFERROR(SUMPRODUCT((LEN(Employees!$A$3:$A$500)&gt;0)*(Employees!$W$3:$W$500=1)*(COUNTIFS($B$3:$B$500,Employees!$A$3:$A$500,$H$3:$H$500,"Approved",$D$3:$D$500,"&lt;="&amp;E253,$E$3:$E$500,"&gt;="&amp;D253,$A$3:$A$500,"&lt;&gt;"&amp;A253)=0)),0))</f>
        <v/>
      </c>
      <c r="Q253">
        <f>IF(B253="","",IFERROR(SUMPRODUCT((LEN(Employees!$A$3:$A$500)&gt;0)*(Employees!$N$3:$N$500=1)*(COUNTIFS($B$3:$B$500,Employees!$A$3:$A$500,$H$3:$H$500,"Approved",$D$3:$D$500,"&lt;="&amp;E253,$E$3:$E$500,"&gt;="&amp;D253,$A$3:$A$500,"&lt;&gt;"&amp;A253)&gt;0)),0))</f>
        <v/>
      </c>
      <c r="R253">
        <f>IF(B253="","",IFERROR(SUMPRODUCT((LEN(Employees!$A$3:$A$500)&gt;0)*(Employees!$O$3:$O$500=1)*(COUNTIFS($B$3:$B$500,Employees!$A$3:$A$500,$H$3:$H$500,"Approved",$D$3:$D$500,"&lt;="&amp;E253,$E$3:$E$500,"&gt;="&amp;D253,$A$3:$A$500,"&lt;&gt;"&amp;A253)&gt;0)),0))</f>
        <v/>
      </c>
      <c r="S253">
        <f>IF(OR(B253="",IFERROR(XLOOKUP(B253,Employees!$A$3:$A$500,Employees!$G$3:$G$500,""),"")=""),"",IFERROR(SUMPRODUCT((LEN(Employees!$A$3:$A$500)&gt;0)*(Employees!$G$3:$G$500=IFERROR(XLOOKUP(B253,Employees!$A$3:$A$500,Employees!$G$3:$G$500,""),""))*(COUNTIFS($B$3:$B$500,Employees!$A$3:$A$500,$H$3:$H$500,"Approved",$D$3:$D$500,"&lt;="&amp;E253,$E$3:$E$500,"&gt;="&amp;D253,$A$3:$A$500,"&lt;&gt;"&amp;A253)&gt;0)),0))</f>
        <v/>
      </c>
    </row>
    <row r="254">
      <c r="C254">
        <f>IFERROR(XLOOKUP(B254,Employees!$A$3:$A$500,Employees!$B$3:$B$500,""),"")</f>
        <v/>
      </c>
      <c r="I254">
        <f>IF(AND(B254&lt;&gt;"",D254&lt;&gt;"",E254&lt;&gt;""),E254-D254+1,"")</f>
        <v/>
      </c>
      <c r="J254">
        <f>IF(OR(B254="",D254="",E254=""),"",IF(OR(L254&lt;'Coverage Rules'!E7,M254&lt;'Coverage Rules'!E8,N254&lt;'Coverage Rules'!C8,O254&lt;'Coverage Rules'!E9,P254&lt;'Coverage Rules'!E10,Q254&gt;='Coverage Rules'!B16,R254&gt;='Coverage Rules'!B17,IF(S254="",FALSE,S254&gt;='Coverage Rules'!D24)),"Denied","OK"))</f>
        <v/>
      </c>
      <c r="L254">
        <f>IF(B254="","",IFERROR(SUMPRODUCT((LEN(Employees!$A$3:$A$500)&gt;0)*(Employees!$T$3:$T$500=1)*(COUNTIFS($B$3:$B$500,Employees!$A$3:$A$500,$H$3:$H$500,"Approved",$D$3:$D$500,"&lt;="&amp;E254,$E$3:$E$500,"&gt;="&amp;D254,$A$3:$A$500,"&lt;&gt;"&amp;A254)=0)),0))</f>
        <v/>
      </c>
      <c r="M254">
        <f>IF(B254="","",IFERROR(SUMPRODUCT((LEN(Employees!$A$3:$A$500)&gt;0)*(Employees!$U$3:$U$500=1)*(COUNTIFS($B$3:$B$500,Employees!$A$3:$A$500,$H$3:$H$500,"Approved",$D$3:$D$500,"&lt;="&amp;E254,$E$3:$E$500,"&gt;="&amp;D254,$A$3:$A$500,"&lt;&gt;"&amp;A254)=0)),0))</f>
        <v/>
      </c>
      <c r="N254">
        <f>IF(B254="","",IFERROR(SUMPRODUCT((LEN(Employees!$A$3:$A$500)&gt;0)*(Employees!$B$3:$B$500="Manager")*(Employees!$U$3:$U$500=1)*(COUNTIFS($B$3:$B$500,Employees!$A$3:$A$500,$H$3:$H$500,"Approved",$D$3:$D$500,"&lt;="&amp;E254,$E$3:$E$500,"&gt;="&amp;D254,$A$3:$A$500,"&lt;&gt;"&amp;A254)=0)),0))</f>
        <v/>
      </c>
      <c r="O254">
        <f>IF(B254="","",IFERROR(SUMPRODUCT((LEN(Employees!$A$3:$A$500)&gt;0)*(Employees!$V$3:$V$500=1)*(COUNTIFS($B$3:$B$500,Employees!$A$3:$A$500,$H$3:$H$500,"Approved",$D$3:$D$500,"&lt;="&amp;E254,$E$3:$E$500,"&gt;="&amp;D254,$A$3:$A$500,"&lt;&gt;"&amp;A254)=0)),0))</f>
        <v/>
      </c>
      <c r="P254">
        <f>IF(B254="","",IFERROR(SUMPRODUCT((LEN(Employees!$A$3:$A$500)&gt;0)*(Employees!$W$3:$W$500=1)*(COUNTIFS($B$3:$B$500,Employees!$A$3:$A$500,$H$3:$H$500,"Approved",$D$3:$D$500,"&lt;="&amp;E254,$E$3:$E$500,"&gt;="&amp;D254,$A$3:$A$500,"&lt;&gt;"&amp;A254)=0)),0))</f>
        <v/>
      </c>
      <c r="Q254">
        <f>IF(B254="","",IFERROR(SUMPRODUCT((LEN(Employees!$A$3:$A$500)&gt;0)*(Employees!$N$3:$N$500=1)*(COUNTIFS($B$3:$B$500,Employees!$A$3:$A$500,$H$3:$H$500,"Approved",$D$3:$D$500,"&lt;="&amp;E254,$E$3:$E$500,"&gt;="&amp;D254,$A$3:$A$500,"&lt;&gt;"&amp;A254)&gt;0)),0))</f>
        <v/>
      </c>
      <c r="R254">
        <f>IF(B254="","",IFERROR(SUMPRODUCT((LEN(Employees!$A$3:$A$500)&gt;0)*(Employees!$O$3:$O$500=1)*(COUNTIFS($B$3:$B$500,Employees!$A$3:$A$500,$H$3:$H$500,"Approved",$D$3:$D$500,"&lt;="&amp;E254,$E$3:$E$500,"&gt;="&amp;D254,$A$3:$A$500,"&lt;&gt;"&amp;A254)&gt;0)),0))</f>
        <v/>
      </c>
      <c r="S254">
        <f>IF(OR(B254="",IFERROR(XLOOKUP(B254,Employees!$A$3:$A$500,Employees!$G$3:$G$500,""),"")=""),"",IFERROR(SUMPRODUCT((LEN(Employees!$A$3:$A$500)&gt;0)*(Employees!$G$3:$G$500=IFERROR(XLOOKUP(B254,Employees!$A$3:$A$500,Employees!$G$3:$G$500,""),""))*(COUNTIFS($B$3:$B$500,Employees!$A$3:$A$500,$H$3:$H$500,"Approved",$D$3:$D$500,"&lt;="&amp;E254,$E$3:$E$500,"&gt;="&amp;D254,$A$3:$A$500,"&lt;&gt;"&amp;A254)&gt;0)),0))</f>
        <v/>
      </c>
    </row>
    <row r="255">
      <c r="C255">
        <f>IFERROR(XLOOKUP(B255,Employees!$A$3:$A$500,Employees!$B$3:$B$500,""),"")</f>
        <v/>
      </c>
      <c r="I255">
        <f>IF(AND(B255&lt;&gt;"",D255&lt;&gt;"",E255&lt;&gt;""),E255-D255+1,"")</f>
        <v/>
      </c>
      <c r="J255">
        <f>IF(OR(B255="",D255="",E255=""),"",IF(OR(L255&lt;'Coverage Rules'!E7,M255&lt;'Coverage Rules'!E8,N255&lt;'Coverage Rules'!C8,O255&lt;'Coverage Rules'!E9,P255&lt;'Coverage Rules'!E10,Q255&gt;='Coverage Rules'!B16,R255&gt;='Coverage Rules'!B17,IF(S255="",FALSE,S255&gt;='Coverage Rules'!D24)),"Denied","OK"))</f>
        <v/>
      </c>
      <c r="L255">
        <f>IF(B255="","",IFERROR(SUMPRODUCT((LEN(Employees!$A$3:$A$500)&gt;0)*(Employees!$T$3:$T$500=1)*(COUNTIFS($B$3:$B$500,Employees!$A$3:$A$500,$H$3:$H$500,"Approved",$D$3:$D$500,"&lt;="&amp;E255,$E$3:$E$500,"&gt;="&amp;D255,$A$3:$A$500,"&lt;&gt;"&amp;A255)=0)),0))</f>
        <v/>
      </c>
      <c r="M255">
        <f>IF(B255="","",IFERROR(SUMPRODUCT((LEN(Employees!$A$3:$A$500)&gt;0)*(Employees!$U$3:$U$500=1)*(COUNTIFS($B$3:$B$500,Employees!$A$3:$A$500,$H$3:$H$500,"Approved",$D$3:$D$500,"&lt;="&amp;E255,$E$3:$E$500,"&gt;="&amp;D255,$A$3:$A$500,"&lt;&gt;"&amp;A255)=0)),0))</f>
        <v/>
      </c>
      <c r="N255">
        <f>IF(B255="","",IFERROR(SUMPRODUCT((LEN(Employees!$A$3:$A$500)&gt;0)*(Employees!$B$3:$B$500="Manager")*(Employees!$U$3:$U$500=1)*(COUNTIFS($B$3:$B$500,Employees!$A$3:$A$500,$H$3:$H$500,"Approved",$D$3:$D$500,"&lt;="&amp;E255,$E$3:$E$500,"&gt;="&amp;D255,$A$3:$A$500,"&lt;&gt;"&amp;A255)=0)),0))</f>
        <v/>
      </c>
      <c r="O255">
        <f>IF(B255="","",IFERROR(SUMPRODUCT((LEN(Employees!$A$3:$A$500)&gt;0)*(Employees!$V$3:$V$500=1)*(COUNTIFS($B$3:$B$500,Employees!$A$3:$A$500,$H$3:$H$500,"Approved",$D$3:$D$500,"&lt;="&amp;E255,$E$3:$E$500,"&gt;="&amp;D255,$A$3:$A$500,"&lt;&gt;"&amp;A255)=0)),0))</f>
        <v/>
      </c>
      <c r="P255">
        <f>IF(B255="","",IFERROR(SUMPRODUCT((LEN(Employees!$A$3:$A$500)&gt;0)*(Employees!$W$3:$W$500=1)*(COUNTIFS($B$3:$B$500,Employees!$A$3:$A$500,$H$3:$H$500,"Approved",$D$3:$D$500,"&lt;="&amp;E255,$E$3:$E$500,"&gt;="&amp;D255,$A$3:$A$500,"&lt;&gt;"&amp;A255)=0)),0))</f>
        <v/>
      </c>
      <c r="Q255">
        <f>IF(B255="","",IFERROR(SUMPRODUCT((LEN(Employees!$A$3:$A$500)&gt;0)*(Employees!$N$3:$N$500=1)*(COUNTIFS($B$3:$B$500,Employees!$A$3:$A$500,$H$3:$H$500,"Approved",$D$3:$D$500,"&lt;="&amp;E255,$E$3:$E$500,"&gt;="&amp;D255,$A$3:$A$500,"&lt;&gt;"&amp;A255)&gt;0)),0))</f>
        <v/>
      </c>
      <c r="R255">
        <f>IF(B255="","",IFERROR(SUMPRODUCT((LEN(Employees!$A$3:$A$500)&gt;0)*(Employees!$O$3:$O$500=1)*(COUNTIFS($B$3:$B$500,Employees!$A$3:$A$500,$H$3:$H$500,"Approved",$D$3:$D$500,"&lt;="&amp;E255,$E$3:$E$500,"&gt;="&amp;D255,$A$3:$A$500,"&lt;&gt;"&amp;A255)&gt;0)),0))</f>
        <v/>
      </c>
      <c r="S255">
        <f>IF(OR(B255="",IFERROR(XLOOKUP(B255,Employees!$A$3:$A$500,Employees!$G$3:$G$500,""),"")=""),"",IFERROR(SUMPRODUCT((LEN(Employees!$A$3:$A$500)&gt;0)*(Employees!$G$3:$G$500=IFERROR(XLOOKUP(B255,Employees!$A$3:$A$500,Employees!$G$3:$G$500,""),""))*(COUNTIFS($B$3:$B$500,Employees!$A$3:$A$500,$H$3:$H$500,"Approved",$D$3:$D$500,"&lt;="&amp;E255,$E$3:$E$500,"&gt;="&amp;D255,$A$3:$A$500,"&lt;&gt;"&amp;A255)&gt;0)),0))</f>
        <v/>
      </c>
    </row>
    <row r="256">
      <c r="C256">
        <f>IFERROR(XLOOKUP(B256,Employees!$A$3:$A$500,Employees!$B$3:$B$500,""),"")</f>
        <v/>
      </c>
      <c r="I256">
        <f>IF(AND(B256&lt;&gt;"",D256&lt;&gt;"",E256&lt;&gt;""),E256-D256+1,"")</f>
        <v/>
      </c>
      <c r="J256">
        <f>IF(OR(B256="",D256="",E256=""),"",IF(OR(L256&lt;'Coverage Rules'!E7,M256&lt;'Coverage Rules'!E8,N256&lt;'Coverage Rules'!C8,O256&lt;'Coverage Rules'!E9,P256&lt;'Coverage Rules'!E10,Q256&gt;='Coverage Rules'!B16,R256&gt;='Coverage Rules'!B17,IF(S256="",FALSE,S256&gt;='Coverage Rules'!D24)),"Denied","OK"))</f>
        <v/>
      </c>
      <c r="L256">
        <f>IF(B256="","",IFERROR(SUMPRODUCT((LEN(Employees!$A$3:$A$500)&gt;0)*(Employees!$T$3:$T$500=1)*(COUNTIFS($B$3:$B$500,Employees!$A$3:$A$500,$H$3:$H$500,"Approved",$D$3:$D$500,"&lt;="&amp;E256,$E$3:$E$500,"&gt;="&amp;D256,$A$3:$A$500,"&lt;&gt;"&amp;A256)=0)),0))</f>
        <v/>
      </c>
      <c r="M256">
        <f>IF(B256="","",IFERROR(SUMPRODUCT((LEN(Employees!$A$3:$A$500)&gt;0)*(Employees!$U$3:$U$500=1)*(COUNTIFS($B$3:$B$500,Employees!$A$3:$A$500,$H$3:$H$500,"Approved",$D$3:$D$500,"&lt;="&amp;E256,$E$3:$E$500,"&gt;="&amp;D256,$A$3:$A$500,"&lt;&gt;"&amp;A256)=0)),0))</f>
        <v/>
      </c>
      <c r="N256">
        <f>IF(B256="","",IFERROR(SUMPRODUCT((LEN(Employees!$A$3:$A$500)&gt;0)*(Employees!$B$3:$B$500="Manager")*(Employees!$U$3:$U$500=1)*(COUNTIFS($B$3:$B$500,Employees!$A$3:$A$500,$H$3:$H$500,"Approved",$D$3:$D$500,"&lt;="&amp;E256,$E$3:$E$500,"&gt;="&amp;D256,$A$3:$A$500,"&lt;&gt;"&amp;A256)=0)),0))</f>
        <v/>
      </c>
      <c r="O256">
        <f>IF(B256="","",IFERROR(SUMPRODUCT((LEN(Employees!$A$3:$A$500)&gt;0)*(Employees!$V$3:$V$500=1)*(COUNTIFS($B$3:$B$500,Employees!$A$3:$A$500,$H$3:$H$500,"Approved",$D$3:$D$500,"&lt;="&amp;E256,$E$3:$E$500,"&gt;="&amp;D256,$A$3:$A$500,"&lt;&gt;"&amp;A256)=0)),0))</f>
        <v/>
      </c>
      <c r="P256">
        <f>IF(B256="","",IFERROR(SUMPRODUCT((LEN(Employees!$A$3:$A$500)&gt;0)*(Employees!$W$3:$W$500=1)*(COUNTIFS($B$3:$B$500,Employees!$A$3:$A$500,$H$3:$H$500,"Approved",$D$3:$D$500,"&lt;="&amp;E256,$E$3:$E$500,"&gt;="&amp;D256,$A$3:$A$500,"&lt;&gt;"&amp;A256)=0)),0))</f>
        <v/>
      </c>
      <c r="Q256">
        <f>IF(B256="","",IFERROR(SUMPRODUCT((LEN(Employees!$A$3:$A$500)&gt;0)*(Employees!$N$3:$N$500=1)*(COUNTIFS($B$3:$B$500,Employees!$A$3:$A$500,$H$3:$H$500,"Approved",$D$3:$D$500,"&lt;="&amp;E256,$E$3:$E$500,"&gt;="&amp;D256,$A$3:$A$500,"&lt;&gt;"&amp;A256)&gt;0)),0))</f>
        <v/>
      </c>
      <c r="R256">
        <f>IF(B256="","",IFERROR(SUMPRODUCT((LEN(Employees!$A$3:$A$500)&gt;0)*(Employees!$O$3:$O$500=1)*(COUNTIFS($B$3:$B$500,Employees!$A$3:$A$500,$H$3:$H$500,"Approved",$D$3:$D$500,"&lt;="&amp;E256,$E$3:$E$500,"&gt;="&amp;D256,$A$3:$A$500,"&lt;&gt;"&amp;A256)&gt;0)),0))</f>
        <v/>
      </c>
      <c r="S256">
        <f>IF(OR(B256="",IFERROR(XLOOKUP(B256,Employees!$A$3:$A$500,Employees!$G$3:$G$500,""),"")=""),"",IFERROR(SUMPRODUCT((LEN(Employees!$A$3:$A$500)&gt;0)*(Employees!$G$3:$G$500=IFERROR(XLOOKUP(B256,Employees!$A$3:$A$500,Employees!$G$3:$G$500,""),""))*(COUNTIFS($B$3:$B$500,Employees!$A$3:$A$500,$H$3:$H$500,"Approved",$D$3:$D$500,"&lt;="&amp;E256,$E$3:$E$500,"&gt;="&amp;D256,$A$3:$A$500,"&lt;&gt;"&amp;A256)&gt;0)),0))</f>
        <v/>
      </c>
    </row>
    <row r="257">
      <c r="C257">
        <f>IFERROR(XLOOKUP(B257,Employees!$A$3:$A$500,Employees!$B$3:$B$500,""),"")</f>
        <v/>
      </c>
      <c r="I257">
        <f>IF(AND(B257&lt;&gt;"",D257&lt;&gt;"",E257&lt;&gt;""),E257-D257+1,"")</f>
        <v/>
      </c>
      <c r="J257">
        <f>IF(OR(B257="",D257="",E257=""),"",IF(OR(L257&lt;'Coverage Rules'!E7,M257&lt;'Coverage Rules'!E8,N257&lt;'Coverage Rules'!C8,O257&lt;'Coverage Rules'!E9,P257&lt;'Coverage Rules'!E10,Q257&gt;='Coverage Rules'!B16,R257&gt;='Coverage Rules'!B17,IF(S257="",FALSE,S257&gt;='Coverage Rules'!D24)),"Denied","OK"))</f>
        <v/>
      </c>
      <c r="L257">
        <f>IF(B257="","",IFERROR(SUMPRODUCT((LEN(Employees!$A$3:$A$500)&gt;0)*(Employees!$T$3:$T$500=1)*(COUNTIFS($B$3:$B$500,Employees!$A$3:$A$500,$H$3:$H$500,"Approved",$D$3:$D$500,"&lt;="&amp;E257,$E$3:$E$500,"&gt;="&amp;D257,$A$3:$A$500,"&lt;&gt;"&amp;A257)=0)),0))</f>
        <v/>
      </c>
      <c r="M257">
        <f>IF(B257="","",IFERROR(SUMPRODUCT((LEN(Employees!$A$3:$A$500)&gt;0)*(Employees!$U$3:$U$500=1)*(COUNTIFS($B$3:$B$500,Employees!$A$3:$A$500,$H$3:$H$500,"Approved",$D$3:$D$500,"&lt;="&amp;E257,$E$3:$E$500,"&gt;="&amp;D257,$A$3:$A$500,"&lt;&gt;"&amp;A257)=0)),0))</f>
        <v/>
      </c>
      <c r="N257">
        <f>IF(B257="","",IFERROR(SUMPRODUCT((LEN(Employees!$A$3:$A$500)&gt;0)*(Employees!$B$3:$B$500="Manager")*(Employees!$U$3:$U$500=1)*(COUNTIFS($B$3:$B$500,Employees!$A$3:$A$500,$H$3:$H$500,"Approved",$D$3:$D$500,"&lt;="&amp;E257,$E$3:$E$500,"&gt;="&amp;D257,$A$3:$A$500,"&lt;&gt;"&amp;A257)=0)),0))</f>
        <v/>
      </c>
      <c r="O257">
        <f>IF(B257="","",IFERROR(SUMPRODUCT((LEN(Employees!$A$3:$A$500)&gt;0)*(Employees!$V$3:$V$500=1)*(COUNTIFS($B$3:$B$500,Employees!$A$3:$A$500,$H$3:$H$500,"Approved",$D$3:$D$500,"&lt;="&amp;E257,$E$3:$E$500,"&gt;="&amp;D257,$A$3:$A$500,"&lt;&gt;"&amp;A257)=0)),0))</f>
        <v/>
      </c>
      <c r="P257">
        <f>IF(B257="","",IFERROR(SUMPRODUCT((LEN(Employees!$A$3:$A$500)&gt;0)*(Employees!$W$3:$W$500=1)*(COUNTIFS($B$3:$B$500,Employees!$A$3:$A$500,$H$3:$H$500,"Approved",$D$3:$D$500,"&lt;="&amp;E257,$E$3:$E$500,"&gt;="&amp;D257,$A$3:$A$500,"&lt;&gt;"&amp;A257)=0)),0))</f>
        <v/>
      </c>
      <c r="Q257">
        <f>IF(B257="","",IFERROR(SUMPRODUCT((LEN(Employees!$A$3:$A$500)&gt;0)*(Employees!$N$3:$N$500=1)*(COUNTIFS($B$3:$B$500,Employees!$A$3:$A$500,$H$3:$H$500,"Approved",$D$3:$D$500,"&lt;="&amp;E257,$E$3:$E$500,"&gt;="&amp;D257,$A$3:$A$500,"&lt;&gt;"&amp;A257)&gt;0)),0))</f>
        <v/>
      </c>
      <c r="R257">
        <f>IF(B257="","",IFERROR(SUMPRODUCT((LEN(Employees!$A$3:$A$500)&gt;0)*(Employees!$O$3:$O$500=1)*(COUNTIFS($B$3:$B$500,Employees!$A$3:$A$500,$H$3:$H$500,"Approved",$D$3:$D$500,"&lt;="&amp;E257,$E$3:$E$500,"&gt;="&amp;D257,$A$3:$A$500,"&lt;&gt;"&amp;A257)&gt;0)),0))</f>
        <v/>
      </c>
      <c r="S257">
        <f>IF(OR(B257="",IFERROR(XLOOKUP(B257,Employees!$A$3:$A$500,Employees!$G$3:$G$500,""),"")=""),"",IFERROR(SUMPRODUCT((LEN(Employees!$A$3:$A$500)&gt;0)*(Employees!$G$3:$G$500=IFERROR(XLOOKUP(B257,Employees!$A$3:$A$500,Employees!$G$3:$G$500,""),""))*(COUNTIFS($B$3:$B$500,Employees!$A$3:$A$500,$H$3:$H$500,"Approved",$D$3:$D$500,"&lt;="&amp;E257,$E$3:$E$500,"&gt;="&amp;D257,$A$3:$A$500,"&lt;&gt;"&amp;A257)&gt;0)),0))</f>
        <v/>
      </c>
    </row>
    <row r="258">
      <c r="C258">
        <f>IFERROR(XLOOKUP(B258,Employees!$A$3:$A$500,Employees!$B$3:$B$500,""),"")</f>
        <v/>
      </c>
      <c r="I258">
        <f>IF(AND(B258&lt;&gt;"",D258&lt;&gt;"",E258&lt;&gt;""),E258-D258+1,"")</f>
        <v/>
      </c>
      <c r="J258">
        <f>IF(OR(B258="",D258="",E258=""),"",IF(OR(L258&lt;'Coverage Rules'!E7,M258&lt;'Coverage Rules'!E8,N258&lt;'Coverage Rules'!C8,O258&lt;'Coverage Rules'!E9,P258&lt;'Coverage Rules'!E10,Q258&gt;='Coverage Rules'!B16,R258&gt;='Coverage Rules'!B17,IF(S258="",FALSE,S258&gt;='Coverage Rules'!D24)),"Denied","OK"))</f>
        <v/>
      </c>
      <c r="L258">
        <f>IF(B258="","",IFERROR(SUMPRODUCT((LEN(Employees!$A$3:$A$500)&gt;0)*(Employees!$T$3:$T$500=1)*(COUNTIFS($B$3:$B$500,Employees!$A$3:$A$500,$H$3:$H$500,"Approved",$D$3:$D$500,"&lt;="&amp;E258,$E$3:$E$500,"&gt;="&amp;D258,$A$3:$A$500,"&lt;&gt;"&amp;A258)=0)),0))</f>
        <v/>
      </c>
      <c r="M258">
        <f>IF(B258="","",IFERROR(SUMPRODUCT((LEN(Employees!$A$3:$A$500)&gt;0)*(Employees!$U$3:$U$500=1)*(COUNTIFS($B$3:$B$500,Employees!$A$3:$A$500,$H$3:$H$500,"Approved",$D$3:$D$500,"&lt;="&amp;E258,$E$3:$E$500,"&gt;="&amp;D258,$A$3:$A$500,"&lt;&gt;"&amp;A258)=0)),0))</f>
        <v/>
      </c>
      <c r="N258">
        <f>IF(B258="","",IFERROR(SUMPRODUCT((LEN(Employees!$A$3:$A$500)&gt;0)*(Employees!$B$3:$B$500="Manager")*(Employees!$U$3:$U$500=1)*(COUNTIFS($B$3:$B$500,Employees!$A$3:$A$500,$H$3:$H$500,"Approved",$D$3:$D$500,"&lt;="&amp;E258,$E$3:$E$500,"&gt;="&amp;D258,$A$3:$A$500,"&lt;&gt;"&amp;A258)=0)),0))</f>
        <v/>
      </c>
      <c r="O258">
        <f>IF(B258="","",IFERROR(SUMPRODUCT((LEN(Employees!$A$3:$A$500)&gt;0)*(Employees!$V$3:$V$500=1)*(COUNTIFS($B$3:$B$500,Employees!$A$3:$A$500,$H$3:$H$500,"Approved",$D$3:$D$500,"&lt;="&amp;E258,$E$3:$E$500,"&gt;="&amp;D258,$A$3:$A$500,"&lt;&gt;"&amp;A258)=0)),0))</f>
        <v/>
      </c>
      <c r="P258">
        <f>IF(B258="","",IFERROR(SUMPRODUCT((LEN(Employees!$A$3:$A$500)&gt;0)*(Employees!$W$3:$W$500=1)*(COUNTIFS($B$3:$B$500,Employees!$A$3:$A$500,$H$3:$H$500,"Approved",$D$3:$D$500,"&lt;="&amp;E258,$E$3:$E$500,"&gt;="&amp;D258,$A$3:$A$500,"&lt;&gt;"&amp;A258)=0)),0))</f>
        <v/>
      </c>
      <c r="Q258">
        <f>IF(B258="","",IFERROR(SUMPRODUCT((LEN(Employees!$A$3:$A$500)&gt;0)*(Employees!$N$3:$N$500=1)*(COUNTIFS($B$3:$B$500,Employees!$A$3:$A$500,$H$3:$H$500,"Approved",$D$3:$D$500,"&lt;="&amp;E258,$E$3:$E$500,"&gt;="&amp;D258,$A$3:$A$500,"&lt;&gt;"&amp;A258)&gt;0)),0))</f>
        <v/>
      </c>
      <c r="R258">
        <f>IF(B258="","",IFERROR(SUMPRODUCT((LEN(Employees!$A$3:$A$500)&gt;0)*(Employees!$O$3:$O$500=1)*(COUNTIFS($B$3:$B$500,Employees!$A$3:$A$500,$H$3:$H$500,"Approved",$D$3:$D$500,"&lt;="&amp;E258,$E$3:$E$500,"&gt;="&amp;D258,$A$3:$A$500,"&lt;&gt;"&amp;A258)&gt;0)),0))</f>
        <v/>
      </c>
      <c r="S258">
        <f>IF(OR(B258="",IFERROR(XLOOKUP(B258,Employees!$A$3:$A$500,Employees!$G$3:$G$500,""),"")=""),"",IFERROR(SUMPRODUCT((LEN(Employees!$A$3:$A$500)&gt;0)*(Employees!$G$3:$G$500=IFERROR(XLOOKUP(B258,Employees!$A$3:$A$500,Employees!$G$3:$G$500,""),""))*(COUNTIFS($B$3:$B$500,Employees!$A$3:$A$500,$H$3:$H$500,"Approved",$D$3:$D$500,"&lt;="&amp;E258,$E$3:$E$500,"&gt;="&amp;D258,$A$3:$A$500,"&lt;&gt;"&amp;A258)&gt;0)),0))</f>
        <v/>
      </c>
    </row>
    <row r="259">
      <c r="C259">
        <f>IFERROR(XLOOKUP(B259,Employees!$A$3:$A$500,Employees!$B$3:$B$500,""),"")</f>
        <v/>
      </c>
      <c r="I259">
        <f>IF(AND(B259&lt;&gt;"",D259&lt;&gt;"",E259&lt;&gt;""),E259-D259+1,"")</f>
        <v/>
      </c>
      <c r="J259">
        <f>IF(OR(B259="",D259="",E259=""),"",IF(OR(L259&lt;'Coverage Rules'!E7,M259&lt;'Coverage Rules'!E8,N259&lt;'Coverage Rules'!C8,O259&lt;'Coverage Rules'!E9,P259&lt;'Coverage Rules'!E10,Q259&gt;='Coverage Rules'!B16,R259&gt;='Coverage Rules'!B17,IF(S259="",FALSE,S259&gt;='Coverage Rules'!D24)),"Denied","OK"))</f>
        <v/>
      </c>
      <c r="L259">
        <f>IF(B259="","",IFERROR(SUMPRODUCT((LEN(Employees!$A$3:$A$500)&gt;0)*(Employees!$T$3:$T$500=1)*(COUNTIFS($B$3:$B$500,Employees!$A$3:$A$500,$H$3:$H$500,"Approved",$D$3:$D$500,"&lt;="&amp;E259,$E$3:$E$500,"&gt;="&amp;D259,$A$3:$A$500,"&lt;&gt;"&amp;A259)=0)),0))</f>
        <v/>
      </c>
      <c r="M259">
        <f>IF(B259="","",IFERROR(SUMPRODUCT((LEN(Employees!$A$3:$A$500)&gt;0)*(Employees!$U$3:$U$500=1)*(COUNTIFS($B$3:$B$500,Employees!$A$3:$A$500,$H$3:$H$500,"Approved",$D$3:$D$500,"&lt;="&amp;E259,$E$3:$E$500,"&gt;="&amp;D259,$A$3:$A$500,"&lt;&gt;"&amp;A259)=0)),0))</f>
        <v/>
      </c>
      <c r="N259">
        <f>IF(B259="","",IFERROR(SUMPRODUCT((LEN(Employees!$A$3:$A$500)&gt;0)*(Employees!$B$3:$B$500="Manager")*(Employees!$U$3:$U$500=1)*(COUNTIFS($B$3:$B$500,Employees!$A$3:$A$500,$H$3:$H$500,"Approved",$D$3:$D$500,"&lt;="&amp;E259,$E$3:$E$500,"&gt;="&amp;D259,$A$3:$A$500,"&lt;&gt;"&amp;A259)=0)),0))</f>
        <v/>
      </c>
      <c r="O259">
        <f>IF(B259="","",IFERROR(SUMPRODUCT((LEN(Employees!$A$3:$A$500)&gt;0)*(Employees!$V$3:$V$500=1)*(COUNTIFS($B$3:$B$500,Employees!$A$3:$A$500,$H$3:$H$500,"Approved",$D$3:$D$500,"&lt;="&amp;E259,$E$3:$E$500,"&gt;="&amp;D259,$A$3:$A$500,"&lt;&gt;"&amp;A259)=0)),0))</f>
        <v/>
      </c>
      <c r="P259">
        <f>IF(B259="","",IFERROR(SUMPRODUCT((LEN(Employees!$A$3:$A$500)&gt;0)*(Employees!$W$3:$W$500=1)*(COUNTIFS($B$3:$B$500,Employees!$A$3:$A$500,$H$3:$H$500,"Approved",$D$3:$D$500,"&lt;="&amp;E259,$E$3:$E$500,"&gt;="&amp;D259,$A$3:$A$500,"&lt;&gt;"&amp;A259)=0)),0))</f>
        <v/>
      </c>
      <c r="Q259">
        <f>IF(B259="","",IFERROR(SUMPRODUCT((LEN(Employees!$A$3:$A$500)&gt;0)*(Employees!$N$3:$N$500=1)*(COUNTIFS($B$3:$B$500,Employees!$A$3:$A$500,$H$3:$H$500,"Approved",$D$3:$D$500,"&lt;="&amp;E259,$E$3:$E$500,"&gt;="&amp;D259,$A$3:$A$500,"&lt;&gt;"&amp;A259)&gt;0)),0))</f>
        <v/>
      </c>
      <c r="R259">
        <f>IF(B259="","",IFERROR(SUMPRODUCT((LEN(Employees!$A$3:$A$500)&gt;0)*(Employees!$O$3:$O$500=1)*(COUNTIFS($B$3:$B$500,Employees!$A$3:$A$500,$H$3:$H$500,"Approved",$D$3:$D$500,"&lt;="&amp;E259,$E$3:$E$500,"&gt;="&amp;D259,$A$3:$A$500,"&lt;&gt;"&amp;A259)&gt;0)),0))</f>
        <v/>
      </c>
      <c r="S259">
        <f>IF(OR(B259="",IFERROR(XLOOKUP(B259,Employees!$A$3:$A$500,Employees!$G$3:$G$500,""),"")=""),"",IFERROR(SUMPRODUCT((LEN(Employees!$A$3:$A$500)&gt;0)*(Employees!$G$3:$G$500=IFERROR(XLOOKUP(B259,Employees!$A$3:$A$500,Employees!$G$3:$G$500,""),""))*(COUNTIFS($B$3:$B$500,Employees!$A$3:$A$500,$H$3:$H$500,"Approved",$D$3:$D$500,"&lt;="&amp;E259,$E$3:$E$500,"&gt;="&amp;D259,$A$3:$A$500,"&lt;&gt;"&amp;A259)&gt;0)),0))</f>
        <v/>
      </c>
    </row>
    <row r="260">
      <c r="C260">
        <f>IFERROR(XLOOKUP(B260,Employees!$A$3:$A$500,Employees!$B$3:$B$500,""),"")</f>
        <v/>
      </c>
      <c r="I260">
        <f>IF(AND(B260&lt;&gt;"",D260&lt;&gt;"",E260&lt;&gt;""),E260-D260+1,"")</f>
        <v/>
      </c>
      <c r="J260">
        <f>IF(OR(B260="",D260="",E260=""),"",IF(OR(L260&lt;'Coverage Rules'!E7,M260&lt;'Coverage Rules'!E8,N260&lt;'Coverage Rules'!C8,O260&lt;'Coverage Rules'!E9,P260&lt;'Coverage Rules'!E10,Q260&gt;='Coverage Rules'!B16,R260&gt;='Coverage Rules'!B17,IF(S260="",FALSE,S260&gt;='Coverage Rules'!D24)),"Denied","OK"))</f>
        <v/>
      </c>
      <c r="L260">
        <f>IF(B260="","",IFERROR(SUMPRODUCT((LEN(Employees!$A$3:$A$500)&gt;0)*(Employees!$T$3:$T$500=1)*(COUNTIFS($B$3:$B$500,Employees!$A$3:$A$500,$H$3:$H$500,"Approved",$D$3:$D$500,"&lt;="&amp;E260,$E$3:$E$500,"&gt;="&amp;D260,$A$3:$A$500,"&lt;&gt;"&amp;A260)=0)),0))</f>
        <v/>
      </c>
      <c r="M260">
        <f>IF(B260="","",IFERROR(SUMPRODUCT((LEN(Employees!$A$3:$A$500)&gt;0)*(Employees!$U$3:$U$500=1)*(COUNTIFS($B$3:$B$500,Employees!$A$3:$A$500,$H$3:$H$500,"Approved",$D$3:$D$500,"&lt;="&amp;E260,$E$3:$E$500,"&gt;="&amp;D260,$A$3:$A$500,"&lt;&gt;"&amp;A260)=0)),0))</f>
        <v/>
      </c>
      <c r="N260">
        <f>IF(B260="","",IFERROR(SUMPRODUCT((LEN(Employees!$A$3:$A$500)&gt;0)*(Employees!$B$3:$B$500="Manager")*(Employees!$U$3:$U$500=1)*(COUNTIFS($B$3:$B$500,Employees!$A$3:$A$500,$H$3:$H$500,"Approved",$D$3:$D$500,"&lt;="&amp;E260,$E$3:$E$500,"&gt;="&amp;D260,$A$3:$A$500,"&lt;&gt;"&amp;A260)=0)),0))</f>
        <v/>
      </c>
      <c r="O260">
        <f>IF(B260="","",IFERROR(SUMPRODUCT((LEN(Employees!$A$3:$A$500)&gt;0)*(Employees!$V$3:$V$500=1)*(COUNTIFS($B$3:$B$500,Employees!$A$3:$A$500,$H$3:$H$500,"Approved",$D$3:$D$500,"&lt;="&amp;E260,$E$3:$E$500,"&gt;="&amp;D260,$A$3:$A$500,"&lt;&gt;"&amp;A260)=0)),0))</f>
        <v/>
      </c>
      <c r="P260">
        <f>IF(B260="","",IFERROR(SUMPRODUCT((LEN(Employees!$A$3:$A$500)&gt;0)*(Employees!$W$3:$W$500=1)*(COUNTIFS($B$3:$B$500,Employees!$A$3:$A$500,$H$3:$H$500,"Approved",$D$3:$D$500,"&lt;="&amp;E260,$E$3:$E$500,"&gt;="&amp;D260,$A$3:$A$500,"&lt;&gt;"&amp;A260)=0)),0))</f>
        <v/>
      </c>
      <c r="Q260">
        <f>IF(B260="","",IFERROR(SUMPRODUCT((LEN(Employees!$A$3:$A$500)&gt;0)*(Employees!$N$3:$N$500=1)*(COUNTIFS($B$3:$B$500,Employees!$A$3:$A$500,$H$3:$H$500,"Approved",$D$3:$D$500,"&lt;="&amp;E260,$E$3:$E$500,"&gt;="&amp;D260,$A$3:$A$500,"&lt;&gt;"&amp;A260)&gt;0)),0))</f>
        <v/>
      </c>
      <c r="R260">
        <f>IF(B260="","",IFERROR(SUMPRODUCT((LEN(Employees!$A$3:$A$500)&gt;0)*(Employees!$O$3:$O$500=1)*(COUNTIFS($B$3:$B$500,Employees!$A$3:$A$500,$H$3:$H$500,"Approved",$D$3:$D$500,"&lt;="&amp;E260,$E$3:$E$500,"&gt;="&amp;D260,$A$3:$A$500,"&lt;&gt;"&amp;A260)&gt;0)),0))</f>
        <v/>
      </c>
      <c r="S260">
        <f>IF(OR(B260="",IFERROR(XLOOKUP(B260,Employees!$A$3:$A$500,Employees!$G$3:$G$500,""),"")=""),"",IFERROR(SUMPRODUCT((LEN(Employees!$A$3:$A$500)&gt;0)*(Employees!$G$3:$G$500=IFERROR(XLOOKUP(B260,Employees!$A$3:$A$500,Employees!$G$3:$G$500,""),""))*(COUNTIFS($B$3:$B$500,Employees!$A$3:$A$500,$H$3:$H$500,"Approved",$D$3:$D$500,"&lt;="&amp;E260,$E$3:$E$500,"&gt;="&amp;D260,$A$3:$A$500,"&lt;&gt;"&amp;A260)&gt;0)),0))</f>
        <v/>
      </c>
    </row>
    <row r="261">
      <c r="C261">
        <f>IFERROR(XLOOKUP(B261,Employees!$A$3:$A$500,Employees!$B$3:$B$500,""),"")</f>
        <v/>
      </c>
      <c r="I261">
        <f>IF(AND(B261&lt;&gt;"",D261&lt;&gt;"",E261&lt;&gt;""),E261-D261+1,"")</f>
        <v/>
      </c>
      <c r="J261">
        <f>IF(OR(B261="",D261="",E261=""),"",IF(OR(L261&lt;'Coverage Rules'!E7,M261&lt;'Coverage Rules'!E8,N261&lt;'Coverage Rules'!C8,O261&lt;'Coverage Rules'!E9,P261&lt;'Coverage Rules'!E10,Q261&gt;='Coverage Rules'!B16,R261&gt;='Coverage Rules'!B17,IF(S261="",FALSE,S261&gt;='Coverage Rules'!D24)),"Denied","OK"))</f>
        <v/>
      </c>
      <c r="L261">
        <f>IF(B261="","",IFERROR(SUMPRODUCT((LEN(Employees!$A$3:$A$500)&gt;0)*(Employees!$T$3:$T$500=1)*(COUNTIFS($B$3:$B$500,Employees!$A$3:$A$500,$H$3:$H$500,"Approved",$D$3:$D$500,"&lt;="&amp;E261,$E$3:$E$500,"&gt;="&amp;D261,$A$3:$A$500,"&lt;&gt;"&amp;A261)=0)),0))</f>
        <v/>
      </c>
      <c r="M261">
        <f>IF(B261="","",IFERROR(SUMPRODUCT((LEN(Employees!$A$3:$A$500)&gt;0)*(Employees!$U$3:$U$500=1)*(COUNTIFS($B$3:$B$500,Employees!$A$3:$A$500,$H$3:$H$500,"Approved",$D$3:$D$500,"&lt;="&amp;E261,$E$3:$E$500,"&gt;="&amp;D261,$A$3:$A$500,"&lt;&gt;"&amp;A261)=0)),0))</f>
        <v/>
      </c>
      <c r="N261">
        <f>IF(B261="","",IFERROR(SUMPRODUCT((LEN(Employees!$A$3:$A$500)&gt;0)*(Employees!$B$3:$B$500="Manager")*(Employees!$U$3:$U$500=1)*(COUNTIFS($B$3:$B$500,Employees!$A$3:$A$500,$H$3:$H$500,"Approved",$D$3:$D$500,"&lt;="&amp;E261,$E$3:$E$500,"&gt;="&amp;D261,$A$3:$A$500,"&lt;&gt;"&amp;A261)=0)),0))</f>
        <v/>
      </c>
      <c r="O261">
        <f>IF(B261="","",IFERROR(SUMPRODUCT((LEN(Employees!$A$3:$A$500)&gt;0)*(Employees!$V$3:$V$500=1)*(COUNTIFS($B$3:$B$500,Employees!$A$3:$A$500,$H$3:$H$500,"Approved",$D$3:$D$500,"&lt;="&amp;E261,$E$3:$E$500,"&gt;="&amp;D261,$A$3:$A$500,"&lt;&gt;"&amp;A261)=0)),0))</f>
        <v/>
      </c>
      <c r="P261">
        <f>IF(B261="","",IFERROR(SUMPRODUCT((LEN(Employees!$A$3:$A$500)&gt;0)*(Employees!$W$3:$W$500=1)*(COUNTIFS($B$3:$B$500,Employees!$A$3:$A$500,$H$3:$H$500,"Approved",$D$3:$D$500,"&lt;="&amp;E261,$E$3:$E$500,"&gt;="&amp;D261,$A$3:$A$500,"&lt;&gt;"&amp;A261)=0)),0))</f>
        <v/>
      </c>
      <c r="Q261">
        <f>IF(B261="","",IFERROR(SUMPRODUCT((LEN(Employees!$A$3:$A$500)&gt;0)*(Employees!$N$3:$N$500=1)*(COUNTIFS($B$3:$B$500,Employees!$A$3:$A$500,$H$3:$H$500,"Approved",$D$3:$D$500,"&lt;="&amp;E261,$E$3:$E$500,"&gt;="&amp;D261,$A$3:$A$500,"&lt;&gt;"&amp;A261)&gt;0)),0))</f>
        <v/>
      </c>
      <c r="R261">
        <f>IF(B261="","",IFERROR(SUMPRODUCT((LEN(Employees!$A$3:$A$500)&gt;0)*(Employees!$O$3:$O$500=1)*(COUNTIFS($B$3:$B$500,Employees!$A$3:$A$500,$H$3:$H$500,"Approved",$D$3:$D$500,"&lt;="&amp;E261,$E$3:$E$500,"&gt;="&amp;D261,$A$3:$A$500,"&lt;&gt;"&amp;A261)&gt;0)),0))</f>
        <v/>
      </c>
      <c r="S261">
        <f>IF(OR(B261="",IFERROR(XLOOKUP(B261,Employees!$A$3:$A$500,Employees!$G$3:$G$500,""),"")=""),"",IFERROR(SUMPRODUCT((LEN(Employees!$A$3:$A$500)&gt;0)*(Employees!$G$3:$G$500=IFERROR(XLOOKUP(B261,Employees!$A$3:$A$500,Employees!$G$3:$G$500,""),""))*(COUNTIFS($B$3:$B$500,Employees!$A$3:$A$500,$H$3:$H$500,"Approved",$D$3:$D$500,"&lt;="&amp;E261,$E$3:$E$500,"&gt;="&amp;D261,$A$3:$A$500,"&lt;&gt;"&amp;A261)&gt;0)),0))</f>
        <v/>
      </c>
    </row>
    <row r="262">
      <c r="C262">
        <f>IFERROR(XLOOKUP(B262,Employees!$A$3:$A$500,Employees!$B$3:$B$500,""),"")</f>
        <v/>
      </c>
      <c r="I262">
        <f>IF(AND(B262&lt;&gt;"",D262&lt;&gt;"",E262&lt;&gt;""),E262-D262+1,"")</f>
        <v/>
      </c>
      <c r="J262">
        <f>IF(OR(B262="",D262="",E262=""),"",IF(OR(L262&lt;'Coverage Rules'!E7,M262&lt;'Coverage Rules'!E8,N262&lt;'Coverage Rules'!C8,O262&lt;'Coverage Rules'!E9,P262&lt;'Coverage Rules'!E10,Q262&gt;='Coverage Rules'!B16,R262&gt;='Coverage Rules'!B17,IF(S262="",FALSE,S262&gt;='Coverage Rules'!D24)),"Denied","OK"))</f>
        <v/>
      </c>
      <c r="L262">
        <f>IF(B262="","",IFERROR(SUMPRODUCT((LEN(Employees!$A$3:$A$500)&gt;0)*(Employees!$T$3:$T$500=1)*(COUNTIFS($B$3:$B$500,Employees!$A$3:$A$500,$H$3:$H$500,"Approved",$D$3:$D$500,"&lt;="&amp;E262,$E$3:$E$500,"&gt;="&amp;D262,$A$3:$A$500,"&lt;&gt;"&amp;A262)=0)),0))</f>
        <v/>
      </c>
      <c r="M262">
        <f>IF(B262="","",IFERROR(SUMPRODUCT((LEN(Employees!$A$3:$A$500)&gt;0)*(Employees!$U$3:$U$500=1)*(COUNTIFS($B$3:$B$500,Employees!$A$3:$A$500,$H$3:$H$500,"Approved",$D$3:$D$500,"&lt;="&amp;E262,$E$3:$E$500,"&gt;="&amp;D262,$A$3:$A$500,"&lt;&gt;"&amp;A262)=0)),0))</f>
        <v/>
      </c>
      <c r="N262">
        <f>IF(B262="","",IFERROR(SUMPRODUCT((LEN(Employees!$A$3:$A$500)&gt;0)*(Employees!$B$3:$B$500="Manager")*(Employees!$U$3:$U$500=1)*(COUNTIFS($B$3:$B$500,Employees!$A$3:$A$500,$H$3:$H$500,"Approved",$D$3:$D$500,"&lt;="&amp;E262,$E$3:$E$500,"&gt;="&amp;D262,$A$3:$A$500,"&lt;&gt;"&amp;A262)=0)),0))</f>
        <v/>
      </c>
      <c r="O262">
        <f>IF(B262="","",IFERROR(SUMPRODUCT((LEN(Employees!$A$3:$A$500)&gt;0)*(Employees!$V$3:$V$500=1)*(COUNTIFS($B$3:$B$500,Employees!$A$3:$A$500,$H$3:$H$500,"Approved",$D$3:$D$500,"&lt;="&amp;E262,$E$3:$E$500,"&gt;="&amp;D262,$A$3:$A$500,"&lt;&gt;"&amp;A262)=0)),0))</f>
        <v/>
      </c>
      <c r="P262">
        <f>IF(B262="","",IFERROR(SUMPRODUCT((LEN(Employees!$A$3:$A$500)&gt;0)*(Employees!$W$3:$W$500=1)*(COUNTIFS($B$3:$B$500,Employees!$A$3:$A$500,$H$3:$H$500,"Approved",$D$3:$D$500,"&lt;="&amp;E262,$E$3:$E$500,"&gt;="&amp;D262,$A$3:$A$500,"&lt;&gt;"&amp;A262)=0)),0))</f>
        <v/>
      </c>
      <c r="Q262">
        <f>IF(B262="","",IFERROR(SUMPRODUCT((LEN(Employees!$A$3:$A$500)&gt;0)*(Employees!$N$3:$N$500=1)*(COUNTIFS($B$3:$B$500,Employees!$A$3:$A$500,$H$3:$H$500,"Approved",$D$3:$D$500,"&lt;="&amp;E262,$E$3:$E$500,"&gt;="&amp;D262,$A$3:$A$500,"&lt;&gt;"&amp;A262)&gt;0)),0))</f>
        <v/>
      </c>
      <c r="R262">
        <f>IF(B262="","",IFERROR(SUMPRODUCT((LEN(Employees!$A$3:$A$500)&gt;0)*(Employees!$O$3:$O$500=1)*(COUNTIFS($B$3:$B$500,Employees!$A$3:$A$500,$H$3:$H$500,"Approved",$D$3:$D$500,"&lt;="&amp;E262,$E$3:$E$500,"&gt;="&amp;D262,$A$3:$A$500,"&lt;&gt;"&amp;A262)&gt;0)),0))</f>
        <v/>
      </c>
      <c r="S262">
        <f>IF(OR(B262="",IFERROR(XLOOKUP(B262,Employees!$A$3:$A$500,Employees!$G$3:$G$500,""),"")=""),"",IFERROR(SUMPRODUCT((LEN(Employees!$A$3:$A$500)&gt;0)*(Employees!$G$3:$G$500=IFERROR(XLOOKUP(B262,Employees!$A$3:$A$500,Employees!$G$3:$G$500,""),""))*(COUNTIFS($B$3:$B$500,Employees!$A$3:$A$500,$H$3:$H$500,"Approved",$D$3:$D$500,"&lt;="&amp;E262,$E$3:$E$500,"&gt;="&amp;D262,$A$3:$A$500,"&lt;&gt;"&amp;A262)&gt;0)),0))</f>
        <v/>
      </c>
    </row>
    <row r="263">
      <c r="C263">
        <f>IFERROR(XLOOKUP(B263,Employees!$A$3:$A$500,Employees!$B$3:$B$500,""),"")</f>
        <v/>
      </c>
      <c r="I263">
        <f>IF(AND(B263&lt;&gt;"",D263&lt;&gt;"",E263&lt;&gt;""),E263-D263+1,"")</f>
        <v/>
      </c>
      <c r="J263">
        <f>IF(OR(B263="",D263="",E263=""),"",IF(OR(L263&lt;'Coverage Rules'!E7,M263&lt;'Coverage Rules'!E8,N263&lt;'Coverage Rules'!C8,O263&lt;'Coverage Rules'!E9,P263&lt;'Coverage Rules'!E10,Q263&gt;='Coverage Rules'!B16,R263&gt;='Coverage Rules'!B17,IF(S263="",FALSE,S263&gt;='Coverage Rules'!D24)),"Denied","OK"))</f>
        <v/>
      </c>
      <c r="L263">
        <f>IF(B263="","",IFERROR(SUMPRODUCT((LEN(Employees!$A$3:$A$500)&gt;0)*(Employees!$T$3:$T$500=1)*(COUNTIFS($B$3:$B$500,Employees!$A$3:$A$500,$H$3:$H$500,"Approved",$D$3:$D$500,"&lt;="&amp;E263,$E$3:$E$500,"&gt;="&amp;D263,$A$3:$A$500,"&lt;&gt;"&amp;A263)=0)),0))</f>
        <v/>
      </c>
      <c r="M263">
        <f>IF(B263="","",IFERROR(SUMPRODUCT((LEN(Employees!$A$3:$A$500)&gt;0)*(Employees!$U$3:$U$500=1)*(COUNTIFS($B$3:$B$500,Employees!$A$3:$A$500,$H$3:$H$500,"Approved",$D$3:$D$500,"&lt;="&amp;E263,$E$3:$E$500,"&gt;="&amp;D263,$A$3:$A$500,"&lt;&gt;"&amp;A263)=0)),0))</f>
        <v/>
      </c>
      <c r="N263">
        <f>IF(B263="","",IFERROR(SUMPRODUCT((LEN(Employees!$A$3:$A$500)&gt;0)*(Employees!$B$3:$B$500="Manager")*(Employees!$U$3:$U$500=1)*(COUNTIFS($B$3:$B$500,Employees!$A$3:$A$500,$H$3:$H$500,"Approved",$D$3:$D$500,"&lt;="&amp;E263,$E$3:$E$500,"&gt;="&amp;D263,$A$3:$A$500,"&lt;&gt;"&amp;A263)=0)),0))</f>
        <v/>
      </c>
      <c r="O263">
        <f>IF(B263="","",IFERROR(SUMPRODUCT((LEN(Employees!$A$3:$A$500)&gt;0)*(Employees!$V$3:$V$500=1)*(COUNTIFS($B$3:$B$500,Employees!$A$3:$A$500,$H$3:$H$500,"Approved",$D$3:$D$500,"&lt;="&amp;E263,$E$3:$E$500,"&gt;="&amp;D263,$A$3:$A$500,"&lt;&gt;"&amp;A263)=0)),0))</f>
        <v/>
      </c>
      <c r="P263">
        <f>IF(B263="","",IFERROR(SUMPRODUCT((LEN(Employees!$A$3:$A$500)&gt;0)*(Employees!$W$3:$W$500=1)*(COUNTIFS($B$3:$B$500,Employees!$A$3:$A$500,$H$3:$H$500,"Approved",$D$3:$D$500,"&lt;="&amp;E263,$E$3:$E$500,"&gt;="&amp;D263,$A$3:$A$500,"&lt;&gt;"&amp;A263)=0)),0))</f>
        <v/>
      </c>
      <c r="Q263">
        <f>IF(B263="","",IFERROR(SUMPRODUCT((LEN(Employees!$A$3:$A$500)&gt;0)*(Employees!$N$3:$N$500=1)*(COUNTIFS($B$3:$B$500,Employees!$A$3:$A$500,$H$3:$H$500,"Approved",$D$3:$D$500,"&lt;="&amp;E263,$E$3:$E$500,"&gt;="&amp;D263,$A$3:$A$500,"&lt;&gt;"&amp;A263)&gt;0)),0))</f>
        <v/>
      </c>
      <c r="R263">
        <f>IF(B263="","",IFERROR(SUMPRODUCT((LEN(Employees!$A$3:$A$500)&gt;0)*(Employees!$O$3:$O$500=1)*(COUNTIFS($B$3:$B$500,Employees!$A$3:$A$500,$H$3:$H$500,"Approved",$D$3:$D$500,"&lt;="&amp;E263,$E$3:$E$500,"&gt;="&amp;D263,$A$3:$A$500,"&lt;&gt;"&amp;A263)&gt;0)),0))</f>
        <v/>
      </c>
      <c r="S263">
        <f>IF(OR(B263="",IFERROR(XLOOKUP(B263,Employees!$A$3:$A$500,Employees!$G$3:$G$500,""),"")=""),"",IFERROR(SUMPRODUCT((LEN(Employees!$A$3:$A$500)&gt;0)*(Employees!$G$3:$G$500=IFERROR(XLOOKUP(B263,Employees!$A$3:$A$500,Employees!$G$3:$G$500,""),""))*(COUNTIFS($B$3:$B$500,Employees!$A$3:$A$500,$H$3:$H$500,"Approved",$D$3:$D$500,"&lt;="&amp;E263,$E$3:$E$500,"&gt;="&amp;D263,$A$3:$A$500,"&lt;&gt;"&amp;A263)&gt;0)),0))</f>
        <v/>
      </c>
    </row>
    <row r="264">
      <c r="C264">
        <f>IFERROR(XLOOKUP(B264,Employees!$A$3:$A$500,Employees!$B$3:$B$500,""),"")</f>
        <v/>
      </c>
      <c r="I264">
        <f>IF(AND(B264&lt;&gt;"",D264&lt;&gt;"",E264&lt;&gt;""),E264-D264+1,"")</f>
        <v/>
      </c>
      <c r="J264">
        <f>IF(OR(B264="",D264="",E264=""),"",IF(OR(L264&lt;'Coverage Rules'!E7,M264&lt;'Coverage Rules'!E8,N264&lt;'Coverage Rules'!C8,O264&lt;'Coverage Rules'!E9,P264&lt;'Coverage Rules'!E10,Q264&gt;='Coverage Rules'!B16,R264&gt;='Coverage Rules'!B17,IF(S264="",FALSE,S264&gt;='Coverage Rules'!D24)),"Denied","OK"))</f>
        <v/>
      </c>
      <c r="L264">
        <f>IF(B264="","",IFERROR(SUMPRODUCT((LEN(Employees!$A$3:$A$500)&gt;0)*(Employees!$T$3:$T$500=1)*(COUNTIFS($B$3:$B$500,Employees!$A$3:$A$500,$H$3:$H$500,"Approved",$D$3:$D$500,"&lt;="&amp;E264,$E$3:$E$500,"&gt;="&amp;D264,$A$3:$A$500,"&lt;&gt;"&amp;A264)=0)),0))</f>
        <v/>
      </c>
      <c r="M264">
        <f>IF(B264="","",IFERROR(SUMPRODUCT((LEN(Employees!$A$3:$A$500)&gt;0)*(Employees!$U$3:$U$500=1)*(COUNTIFS($B$3:$B$500,Employees!$A$3:$A$500,$H$3:$H$500,"Approved",$D$3:$D$500,"&lt;="&amp;E264,$E$3:$E$500,"&gt;="&amp;D264,$A$3:$A$500,"&lt;&gt;"&amp;A264)=0)),0))</f>
        <v/>
      </c>
      <c r="N264">
        <f>IF(B264="","",IFERROR(SUMPRODUCT((LEN(Employees!$A$3:$A$500)&gt;0)*(Employees!$B$3:$B$500="Manager")*(Employees!$U$3:$U$500=1)*(COUNTIFS($B$3:$B$500,Employees!$A$3:$A$500,$H$3:$H$500,"Approved",$D$3:$D$500,"&lt;="&amp;E264,$E$3:$E$500,"&gt;="&amp;D264,$A$3:$A$500,"&lt;&gt;"&amp;A264)=0)),0))</f>
        <v/>
      </c>
      <c r="O264">
        <f>IF(B264="","",IFERROR(SUMPRODUCT((LEN(Employees!$A$3:$A$500)&gt;0)*(Employees!$V$3:$V$500=1)*(COUNTIFS($B$3:$B$500,Employees!$A$3:$A$500,$H$3:$H$500,"Approved",$D$3:$D$500,"&lt;="&amp;E264,$E$3:$E$500,"&gt;="&amp;D264,$A$3:$A$500,"&lt;&gt;"&amp;A264)=0)),0))</f>
        <v/>
      </c>
      <c r="P264">
        <f>IF(B264="","",IFERROR(SUMPRODUCT((LEN(Employees!$A$3:$A$500)&gt;0)*(Employees!$W$3:$W$500=1)*(COUNTIFS($B$3:$B$500,Employees!$A$3:$A$500,$H$3:$H$500,"Approved",$D$3:$D$500,"&lt;="&amp;E264,$E$3:$E$500,"&gt;="&amp;D264,$A$3:$A$500,"&lt;&gt;"&amp;A264)=0)),0))</f>
        <v/>
      </c>
      <c r="Q264">
        <f>IF(B264="","",IFERROR(SUMPRODUCT((LEN(Employees!$A$3:$A$500)&gt;0)*(Employees!$N$3:$N$500=1)*(COUNTIFS($B$3:$B$500,Employees!$A$3:$A$500,$H$3:$H$500,"Approved",$D$3:$D$500,"&lt;="&amp;E264,$E$3:$E$500,"&gt;="&amp;D264,$A$3:$A$500,"&lt;&gt;"&amp;A264)&gt;0)),0))</f>
        <v/>
      </c>
      <c r="R264">
        <f>IF(B264="","",IFERROR(SUMPRODUCT((LEN(Employees!$A$3:$A$500)&gt;0)*(Employees!$O$3:$O$500=1)*(COUNTIFS($B$3:$B$500,Employees!$A$3:$A$500,$H$3:$H$500,"Approved",$D$3:$D$500,"&lt;="&amp;E264,$E$3:$E$500,"&gt;="&amp;D264,$A$3:$A$500,"&lt;&gt;"&amp;A264)&gt;0)),0))</f>
        <v/>
      </c>
      <c r="S264">
        <f>IF(OR(B264="",IFERROR(XLOOKUP(B264,Employees!$A$3:$A$500,Employees!$G$3:$G$500,""),"")=""),"",IFERROR(SUMPRODUCT((LEN(Employees!$A$3:$A$500)&gt;0)*(Employees!$G$3:$G$500=IFERROR(XLOOKUP(B264,Employees!$A$3:$A$500,Employees!$G$3:$G$500,""),""))*(COUNTIFS($B$3:$B$500,Employees!$A$3:$A$500,$H$3:$H$500,"Approved",$D$3:$D$500,"&lt;="&amp;E264,$E$3:$E$500,"&gt;="&amp;D264,$A$3:$A$500,"&lt;&gt;"&amp;A264)&gt;0)),0))</f>
        <v/>
      </c>
    </row>
    <row r="265">
      <c r="C265">
        <f>IFERROR(XLOOKUP(B265,Employees!$A$3:$A$500,Employees!$B$3:$B$500,""),"")</f>
        <v/>
      </c>
      <c r="I265">
        <f>IF(AND(B265&lt;&gt;"",D265&lt;&gt;"",E265&lt;&gt;""),E265-D265+1,"")</f>
        <v/>
      </c>
      <c r="J265">
        <f>IF(OR(B265="",D265="",E265=""),"",IF(OR(L265&lt;'Coverage Rules'!E7,M265&lt;'Coverage Rules'!E8,N265&lt;'Coverage Rules'!C8,O265&lt;'Coverage Rules'!E9,P265&lt;'Coverage Rules'!E10,Q265&gt;='Coverage Rules'!B16,R265&gt;='Coverage Rules'!B17,IF(S265="",FALSE,S265&gt;='Coverage Rules'!D24)),"Denied","OK"))</f>
        <v/>
      </c>
      <c r="L265">
        <f>IF(B265="","",IFERROR(SUMPRODUCT((LEN(Employees!$A$3:$A$500)&gt;0)*(Employees!$T$3:$T$500=1)*(COUNTIFS($B$3:$B$500,Employees!$A$3:$A$500,$H$3:$H$500,"Approved",$D$3:$D$500,"&lt;="&amp;E265,$E$3:$E$500,"&gt;="&amp;D265,$A$3:$A$500,"&lt;&gt;"&amp;A265)=0)),0))</f>
        <v/>
      </c>
      <c r="M265">
        <f>IF(B265="","",IFERROR(SUMPRODUCT((LEN(Employees!$A$3:$A$500)&gt;0)*(Employees!$U$3:$U$500=1)*(COUNTIFS($B$3:$B$500,Employees!$A$3:$A$500,$H$3:$H$500,"Approved",$D$3:$D$500,"&lt;="&amp;E265,$E$3:$E$500,"&gt;="&amp;D265,$A$3:$A$500,"&lt;&gt;"&amp;A265)=0)),0))</f>
        <v/>
      </c>
      <c r="N265">
        <f>IF(B265="","",IFERROR(SUMPRODUCT((LEN(Employees!$A$3:$A$500)&gt;0)*(Employees!$B$3:$B$500="Manager")*(Employees!$U$3:$U$500=1)*(COUNTIFS($B$3:$B$500,Employees!$A$3:$A$500,$H$3:$H$500,"Approved",$D$3:$D$500,"&lt;="&amp;E265,$E$3:$E$500,"&gt;="&amp;D265,$A$3:$A$500,"&lt;&gt;"&amp;A265)=0)),0))</f>
        <v/>
      </c>
      <c r="O265">
        <f>IF(B265="","",IFERROR(SUMPRODUCT((LEN(Employees!$A$3:$A$500)&gt;0)*(Employees!$V$3:$V$500=1)*(COUNTIFS($B$3:$B$500,Employees!$A$3:$A$500,$H$3:$H$500,"Approved",$D$3:$D$500,"&lt;="&amp;E265,$E$3:$E$500,"&gt;="&amp;D265,$A$3:$A$500,"&lt;&gt;"&amp;A265)=0)),0))</f>
        <v/>
      </c>
      <c r="P265">
        <f>IF(B265="","",IFERROR(SUMPRODUCT((LEN(Employees!$A$3:$A$500)&gt;0)*(Employees!$W$3:$W$500=1)*(COUNTIFS($B$3:$B$500,Employees!$A$3:$A$500,$H$3:$H$500,"Approved",$D$3:$D$500,"&lt;="&amp;E265,$E$3:$E$500,"&gt;="&amp;D265,$A$3:$A$500,"&lt;&gt;"&amp;A265)=0)),0))</f>
        <v/>
      </c>
      <c r="Q265">
        <f>IF(B265="","",IFERROR(SUMPRODUCT((LEN(Employees!$A$3:$A$500)&gt;0)*(Employees!$N$3:$N$500=1)*(COUNTIFS($B$3:$B$500,Employees!$A$3:$A$500,$H$3:$H$500,"Approved",$D$3:$D$500,"&lt;="&amp;E265,$E$3:$E$500,"&gt;="&amp;D265,$A$3:$A$500,"&lt;&gt;"&amp;A265)&gt;0)),0))</f>
        <v/>
      </c>
      <c r="R265">
        <f>IF(B265="","",IFERROR(SUMPRODUCT((LEN(Employees!$A$3:$A$500)&gt;0)*(Employees!$O$3:$O$500=1)*(COUNTIFS($B$3:$B$500,Employees!$A$3:$A$500,$H$3:$H$500,"Approved",$D$3:$D$500,"&lt;="&amp;E265,$E$3:$E$500,"&gt;="&amp;D265,$A$3:$A$500,"&lt;&gt;"&amp;A265)&gt;0)),0))</f>
        <v/>
      </c>
      <c r="S265">
        <f>IF(OR(B265="",IFERROR(XLOOKUP(B265,Employees!$A$3:$A$500,Employees!$G$3:$G$500,""),"")=""),"",IFERROR(SUMPRODUCT((LEN(Employees!$A$3:$A$500)&gt;0)*(Employees!$G$3:$G$500=IFERROR(XLOOKUP(B265,Employees!$A$3:$A$500,Employees!$G$3:$G$500,""),""))*(COUNTIFS($B$3:$B$500,Employees!$A$3:$A$500,$H$3:$H$500,"Approved",$D$3:$D$500,"&lt;="&amp;E265,$E$3:$E$500,"&gt;="&amp;D265,$A$3:$A$500,"&lt;&gt;"&amp;A265)&gt;0)),0))</f>
        <v/>
      </c>
    </row>
    <row r="266">
      <c r="C266">
        <f>IFERROR(XLOOKUP(B266,Employees!$A$3:$A$500,Employees!$B$3:$B$500,""),"")</f>
        <v/>
      </c>
      <c r="I266">
        <f>IF(AND(B266&lt;&gt;"",D266&lt;&gt;"",E266&lt;&gt;""),E266-D266+1,"")</f>
        <v/>
      </c>
      <c r="J266">
        <f>IF(OR(B266="",D266="",E266=""),"",IF(OR(L266&lt;'Coverage Rules'!E7,M266&lt;'Coverage Rules'!E8,N266&lt;'Coverage Rules'!C8,O266&lt;'Coverage Rules'!E9,P266&lt;'Coverage Rules'!E10,Q266&gt;='Coverage Rules'!B16,R266&gt;='Coverage Rules'!B17,IF(S266="",FALSE,S266&gt;='Coverage Rules'!D24)),"Denied","OK"))</f>
        <v/>
      </c>
      <c r="L266">
        <f>IF(B266="","",IFERROR(SUMPRODUCT((LEN(Employees!$A$3:$A$500)&gt;0)*(Employees!$T$3:$T$500=1)*(COUNTIFS($B$3:$B$500,Employees!$A$3:$A$500,$H$3:$H$500,"Approved",$D$3:$D$500,"&lt;="&amp;E266,$E$3:$E$500,"&gt;="&amp;D266,$A$3:$A$500,"&lt;&gt;"&amp;A266)=0)),0))</f>
        <v/>
      </c>
      <c r="M266">
        <f>IF(B266="","",IFERROR(SUMPRODUCT((LEN(Employees!$A$3:$A$500)&gt;0)*(Employees!$U$3:$U$500=1)*(COUNTIFS($B$3:$B$500,Employees!$A$3:$A$500,$H$3:$H$500,"Approved",$D$3:$D$500,"&lt;="&amp;E266,$E$3:$E$500,"&gt;="&amp;D266,$A$3:$A$500,"&lt;&gt;"&amp;A266)=0)),0))</f>
        <v/>
      </c>
      <c r="N266">
        <f>IF(B266="","",IFERROR(SUMPRODUCT((LEN(Employees!$A$3:$A$500)&gt;0)*(Employees!$B$3:$B$500="Manager")*(Employees!$U$3:$U$500=1)*(COUNTIFS($B$3:$B$500,Employees!$A$3:$A$500,$H$3:$H$500,"Approved",$D$3:$D$500,"&lt;="&amp;E266,$E$3:$E$500,"&gt;="&amp;D266,$A$3:$A$500,"&lt;&gt;"&amp;A266)=0)),0))</f>
        <v/>
      </c>
      <c r="O266">
        <f>IF(B266="","",IFERROR(SUMPRODUCT((LEN(Employees!$A$3:$A$500)&gt;0)*(Employees!$V$3:$V$500=1)*(COUNTIFS($B$3:$B$500,Employees!$A$3:$A$500,$H$3:$H$500,"Approved",$D$3:$D$500,"&lt;="&amp;E266,$E$3:$E$500,"&gt;="&amp;D266,$A$3:$A$500,"&lt;&gt;"&amp;A266)=0)),0))</f>
        <v/>
      </c>
      <c r="P266">
        <f>IF(B266="","",IFERROR(SUMPRODUCT((LEN(Employees!$A$3:$A$500)&gt;0)*(Employees!$W$3:$W$500=1)*(COUNTIFS($B$3:$B$500,Employees!$A$3:$A$500,$H$3:$H$500,"Approved",$D$3:$D$500,"&lt;="&amp;E266,$E$3:$E$500,"&gt;="&amp;D266,$A$3:$A$500,"&lt;&gt;"&amp;A266)=0)),0))</f>
        <v/>
      </c>
      <c r="Q266">
        <f>IF(B266="","",IFERROR(SUMPRODUCT((LEN(Employees!$A$3:$A$500)&gt;0)*(Employees!$N$3:$N$500=1)*(COUNTIFS($B$3:$B$500,Employees!$A$3:$A$500,$H$3:$H$500,"Approved",$D$3:$D$500,"&lt;="&amp;E266,$E$3:$E$500,"&gt;="&amp;D266,$A$3:$A$500,"&lt;&gt;"&amp;A266)&gt;0)),0))</f>
        <v/>
      </c>
      <c r="R266">
        <f>IF(B266="","",IFERROR(SUMPRODUCT((LEN(Employees!$A$3:$A$500)&gt;0)*(Employees!$O$3:$O$500=1)*(COUNTIFS($B$3:$B$500,Employees!$A$3:$A$500,$H$3:$H$500,"Approved",$D$3:$D$500,"&lt;="&amp;E266,$E$3:$E$500,"&gt;="&amp;D266,$A$3:$A$500,"&lt;&gt;"&amp;A266)&gt;0)),0))</f>
        <v/>
      </c>
      <c r="S266">
        <f>IF(OR(B266="",IFERROR(XLOOKUP(B266,Employees!$A$3:$A$500,Employees!$G$3:$G$500,""),"")=""),"",IFERROR(SUMPRODUCT((LEN(Employees!$A$3:$A$500)&gt;0)*(Employees!$G$3:$G$500=IFERROR(XLOOKUP(B266,Employees!$A$3:$A$500,Employees!$G$3:$G$500,""),""))*(COUNTIFS($B$3:$B$500,Employees!$A$3:$A$500,$H$3:$H$500,"Approved",$D$3:$D$500,"&lt;="&amp;E266,$E$3:$E$500,"&gt;="&amp;D266,$A$3:$A$500,"&lt;&gt;"&amp;A266)&gt;0)),0))</f>
        <v/>
      </c>
    </row>
    <row r="267">
      <c r="C267">
        <f>IFERROR(XLOOKUP(B267,Employees!$A$3:$A$500,Employees!$B$3:$B$500,""),"")</f>
        <v/>
      </c>
      <c r="I267">
        <f>IF(AND(B267&lt;&gt;"",D267&lt;&gt;"",E267&lt;&gt;""),E267-D267+1,"")</f>
        <v/>
      </c>
      <c r="J267">
        <f>IF(OR(B267="",D267="",E267=""),"",IF(OR(L267&lt;'Coverage Rules'!E7,M267&lt;'Coverage Rules'!E8,N267&lt;'Coverage Rules'!C8,O267&lt;'Coverage Rules'!E9,P267&lt;'Coverage Rules'!E10,Q267&gt;='Coverage Rules'!B16,R267&gt;='Coverage Rules'!B17,IF(S267="",FALSE,S267&gt;='Coverage Rules'!D24)),"Denied","OK"))</f>
        <v/>
      </c>
      <c r="L267">
        <f>IF(B267="","",IFERROR(SUMPRODUCT((LEN(Employees!$A$3:$A$500)&gt;0)*(Employees!$T$3:$T$500=1)*(COUNTIFS($B$3:$B$500,Employees!$A$3:$A$500,$H$3:$H$500,"Approved",$D$3:$D$500,"&lt;="&amp;E267,$E$3:$E$500,"&gt;="&amp;D267,$A$3:$A$500,"&lt;&gt;"&amp;A267)=0)),0))</f>
        <v/>
      </c>
      <c r="M267">
        <f>IF(B267="","",IFERROR(SUMPRODUCT((LEN(Employees!$A$3:$A$500)&gt;0)*(Employees!$U$3:$U$500=1)*(COUNTIFS($B$3:$B$500,Employees!$A$3:$A$500,$H$3:$H$500,"Approved",$D$3:$D$500,"&lt;="&amp;E267,$E$3:$E$500,"&gt;="&amp;D267,$A$3:$A$500,"&lt;&gt;"&amp;A267)=0)),0))</f>
        <v/>
      </c>
      <c r="N267">
        <f>IF(B267="","",IFERROR(SUMPRODUCT((LEN(Employees!$A$3:$A$500)&gt;0)*(Employees!$B$3:$B$500="Manager")*(Employees!$U$3:$U$500=1)*(COUNTIFS($B$3:$B$500,Employees!$A$3:$A$500,$H$3:$H$500,"Approved",$D$3:$D$500,"&lt;="&amp;E267,$E$3:$E$500,"&gt;="&amp;D267,$A$3:$A$500,"&lt;&gt;"&amp;A267)=0)),0))</f>
        <v/>
      </c>
      <c r="O267">
        <f>IF(B267="","",IFERROR(SUMPRODUCT((LEN(Employees!$A$3:$A$500)&gt;0)*(Employees!$V$3:$V$500=1)*(COUNTIFS($B$3:$B$500,Employees!$A$3:$A$500,$H$3:$H$500,"Approved",$D$3:$D$500,"&lt;="&amp;E267,$E$3:$E$500,"&gt;="&amp;D267,$A$3:$A$500,"&lt;&gt;"&amp;A267)=0)),0))</f>
        <v/>
      </c>
      <c r="P267">
        <f>IF(B267="","",IFERROR(SUMPRODUCT((LEN(Employees!$A$3:$A$500)&gt;0)*(Employees!$W$3:$W$500=1)*(COUNTIFS($B$3:$B$500,Employees!$A$3:$A$500,$H$3:$H$500,"Approved",$D$3:$D$500,"&lt;="&amp;E267,$E$3:$E$500,"&gt;="&amp;D267,$A$3:$A$500,"&lt;&gt;"&amp;A267)=0)),0))</f>
        <v/>
      </c>
      <c r="Q267">
        <f>IF(B267="","",IFERROR(SUMPRODUCT((LEN(Employees!$A$3:$A$500)&gt;0)*(Employees!$N$3:$N$500=1)*(COUNTIFS($B$3:$B$500,Employees!$A$3:$A$500,$H$3:$H$500,"Approved",$D$3:$D$500,"&lt;="&amp;E267,$E$3:$E$500,"&gt;="&amp;D267,$A$3:$A$500,"&lt;&gt;"&amp;A267)&gt;0)),0))</f>
        <v/>
      </c>
      <c r="R267">
        <f>IF(B267="","",IFERROR(SUMPRODUCT((LEN(Employees!$A$3:$A$500)&gt;0)*(Employees!$O$3:$O$500=1)*(COUNTIFS($B$3:$B$500,Employees!$A$3:$A$500,$H$3:$H$500,"Approved",$D$3:$D$500,"&lt;="&amp;E267,$E$3:$E$500,"&gt;="&amp;D267,$A$3:$A$500,"&lt;&gt;"&amp;A267)&gt;0)),0))</f>
        <v/>
      </c>
      <c r="S267">
        <f>IF(OR(B267="",IFERROR(XLOOKUP(B267,Employees!$A$3:$A$500,Employees!$G$3:$G$500,""),"")=""),"",IFERROR(SUMPRODUCT((LEN(Employees!$A$3:$A$500)&gt;0)*(Employees!$G$3:$G$500=IFERROR(XLOOKUP(B267,Employees!$A$3:$A$500,Employees!$G$3:$G$500,""),""))*(COUNTIFS($B$3:$B$500,Employees!$A$3:$A$500,$H$3:$H$500,"Approved",$D$3:$D$500,"&lt;="&amp;E267,$E$3:$E$500,"&gt;="&amp;D267,$A$3:$A$500,"&lt;&gt;"&amp;A267)&gt;0)),0))</f>
        <v/>
      </c>
    </row>
    <row r="268">
      <c r="C268">
        <f>IFERROR(XLOOKUP(B268,Employees!$A$3:$A$500,Employees!$B$3:$B$500,""),"")</f>
        <v/>
      </c>
      <c r="I268">
        <f>IF(AND(B268&lt;&gt;"",D268&lt;&gt;"",E268&lt;&gt;""),E268-D268+1,"")</f>
        <v/>
      </c>
      <c r="J268">
        <f>IF(OR(B268="",D268="",E268=""),"",IF(OR(L268&lt;'Coverage Rules'!E7,M268&lt;'Coverage Rules'!E8,N268&lt;'Coverage Rules'!C8,O268&lt;'Coverage Rules'!E9,P268&lt;'Coverage Rules'!E10,Q268&gt;='Coverage Rules'!B16,R268&gt;='Coverage Rules'!B17,IF(S268="",FALSE,S268&gt;='Coverage Rules'!D24)),"Denied","OK"))</f>
        <v/>
      </c>
      <c r="L268">
        <f>IF(B268="","",IFERROR(SUMPRODUCT((LEN(Employees!$A$3:$A$500)&gt;0)*(Employees!$T$3:$T$500=1)*(COUNTIFS($B$3:$B$500,Employees!$A$3:$A$500,$H$3:$H$500,"Approved",$D$3:$D$500,"&lt;="&amp;E268,$E$3:$E$500,"&gt;="&amp;D268,$A$3:$A$500,"&lt;&gt;"&amp;A268)=0)),0))</f>
        <v/>
      </c>
      <c r="M268">
        <f>IF(B268="","",IFERROR(SUMPRODUCT((LEN(Employees!$A$3:$A$500)&gt;0)*(Employees!$U$3:$U$500=1)*(COUNTIFS($B$3:$B$500,Employees!$A$3:$A$500,$H$3:$H$500,"Approved",$D$3:$D$500,"&lt;="&amp;E268,$E$3:$E$500,"&gt;="&amp;D268,$A$3:$A$500,"&lt;&gt;"&amp;A268)=0)),0))</f>
        <v/>
      </c>
      <c r="N268">
        <f>IF(B268="","",IFERROR(SUMPRODUCT((LEN(Employees!$A$3:$A$500)&gt;0)*(Employees!$B$3:$B$500="Manager")*(Employees!$U$3:$U$500=1)*(COUNTIFS($B$3:$B$500,Employees!$A$3:$A$500,$H$3:$H$500,"Approved",$D$3:$D$500,"&lt;="&amp;E268,$E$3:$E$500,"&gt;="&amp;D268,$A$3:$A$500,"&lt;&gt;"&amp;A268)=0)),0))</f>
        <v/>
      </c>
      <c r="O268">
        <f>IF(B268="","",IFERROR(SUMPRODUCT((LEN(Employees!$A$3:$A$500)&gt;0)*(Employees!$V$3:$V$500=1)*(COUNTIFS($B$3:$B$500,Employees!$A$3:$A$500,$H$3:$H$500,"Approved",$D$3:$D$500,"&lt;="&amp;E268,$E$3:$E$500,"&gt;="&amp;D268,$A$3:$A$500,"&lt;&gt;"&amp;A268)=0)),0))</f>
        <v/>
      </c>
      <c r="P268">
        <f>IF(B268="","",IFERROR(SUMPRODUCT((LEN(Employees!$A$3:$A$500)&gt;0)*(Employees!$W$3:$W$500=1)*(COUNTIFS($B$3:$B$500,Employees!$A$3:$A$500,$H$3:$H$500,"Approved",$D$3:$D$500,"&lt;="&amp;E268,$E$3:$E$500,"&gt;="&amp;D268,$A$3:$A$500,"&lt;&gt;"&amp;A268)=0)),0))</f>
        <v/>
      </c>
      <c r="Q268">
        <f>IF(B268="","",IFERROR(SUMPRODUCT((LEN(Employees!$A$3:$A$500)&gt;0)*(Employees!$N$3:$N$500=1)*(COUNTIFS($B$3:$B$500,Employees!$A$3:$A$500,$H$3:$H$500,"Approved",$D$3:$D$500,"&lt;="&amp;E268,$E$3:$E$500,"&gt;="&amp;D268,$A$3:$A$500,"&lt;&gt;"&amp;A268)&gt;0)),0))</f>
        <v/>
      </c>
      <c r="R268">
        <f>IF(B268="","",IFERROR(SUMPRODUCT((LEN(Employees!$A$3:$A$500)&gt;0)*(Employees!$O$3:$O$500=1)*(COUNTIFS($B$3:$B$500,Employees!$A$3:$A$500,$H$3:$H$500,"Approved",$D$3:$D$500,"&lt;="&amp;E268,$E$3:$E$500,"&gt;="&amp;D268,$A$3:$A$500,"&lt;&gt;"&amp;A268)&gt;0)),0))</f>
        <v/>
      </c>
      <c r="S268">
        <f>IF(OR(B268="",IFERROR(XLOOKUP(B268,Employees!$A$3:$A$500,Employees!$G$3:$G$500,""),"")=""),"",IFERROR(SUMPRODUCT((LEN(Employees!$A$3:$A$500)&gt;0)*(Employees!$G$3:$G$500=IFERROR(XLOOKUP(B268,Employees!$A$3:$A$500,Employees!$G$3:$G$500,""),""))*(COUNTIFS($B$3:$B$500,Employees!$A$3:$A$500,$H$3:$H$500,"Approved",$D$3:$D$500,"&lt;="&amp;E268,$E$3:$E$500,"&gt;="&amp;D268,$A$3:$A$500,"&lt;&gt;"&amp;A268)&gt;0)),0))</f>
        <v/>
      </c>
    </row>
    <row r="269">
      <c r="C269">
        <f>IFERROR(XLOOKUP(B269,Employees!$A$3:$A$500,Employees!$B$3:$B$500,""),"")</f>
        <v/>
      </c>
      <c r="I269">
        <f>IF(AND(B269&lt;&gt;"",D269&lt;&gt;"",E269&lt;&gt;""),E269-D269+1,"")</f>
        <v/>
      </c>
      <c r="J269">
        <f>IF(OR(B269="",D269="",E269=""),"",IF(OR(L269&lt;'Coverage Rules'!E7,M269&lt;'Coverage Rules'!E8,N269&lt;'Coverage Rules'!C8,O269&lt;'Coverage Rules'!E9,P269&lt;'Coverage Rules'!E10,Q269&gt;='Coverage Rules'!B16,R269&gt;='Coverage Rules'!B17,IF(S269="",FALSE,S269&gt;='Coverage Rules'!D24)),"Denied","OK"))</f>
        <v/>
      </c>
      <c r="L269">
        <f>IF(B269="","",IFERROR(SUMPRODUCT((LEN(Employees!$A$3:$A$500)&gt;0)*(Employees!$T$3:$T$500=1)*(COUNTIFS($B$3:$B$500,Employees!$A$3:$A$500,$H$3:$H$500,"Approved",$D$3:$D$500,"&lt;="&amp;E269,$E$3:$E$500,"&gt;="&amp;D269,$A$3:$A$500,"&lt;&gt;"&amp;A269)=0)),0))</f>
        <v/>
      </c>
      <c r="M269">
        <f>IF(B269="","",IFERROR(SUMPRODUCT((LEN(Employees!$A$3:$A$500)&gt;0)*(Employees!$U$3:$U$500=1)*(COUNTIFS($B$3:$B$500,Employees!$A$3:$A$500,$H$3:$H$500,"Approved",$D$3:$D$500,"&lt;="&amp;E269,$E$3:$E$500,"&gt;="&amp;D269,$A$3:$A$500,"&lt;&gt;"&amp;A269)=0)),0))</f>
        <v/>
      </c>
      <c r="N269">
        <f>IF(B269="","",IFERROR(SUMPRODUCT((LEN(Employees!$A$3:$A$500)&gt;0)*(Employees!$B$3:$B$500="Manager")*(Employees!$U$3:$U$500=1)*(COUNTIFS($B$3:$B$500,Employees!$A$3:$A$500,$H$3:$H$500,"Approved",$D$3:$D$500,"&lt;="&amp;E269,$E$3:$E$500,"&gt;="&amp;D269,$A$3:$A$500,"&lt;&gt;"&amp;A269)=0)),0))</f>
        <v/>
      </c>
      <c r="O269">
        <f>IF(B269="","",IFERROR(SUMPRODUCT((LEN(Employees!$A$3:$A$500)&gt;0)*(Employees!$V$3:$V$500=1)*(COUNTIFS($B$3:$B$500,Employees!$A$3:$A$500,$H$3:$H$500,"Approved",$D$3:$D$500,"&lt;="&amp;E269,$E$3:$E$500,"&gt;="&amp;D269,$A$3:$A$500,"&lt;&gt;"&amp;A269)=0)),0))</f>
        <v/>
      </c>
      <c r="P269">
        <f>IF(B269="","",IFERROR(SUMPRODUCT((LEN(Employees!$A$3:$A$500)&gt;0)*(Employees!$W$3:$W$500=1)*(COUNTIFS($B$3:$B$500,Employees!$A$3:$A$500,$H$3:$H$500,"Approved",$D$3:$D$500,"&lt;="&amp;E269,$E$3:$E$500,"&gt;="&amp;D269,$A$3:$A$500,"&lt;&gt;"&amp;A269)=0)),0))</f>
        <v/>
      </c>
      <c r="Q269">
        <f>IF(B269="","",IFERROR(SUMPRODUCT((LEN(Employees!$A$3:$A$500)&gt;0)*(Employees!$N$3:$N$500=1)*(COUNTIFS($B$3:$B$500,Employees!$A$3:$A$500,$H$3:$H$500,"Approved",$D$3:$D$500,"&lt;="&amp;E269,$E$3:$E$500,"&gt;="&amp;D269,$A$3:$A$500,"&lt;&gt;"&amp;A269)&gt;0)),0))</f>
        <v/>
      </c>
      <c r="R269">
        <f>IF(B269="","",IFERROR(SUMPRODUCT((LEN(Employees!$A$3:$A$500)&gt;0)*(Employees!$O$3:$O$500=1)*(COUNTIFS($B$3:$B$500,Employees!$A$3:$A$500,$H$3:$H$500,"Approved",$D$3:$D$500,"&lt;="&amp;E269,$E$3:$E$500,"&gt;="&amp;D269,$A$3:$A$500,"&lt;&gt;"&amp;A269)&gt;0)),0))</f>
        <v/>
      </c>
      <c r="S269">
        <f>IF(OR(B269="",IFERROR(XLOOKUP(B269,Employees!$A$3:$A$500,Employees!$G$3:$G$500,""),"")=""),"",IFERROR(SUMPRODUCT((LEN(Employees!$A$3:$A$500)&gt;0)*(Employees!$G$3:$G$500=IFERROR(XLOOKUP(B269,Employees!$A$3:$A$500,Employees!$G$3:$G$500,""),""))*(COUNTIFS($B$3:$B$500,Employees!$A$3:$A$500,$H$3:$H$500,"Approved",$D$3:$D$500,"&lt;="&amp;E269,$E$3:$E$500,"&gt;="&amp;D269,$A$3:$A$500,"&lt;&gt;"&amp;A269)&gt;0)),0))</f>
        <v/>
      </c>
    </row>
    <row r="270">
      <c r="C270">
        <f>IFERROR(XLOOKUP(B270,Employees!$A$3:$A$500,Employees!$B$3:$B$500,""),"")</f>
        <v/>
      </c>
      <c r="I270">
        <f>IF(AND(B270&lt;&gt;"",D270&lt;&gt;"",E270&lt;&gt;""),E270-D270+1,"")</f>
        <v/>
      </c>
      <c r="J270">
        <f>IF(OR(B270="",D270="",E270=""),"",IF(OR(L270&lt;'Coverage Rules'!E7,M270&lt;'Coverage Rules'!E8,N270&lt;'Coverage Rules'!C8,O270&lt;'Coverage Rules'!E9,P270&lt;'Coverage Rules'!E10,Q270&gt;='Coverage Rules'!B16,R270&gt;='Coverage Rules'!B17,IF(S270="",FALSE,S270&gt;='Coverage Rules'!D24)),"Denied","OK"))</f>
        <v/>
      </c>
      <c r="L270">
        <f>IF(B270="","",IFERROR(SUMPRODUCT((LEN(Employees!$A$3:$A$500)&gt;0)*(Employees!$T$3:$T$500=1)*(COUNTIFS($B$3:$B$500,Employees!$A$3:$A$500,$H$3:$H$500,"Approved",$D$3:$D$500,"&lt;="&amp;E270,$E$3:$E$500,"&gt;="&amp;D270,$A$3:$A$500,"&lt;&gt;"&amp;A270)=0)),0))</f>
        <v/>
      </c>
      <c r="M270">
        <f>IF(B270="","",IFERROR(SUMPRODUCT((LEN(Employees!$A$3:$A$500)&gt;0)*(Employees!$U$3:$U$500=1)*(COUNTIFS($B$3:$B$500,Employees!$A$3:$A$500,$H$3:$H$500,"Approved",$D$3:$D$500,"&lt;="&amp;E270,$E$3:$E$500,"&gt;="&amp;D270,$A$3:$A$500,"&lt;&gt;"&amp;A270)=0)),0))</f>
        <v/>
      </c>
      <c r="N270">
        <f>IF(B270="","",IFERROR(SUMPRODUCT((LEN(Employees!$A$3:$A$500)&gt;0)*(Employees!$B$3:$B$500="Manager")*(Employees!$U$3:$U$500=1)*(COUNTIFS($B$3:$B$500,Employees!$A$3:$A$500,$H$3:$H$500,"Approved",$D$3:$D$500,"&lt;="&amp;E270,$E$3:$E$500,"&gt;="&amp;D270,$A$3:$A$500,"&lt;&gt;"&amp;A270)=0)),0))</f>
        <v/>
      </c>
      <c r="O270">
        <f>IF(B270="","",IFERROR(SUMPRODUCT((LEN(Employees!$A$3:$A$500)&gt;0)*(Employees!$V$3:$V$500=1)*(COUNTIFS($B$3:$B$500,Employees!$A$3:$A$500,$H$3:$H$500,"Approved",$D$3:$D$500,"&lt;="&amp;E270,$E$3:$E$500,"&gt;="&amp;D270,$A$3:$A$500,"&lt;&gt;"&amp;A270)=0)),0))</f>
        <v/>
      </c>
      <c r="P270">
        <f>IF(B270="","",IFERROR(SUMPRODUCT((LEN(Employees!$A$3:$A$500)&gt;0)*(Employees!$W$3:$W$500=1)*(COUNTIFS($B$3:$B$500,Employees!$A$3:$A$500,$H$3:$H$500,"Approved",$D$3:$D$500,"&lt;="&amp;E270,$E$3:$E$500,"&gt;="&amp;D270,$A$3:$A$500,"&lt;&gt;"&amp;A270)=0)),0))</f>
        <v/>
      </c>
      <c r="Q270">
        <f>IF(B270="","",IFERROR(SUMPRODUCT((LEN(Employees!$A$3:$A$500)&gt;0)*(Employees!$N$3:$N$500=1)*(COUNTIFS($B$3:$B$500,Employees!$A$3:$A$500,$H$3:$H$500,"Approved",$D$3:$D$500,"&lt;="&amp;E270,$E$3:$E$500,"&gt;="&amp;D270,$A$3:$A$500,"&lt;&gt;"&amp;A270)&gt;0)),0))</f>
        <v/>
      </c>
      <c r="R270">
        <f>IF(B270="","",IFERROR(SUMPRODUCT((LEN(Employees!$A$3:$A$500)&gt;0)*(Employees!$O$3:$O$500=1)*(COUNTIFS($B$3:$B$500,Employees!$A$3:$A$500,$H$3:$H$500,"Approved",$D$3:$D$500,"&lt;="&amp;E270,$E$3:$E$500,"&gt;="&amp;D270,$A$3:$A$500,"&lt;&gt;"&amp;A270)&gt;0)),0))</f>
        <v/>
      </c>
      <c r="S270">
        <f>IF(OR(B270="",IFERROR(XLOOKUP(B270,Employees!$A$3:$A$500,Employees!$G$3:$G$500,""),"")=""),"",IFERROR(SUMPRODUCT((LEN(Employees!$A$3:$A$500)&gt;0)*(Employees!$G$3:$G$500=IFERROR(XLOOKUP(B270,Employees!$A$3:$A$500,Employees!$G$3:$G$500,""),""))*(COUNTIFS($B$3:$B$500,Employees!$A$3:$A$500,$H$3:$H$500,"Approved",$D$3:$D$500,"&lt;="&amp;E270,$E$3:$E$500,"&gt;="&amp;D270,$A$3:$A$500,"&lt;&gt;"&amp;A270)&gt;0)),0))</f>
        <v/>
      </c>
    </row>
    <row r="271">
      <c r="C271">
        <f>IFERROR(XLOOKUP(B271,Employees!$A$3:$A$500,Employees!$B$3:$B$500,""),"")</f>
        <v/>
      </c>
      <c r="I271">
        <f>IF(AND(B271&lt;&gt;"",D271&lt;&gt;"",E271&lt;&gt;""),E271-D271+1,"")</f>
        <v/>
      </c>
      <c r="J271">
        <f>IF(OR(B271="",D271="",E271=""),"",IF(OR(L271&lt;'Coverage Rules'!E7,M271&lt;'Coverage Rules'!E8,N271&lt;'Coverage Rules'!C8,O271&lt;'Coverage Rules'!E9,P271&lt;'Coverage Rules'!E10,Q271&gt;='Coverage Rules'!B16,R271&gt;='Coverage Rules'!B17,IF(S271="",FALSE,S271&gt;='Coverage Rules'!D24)),"Denied","OK"))</f>
        <v/>
      </c>
      <c r="L271">
        <f>IF(B271="","",IFERROR(SUMPRODUCT((LEN(Employees!$A$3:$A$500)&gt;0)*(Employees!$T$3:$T$500=1)*(COUNTIFS($B$3:$B$500,Employees!$A$3:$A$500,$H$3:$H$500,"Approved",$D$3:$D$500,"&lt;="&amp;E271,$E$3:$E$500,"&gt;="&amp;D271,$A$3:$A$500,"&lt;&gt;"&amp;A271)=0)),0))</f>
        <v/>
      </c>
      <c r="M271">
        <f>IF(B271="","",IFERROR(SUMPRODUCT((LEN(Employees!$A$3:$A$500)&gt;0)*(Employees!$U$3:$U$500=1)*(COUNTIFS($B$3:$B$500,Employees!$A$3:$A$500,$H$3:$H$500,"Approved",$D$3:$D$500,"&lt;="&amp;E271,$E$3:$E$500,"&gt;="&amp;D271,$A$3:$A$500,"&lt;&gt;"&amp;A271)=0)),0))</f>
        <v/>
      </c>
      <c r="N271">
        <f>IF(B271="","",IFERROR(SUMPRODUCT((LEN(Employees!$A$3:$A$500)&gt;0)*(Employees!$B$3:$B$500="Manager")*(Employees!$U$3:$U$500=1)*(COUNTIFS($B$3:$B$500,Employees!$A$3:$A$500,$H$3:$H$500,"Approved",$D$3:$D$500,"&lt;="&amp;E271,$E$3:$E$500,"&gt;="&amp;D271,$A$3:$A$500,"&lt;&gt;"&amp;A271)=0)),0))</f>
        <v/>
      </c>
      <c r="O271">
        <f>IF(B271="","",IFERROR(SUMPRODUCT((LEN(Employees!$A$3:$A$500)&gt;0)*(Employees!$V$3:$V$500=1)*(COUNTIFS($B$3:$B$500,Employees!$A$3:$A$500,$H$3:$H$500,"Approved",$D$3:$D$500,"&lt;="&amp;E271,$E$3:$E$500,"&gt;="&amp;D271,$A$3:$A$500,"&lt;&gt;"&amp;A271)=0)),0))</f>
        <v/>
      </c>
      <c r="P271">
        <f>IF(B271="","",IFERROR(SUMPRODUCT((LEN(Employees!$A$3:$A$500)&gt;0)*(Employees!$W$3:$W$500=1)*(COUNTIFS($B$3:$B$500,Employees!$A$3:$A$500,$H$3:$H$500,"Approved",$D$3:$D$500,"&lt;="&amp;E271,$E$3:$E$500,"&gt;="&amp;D271,$A$3:$A$500,"&lt;&gt;"&amp;A271)=0)),0))</f>
        <v/>
      </c>
      <c r="Q271">
        <f>IF(B271="","",IFERROR(SUMPRODUCT((LEN(Employees!$A$3:$A$500)&gt;0)*(Employees!$N$3:$N$500=1)*(COUNTIFS($B$3:$B$500,Employees!$A$3:$A$500,$H$3:$H$500,"Approved",$D$3:$D$500,"&lt;="&amp;E271,$E$3:$E$500,"&gt;="&amp;D271,$A$3:$A$500,"&lt;&gt;"&amp;A271)&gt;0)),0))</f>
        <v/>
      </c>
      <c r="R271">
        <f>IF(B271="","",IFERROR(SUMPRODUCT((LEN(Employees!$A$3:$A$500)&gt;0)*(Employees!$O$3:$O$500=1)*(COUNTIFS($B$3:$B$500,Employees!$A$3:$A$500,$H$3:$H$500,"Approved",$D$3:$D$500,"&lt;="&amp;E271,$E$3:$E$500,"&gt;="&amp;D271,$A$3:$A$500,"&lt;&gt;"&amp;A271)&gt;0)),0))</f>
        <v/>
      </c>
      <c r="S271">
        <f>IF(OR(B271="",IFERROR(XLOOKUP(B271,Employees!$A$3:$A$500,Employees!$G$3:$G$500,""),"")=""),"",IFERROR(SUMPRODUCT((LEN(Employees!$A$3:$A$500)&gt;0)*(Employees!$G$3:$G$500=IFERROR(XLOOKUP(B271,Employees!$A$3:$A$500,Employees!$G$3:$G$500,""),""))*(COUNTIFS($B$3:$B$500,Employees!$A$3:$A$500,$H$3:$H$500,"Approved",$D$3:$D$500,"&lt;="&amp;E271,$E$3:$E$500,"&gt;="&amp;D271,$A$3:$A$500,"&lt;&gt;"&amp;A271)&gt;0)),0))</f>
        <v/>
      </c>
    </row>
    <row r="272">
      <c r="C272">
        <f>IFERROR(XLOOKUP(B272,Employees!$A$3:$A$500,Employees!$B$3:$B$500,""),"")</f>
        <v/>
      </c>
      <c r="I272">
        <f>IF(AND(B272&lt;&gt;"",D272&lt;&gt;"",E272&lt;&gt;""),E272-D272+1,"")</f>
        <v/>
      </c>
      <c r="J272">
        <f>IF(OR(B272="",D272="",E272=""),"",IF(OR(L272&lt;'Coverage Rules'!E7,M272&lt;'Coverage Rules'!E8,N272&lt;'Coverage Rules'!C8,O272&lt;'Coverage Rules'!E9,P272&lt;'Coverage Rules'!E10,Q272&gt;='Coverage Rules'!B16,R272&gt;='Coverage Rules'!B17,IF(S272="",FALSE,S272&gt;='Coverage Rules'!D24)),"Denied","OK"))</f>
        <v/>
      </c>
      <c r="L272">
        <f>IF(B272="","",IFERROR(SUMPRODUCT((LEN(Employees!$A$3:$A$500)&gt;0)*(Employees!$T$3:$T$500=1)*(COUNTIFS($B$3:$B$500,Employees!$A$3:$A$500,$H$3:$H$500,"Approved",$D$3:$D$500,"&lt;="&amp;E272,$E$3:$E$500,"&gt;="&amp;D272,$A$3:$A$500,"&lt;&gt;"&amp;A272)=0)),0))</f>
        <v/>
      </c>
      <c r="M272">
        <f>IF(B272="","",IFERROR(SUMPRODUCT((LEN(Employees!$A$3:$A$500)&gt;0)*(Employees!$U$3:$U$500=1)*(COUNTIFS($B$3:$B$500,Employees!$A$3:$A$500,$H$3:$H$500,"Approved",$D$3:$D$500,"&lt;="&amp;E272,$E$3:$E$500,"&gt;="&amp;D272,$A$3:$A$500,"&lt;&gt;"&amp;A272)=0)),0))</f>
        <v/>
      </c>
      <c r="N272">
        <f>IF(B272="","",IFERROR(SUMPRODUCT((LEN(Employees!$A$3:$A$500)&gt;0)*(Employees!$B$3:$B$500="Manager")*(Employees!$U$3:$U$500=1)*(COUNTIFS($B$3:$B$500,Employees!$A$3:$A$500,$H$3:$H$500,"Approved",$D$3:$D$500,"&lt;="&amp;E272,$E$3:$E$500,"&gt;="&amp;D272,$A$3:$A$500,"&lt;&gt;"&amp;A272)=0)),0))</f>
        <v/>
      </c>
      <c r="O272">
        <f>IF(B272="","",IFERROR(SUMPRODUCT((LEN(Employees!$A$3:$A$500)&gt;0)*(Employees!$V$3:$V$500=1)*(COUNTIFS($B$3:$B$500,Employees!$A$3:$A$500,$H$3:$H$500,"Approved",$D$3:$D$500,"&lt;="&amp;E272,$E$3:$E$500,"&gt;="&amp;D272,$A$3:$A$500,"&lt;&gt;"&amp;A272)=0)),0))</f>
        <v/>
      </c>
      <c r="P272">
        <f>IF(B272="","",IFERROR(SUMPRODUCT((LEN(Employees!$A$3:$A$500)&gt;0)*(Employees!$W$3:$W$500=1)*(COUNTIFS($B$3:$B$500,Employees!$A$3:$A$500,$H$3:$H$500,"Approved",$D$3:$D$500,"&lt;="&amp;E272,$E$3:$E$500,"&gt;="&amp;D272,$A$3:$A$500,"&lt;&gt;"&amp;A272)=0)),0))</f>
        <v/>
      </c>
      <c r="Q272">
        <f>IF(B272="","",IFERROR(SUMPRODUCT((LEN(Employees!$A$3:$A$500)&gt;0)*(Employees!$N$3:$N$500=1)*(COUNTIFS($B$3:$B$500,Employees!$A$3:$A$500,$H$3:$H$500,"Approved",$D$3:$D$500,"&lt;="&amp;E272,$E$3:$E$500,"&gt;="&amp;D272,$A$3:$A$500,"&lt;&gt;"&amp;A272)&gt;0)),0))</f>
        <v/>
      </c>
      <c r="R272">
        <f>IF(B272="","",IFERROR(SUMPRODUCT((LEN(Employees!$A$3:$A$500)&gt;0)*(Employees!$O$3:$O$500=1)*(COUNTIFS($B$3:$B$500,Employees!$A$3:$A$500,$H$3:$H$500,"Approved",$D$3:$D$500,"&lt;="&amp;E272,$E$3:$E$500,"&gt;="&amp;D272,$A$3:$A$500,"&lt;&gt;"&amp;A272)&gt;0)),0))</f>
        <v/>
      </c>
      <c r="S272">
        <f>IF(OR(B272="",IFERROR(XLOOKUP(B272,Employees!$A$3:$A$500,Employees!$G$3:$G$500,""),"")=""),"",IFERROR(SUMPRODUCT((LEN(Employees!$A$3:$A$500)&gt;0)*(Employees!$G$3:$G$500=IFERROR(XLOOKUP(B272,Employees!$A$3:$A$500,Employees!$G$3:$G$500,""),""))*(COUNTIFS($B$3:$B$500,Employees!$A$3:$A$500,$H$3:$H$500,"Approved",$D$3:$D$500,"&lt;="&amp;E272,$E$3:$E$500,"&gt;="&amp;D272,$A$3:$A$500,"&lt;&gt;"&amp;A272)&gt;0)),0))</f>
        <v/>
      </c>
    </row>
    <row r="273">
      <c r="C273">
        <f>IFERROR(XLOOKUP(B273,Employees!$A$3:$A$500,Employees!$B$3:$B$500,""),"")</f>
        <v/>
      </c>
      <c r="I273">
        <f>IF(AND(B273&lt;&gt;"",D273&lt;&gt;"",E273&lt;&gt;""),E273-D273+1,"")</f>
        <v/>
      </c>
      <c r="J273">
        <f>IF(OR(B273="",D273="",E273=""),"",IF(OR(L273&lt;'Coverage Rules'!E7,M273&lt;'Coverage Rules'!E8,N273&lt;'Coverage Rules'!C8,O273&lt;'Coverage Rules'!E9,P273&lt;'Coverage Rules'!E10,Q273&gt;='Coverage Rules'!B16,R273&gt;='Coverage Rules'!B17,IF(S273="",FALSE,S273&gt;='Coverage Rules'!D24)),"Denied","OK"))</f>
        <v/>
      </c>
      <c r="L273">
        <f>IF(B273="","",IFERROR(SUMPRODUCT((LEN(Employees!$A$3:$A$500)&gt;0)*(Employees!$T$3:$T$500=1)*(COUNTIFS($B$3:$B$500,Employees!$A$3:$A$500,$H$3:$H$500,"Approved",$D$3:$D$500,"&lt;="&amp;E273,$E$3:$E$500,"&gt;="&amp;D273,$A$3:$A$500,"&lt;&gt;"&amp;A273)=0)),0))</f>
        <v/>
      </c>
      <c r="M273">
        <f>IF(B273="","",IFERROR(SUMPRODUCT((LEN(Employees!$A$3:$A$500)&gt;0)*(Employees!$U$3:$U$500=1)*(COUNTIFS($B$3:$B$500,Employees!$A$3:$A$500,$H$3:$H$500,"Approved",$D$3:$D$500,"&lt;="&amp;E273,$E$3:$E$500,"&gt;="&amp;D273,$A$3:$A$500,"&lt;&gt;"&amp;A273)=0)),0))</f>
        <v/>
      </c>
      <c r="N273">
        <f>IF(B273="","",IFERROR(SUMPRODUCT((LEN(Employees!$A$3:$A$500)&gt;0)*(Employees!$B$3:$B$500="Manager")*(Employees!$U$3:$U$500=1)*(COUNTIFS($B$3:$B$500,Employees!$A$3:$A$500,$H$3:$H$500,"Approved",$D$3:$D$500,"&lt;="&amp;E273,$E$3:$E$500,"&gt;="&amp;D273,$A$3:$A$500,"&lt;&gt;"&amp;A273)=0)),0))</f>
        <v/>
      </c>
      <c r="O273">
        <f>IF(B273="","",IFERROR(SUMPRODUCT((LEN(Employees!$A$3:$A$500)&gt;0)*(Employees!$V$3:$V$500=1)*(COUNTIFS($B$3:$B$500,Employees!$A$3:$A$500,$H$3:$H$500,"Approved",$D$3:$D$500,"&lt;="&amp;E273,$E$3:$E$500,"&gt;="&amp;D273,$A$3:$A$500,"&lt;&gt;"&amp;A273)=0)),0))</f>
        <v/>
      </c>
      <c r="P273">
        <f>IF(B273="","",IFERROR(SUMPRODUCT((LEN(Employees!$A$3:$A$500)&gt;0)*(Employees!$W$3:$W$500=1)*(COUNTIFS($B$3:$B$500,Employees!$A$3:$A$500,$H$3:$H$500,"Approved",$D$3:$D$500,"&lt;="&amp;E273,$E$3:$E$500,"&gt;="&amp;D273,$A$3:$A$500,"&lt;&gt;"&amp;A273)=0)),0))</f>
        <v/>
      </c>
      <c r="Q273">
        <f>IF(B273="","",IFERROR(SUMPRODUCT((LEN(Employees!$A$3:$A$500)&gt;0)*(Employees!$N$3:$N$500=1)*(COUNTIFS($B$3:$B$500,Employees!$A$3:$A$500,$H$3:$H$500,"Approved",$D$3:$D$500,"&lt;="&amp;E273,$E$3:$E$500,"&gt;="&amp;D273,$A$3:$A$500,"&lt;&gt;"&amp;A273)&gt;0)),0))</f>
        <v/>
      </c>
      <c r="R273">
        <f>IF(B273="","",IFERROR(SUMPRODUCT((LEN(Employees!$A$3:$A$500)&gt;0)*(Employees!$O$3:$O$500=1)*(COUNTIFS($B$3:$B$500,Employees!$A$3:$A$500,$H$3:$H$500,"Approved",$D$3:$D$500,"&lt;="&amp;E273,$E$3:$E$500,"&gt;="&amp;D273,$A$3:$A$500,"&lt;&gt;"&amp;A273)&gt;0)),0))</f>
        <v/>
      </c>
      <c r="S273">
        <f>IF(OR(B273="",IFERROR(XLOOKUP(B273,Employees!$A$3:$A$500,Employees!$G$3:$G$500,""),"")=""),"",IFERROR(SUMPRODUCT((LEN(Employees!$A$3:$A$500)&gt;0)*(Employees!$G$3:$G$500=IFERROR(XLOOKUP(B273,Employees!$A$3:$A$500,Employees!$G$3:$G$500,""),""))*(COUNTIFS($B$3:$B$500,Employees!$A$3:$A$500,$H$3:$H$500,"Approved",$D$3:$D$500,"&lt;="&amp;E273,$E$3:$E$500,"&gt;="&amp;D273,$A$3:$A$500,"&lt;&gt;"&amp;A273)&gt;0)),0))</f>
        <v/>
      </c>
    </row>
    <row r="274">
      <c r="C274">
        <f>IFERROR(XLOOKUP(B274,Employees!$A$3:$A$500,Employees!$B$3:$B$500,""),"")</f>
        <v/>
      </c>
      <c r="I274">
        <f>IF(AND(B274&lt;&gt;"",D274&lt;&gt;"",E274&lt;&gt;""),E274-D274+1,"")</f>
        <v/>
      </c>
      <c r="J274">
        <f>IF(OR(B274="",D274="",E274=""),"",IF(OR(L274&lt;'Coverage Rules'!E7,M274&lt;'Coverage Rules'!E8,N274&lt;'Coverage Rules'!C8,O274&lt;'Coverage Rules'!E9,P274&lt;'Coverage Rules'!E10,Q274&gt;='Coverage Rules'!B16,R274&gt;='Coverage Rules'!B17,IF(S274="",FALSE,S274&gt;='Coverage Rules'!D24)),"Denied","OK"))</f>
        <v/>
      </c>
      <c r="L274">
        <f>IF(B274="","",IFERROR(SUMPRODUCT((LEN(Employees!$A$3:$A$500)&gt;0)*(Employees!$T$3:$T$500=1)*(COUNTIFS($B$3:$B$500,Employees!$A$3:$A$500,$H$3:$H$500,"Approved",$D$3:$D$500,"&lt;="&amp;E274,$E$3:$E$500,"&gt;="&amp;D274,$A$3:$A$500,"&lt;&gt;"&amp;A274)=0)),0))</f>
        <v/>
      </c>
      <c r="M274">
        <f>IF(B274="","",IFERROR(SUMPRODUCT((LEN(Employees!$A$3:$A$500)&gt;0)*(Employees!$U$3:$U$500=1)*(COUNTIFS($B$3:$B$500,Employees!$A$3:$A$500,$H$3:$H$500,"Approved",$D$3:$D$500,"&lt;="&amp;E274,$E$3:$E$500,"&gt;="&amp;D274,$A$3:$A$500,"&lt;&gt;"&amp;A274)=0)),0))</f>
        <v/>
      </c>
      <c r="N274">
        <f>IF(B274="","",IFERROR(SUMPRODUCT((LEN(Employees!$A$3:$A$500)&gt;0)*(Employees!$B$3:$B$500="Manager")*(Employees!$U$3:$U$500=1)*(COUNTIFS($B$3:$B$500,Employees!$A$3:$A$500,$H$3:$H$500,"Approved",$D$3:$D$500,"&lt;="&amp;E274,$E$3:$E$500,"&gt;="&amp;D274,$A$3:$A$500,"&lt;&gt;"&amp;A274)=0)),0))</f>
        <v/>
      </c>
      <c r="O274">
        <f>IF(B274="","",IFERROR(SUMPRODUCT((LEN(Employees!$A$3:$A$500)&gt;0)*(Employees!$V$3:$V$500=1)*(COUNTIFS($B$3:$B$500,Employees!$A$3:$A$500,$H$3:$H$500,"Approved",$D$3:$D$500,"&lt;="&amp;E274,$E$3:$E$500,"&gt;="&amp;D274,$A$3:$A$500,"&lt;&gt;"&amp;A274)=0)),0))</f>
        <v/>
      </c>
      <c r="P274">
        <f>IF(B274="","",IFERROR(SUMPRODUCT((LEN(Employees!$A$3:$A$500)&gt;0)*(Employees!$W$3:$W$500=1)*(COUNTIFS($B$3:$B$500,Employees!$A$3:$A$500,$H$3:$H$500,"Approved",$D$3:$D$500,"&lt;="&amp;E274,$E$3:$E$500,"&gt;="&amp;D274,$A$3:$A$500,"&lt;&gt;"&amp;A274)=0)),0))</f>
        <v/>
      </c>
      <c r="Q274">
        <f>IF(B274="","",IFERROR(SUMPRODUCT((LEN(Employees!$A$3:$A$500)&gt;0)*(Employees!$N$3:$N$500=1)*(COUNTIFS($B$3:$B$500,Employees!$A$3:$A$500,$H$3:$H$500,"Approved",$D$3:$D$500,"&lt;="&amp;E274,$E$3:$E$500,"&gt;="&amp;D274,$A$3:$A$500,"&lt;&gt;"&amp;A274)&gt;0)),0))</f>
        <v/>
      </c>
      <c r="R274">
        <f>IF(B274="","",IFERROR(SUMPRODUCT((LEN(Employees!$A$3:$A$500)&gt;0)*(Employees!$O$3:$O$500=1)*(COUNTIFS($B$3:$B$500,Employees!$A$3:$A$500,$H$3:$H$500,"Approved",$D$3:$D$500,"&lt;="&amp;E274,$E$3:$E$500,"&gt;="&amp;D274,$A$3:$A$500,"&lt;&gt;"&amp;A274)&gt;0)),0))</f>
        <v/>
      </c>
      <c r="S274">
        <f>IF(OR(B274="",IFERROR(XLOOKUP(B274,Employees!$A$3:$A$500,Employees!$G$3:$G$500,""),"")=""),"",IFERROR(SUMPRODUCT((LEN(Employees!$A$3:$A$500)&gt;0)*(Employees!$G$3:$G$500=IFERROR(XLOOKUP(B274,Employees!$A$3:$A$500,Employees!$G$3:$G$500,""),""))*(COUNTIFS($B$3:$B$500,Employees!$A$3:$A$500,$H$3:$H$500,"Approved",$D$3:$D$500,"&lt;="&amp;E274,$E$3:$E$500,"&gt;="&amp;D274,$A$3:$A$500,"&lt;&gt;"&amp;A274)&gt;0)),0))</f>
        <v/>
      </c>
    </row>
    <row r="275">
      <c r="C275">
        <f>IFERROR(XLOOKUP(B275,Employees!$A$3:$A$500,Employees!$B$3:$B$500,""),"")</f>
        <v/>
      </c>
      <c r="I275">
        <f>IF(AND(B275&lt;&gt;"",D275&lt;&gt;"",E275&lt;&gt;""),E275-D275+1,"")</f>
        <v/>
      </c>
      <c r="J275">
        <f>IF(OR(B275="",D275="",E275=""),"",IF(OR(L275&lt;'Coverage Rules'!E7,M275&lt;'Coverage Rules'!E8,N275&lt;'Coverage Rules'!C8,O275&lt;'Coverage Rules'!E9,P275&lt;'Coverage Rules'!E10,Q275&gt;='Coverage Rules'!B16,R275&gt;='Coverage Rules'!B17,IF(S275="",FALSE,S275&gt;='Coverage Rules'!D24)),"Denied","OK"))</f>
        <v/>
      </c>
      <c r="L275">
        <f>IF(B275="","",IFERROR(SUMPRODUCT((LEN(Employees!$A$3:$A$500)&gt;0)*(Employees!$T$3:$T$500=1)*(COUNTIFS($B$3:$B$500,Employees!$A$3:$A$500,$H$3:$H$500,"Approved",$D$3:$D$500,"&lt;="&amp;E275,$E$3:$E$500,"&gt;="&amp;D275,$A$3:$A$500,"&lt;&gt;"&amp;A275)=0)),0))</f>
        <v/>
      </c>
      <c r="M275">
        <f>IF(B275="","",IFERROR(SUMPRODUCT((LEN(Employees!$A$3:$A$500)&gt;0)*(Employees!$U$3:$U$500=1)*(COUNTIFS($B$3:$B$500,Employees!$A$3:$A$500,$H$3:$H$500,"Approved",$D$3:$D$500,"&lt;="&amp;E275,$E$3:$E$500,"&gt;="&amp;D275,$A$3:$A$500,"&lt;&gt;"&amp;A275)=0)),0))</f>
        <v/>
      </c>
      <c r="N275">
        <f>IF(B275="","",IFERROR(SUMPRODUCT((LEN(Employees!$A$3:$A$500)&gt;0)*(Employees!$B$3:$B$500="Manager")*(Employees!$U$3:$U$500=1)*(COUNTIFS($B$3:$B$500,Employees!$A$3:$A$500,$H$3:$H$500,"Approved",$D$3:$D$500,"&lt;="&amp;E275,$E$3:$E$500,"&gt;="&amp;D275,$A$3:$A$500,"&lt;&gt;"&amp;A275)=0)),0))</f>
        <v/>
      </c>
      <c r="O275">
        <f>IF(B275="","",IFERROR(SUMPRODUCT((LEN(Employees!$A$3:$A$500)&gt;0)*(Employees!$V$3:$V$500=1)*(COUNTIFS($B$3:$B$500,Employees!$A$3:$A$500,$H$3:$H$500,"Approved",$D$3:$D$500,"&lt;="&amp;E275,$E$3:$E$500,"&gt;="&amp;D275,$A$3:$A$500,"&lt;&gt;"&amp;A275)=0)),0))</f>
        <v/>
      </c>
      <c r="P275">
        <f>IF(B275="","",IFERROR(SUMPRODUCT((LEN(Employees!$A$3:$A$500)&gt;0)*(Employees!$W$3:$W$500=1)*(COUNTIFS($B$3:$B$500,Employees!$A$3:$A$500,$H$3:$H$500,"Approved",$D$3:$D$500,"&lt;="&amp;E275,$E$3:$E$500,"&gt;="&amp;D275,$A$3:$A$500,"&lt;&gt;"&amp;A275)=0)),0))</f>
        <v/>
      </c>
      <c r="Q275">
        <f>IF(B275="","",IFERROR(SUMPRODUCT((LEN(Employees!$A$3:$A$500)&gt;0)*(Employees!$N$3:$N$500=1)*(COUNTIFS($B$3:$B$500,Employees!$A$3:$A$500,$H$3:$H$500,"Approved",$D$3:$D$500,"&lt;="&amp;E275,$E$3:$E$500,"&gt;="&amp;D275,$A$3:$A$500,"&lt;&gt;"&amp;A275)&gt;0)),0))</f>
        <v/>
      </c>
      <c r="R275">
        <f>IF(B275="","",IFERROR(SUMPRODUCT((LEN(Employees!$A$3:$A$500)&gt;0)*(Employees!$O$3:$O$500=1)*(COUNTIFS($B$3:$B$500,Employees!$A$3:$A$500,$H$3:$H$500,"Approved",$D$3:$D$500,"&lt;="&amp;E275,$E$3:$E$500,"&gt;="&amp;D275,$A$3:$A$500,"&lt;&gt;"&amp;A275)&gt;0)),0))</f>
        <v/>
      </c>
      <c r="S275">
        <f>IF(OR(B275="",IFERROR(XLOOKUP(B275,Employees!$A$3:$A$500,Employees!$G$3:$G$500,""),"")=""),"",IFERROR(SUMPRODUCT((LEN(Employees!$A$3:$A$500)&gt;0)*(Employees!$G$3:$G$500=IFERROR(XLOOKUP(B275,Employees!$A$3:$A$500,Employees!$G$3:$G$500,""),""))*(COUNTIFS($B$3:$B$500,Employees!$A$3:$A$500,$H$3:$H$500,"Approved",$D$3:$D$500,"&lt;="&amp;E275,$E$3:$E$500,"&gt;="&amp;D275,$A$3:$A$500,"&lt;&gt;"&amp;A275)&gt;0)),0))</f>
        <v/>
      </c>
    </row>
    <row r="276">
      <c r="C276">
        <f>IFERROR(XLOOKUP(B276,Employees!$A$3:$A$500,Employees!$B$3:$B$500,""),"")</f>
        <v/>
      </c>
      <c r="I276">
        <f>IF(AND(B276&lt;&gt;"",D276&lt;&gt;"",E276&lt;&gt;""),E276-D276+1,"")</f>
        <v/>
      </c>
      <c r="J276">
        <f>IF(OR(B276="",D276="",E276=""),"",IF(OR(L276&lt;'Coverage Rules'!E7,M276&lt;'Coverage Rules'!E8,N276&lt;'Coverage Rules'!C8,O276&lt;'Coverage Rules'!E9,P276&lt;'Coverage Rules'!E10,Q276&gt;='Coverage Rules'!B16,R276&gt;='Coverage Rules'!B17,IF(S276="",FALSE,S276&gt;='Coverage Rules'!D24)),"Denied","OK"))</f>
        <v/>
      </c>
      <c r="L276">
        <f>IF(B276="","",IFERROR(SUMPRODUCT((LEN(Employees!$A$3:$A$500)&gt;0)*(Employees!$T$3:$T$500=1)*(COUNTIFS($B$3:$B$500,Employees!$A$3:$A$500,$H$3:$H$500,"Approved",$D$3:$D$500,"&lt;="&amp;E276,$E$3:$E$500,"&gt;="&amp;D276,$A$3:$A$500,"&lt;&gt;"&amp;A276)=0)),0))</f>
        <v/>
      </c>
      <c r="M276">
        <f>IF(B276="","",IFERROR(SUMPRODUCT((LEN(Employees!$A$3:$A$500)&gt;0)*(Employees!$U$3:$U$500=1)*(COUNTIFS($B$3:$B$500,Employees!$A$3:$A$500,$H$3:$H$500,"Approved",$D$3:$D$500,"&lt;="&amp;E276,$E$3:$E$500,"&gt;="&amp;D276,$A$3:$A$500,"&lt;&gt;"&amp;A276)=0)),0))</f>
        <v/>
      </c>
      <c r="N276">
        <f>IF(B276="","",IFERROR(SUMPRODUCT((LEN(Employees!$A$3:$A$500)&gt;0)*(Employees!$B$3:$B$500="Manager")*(Employees!$U$3:$U$500=1)*(COUNTIFS($B$3:$B$500,Employees!$A$3:$A$500,$H$3:$H$500,"Approved",$D$3:$D$500,"&lt;="&amp;E276,$E$3:$E$500,"&gt;="&amp;D276,$A$3:$A$500,"&lt;&gt;"&amp;A276)=0)),0))</f>
        <v/>
      </c>
      <c r="O276">
        <f>IF(B276="","",IFERROR(SUMPRODUCT((LEN(Employees!$A$3:$A$500)&gt;0)*(Employees!$V$3:$V$500=1)*(COUNTIFS($B$3:$B$500,Employees!$A$3:$A$500,$H$3:$H$500,"Approved",$D$3:$D$500,"&lt;="&amp;E276,$E$3:$E$500,"&gt;="&amp;D276,$A$3:$A$500,"&lt;&gt;"&amp;A276)=0)),0))</f>
        <v/>
      </c>
      <c r="P276">
        <f>IF(B276="","",IFERROR(SUMPRODUCT((LEN(Employees!$A$3:$A$500)&gt;0)*(Employees!$W$3:$W$500=1)*(COUNTIFS($B$3:$B$500,Employees!$A$3:$A$500,$H$3:$H$500,"Approved",$D$3:$D$500,"&lt;="&amp;E276,$E$3:$E$500,"&gt;="&amp;D276,$A$3:$A$500,"&lt;&gt;"&amp;A276)=0)),0))</f>
        <v/>
      </c>
      <c r="Q276">
        <f>IF(B276="","",IFERROR(SUMPRODUCT((LEN(Employees!$A$3:$A$500)&gt;0)*(Employees!$N$3:$N$500=1)*(COUNTIFS($B$3:$B$500,Employees!$A$3:$A$500,$H$3:$H$500,"Approved",$D$3:$D$500,"&lt;="&amp;E276,$E$3:$E$500,"&gt;="&amp;D276,$A$3:$A$500,"&lt;&gt;"&amp;A276)&gt;0)),0))</f>
        <v/>
      </c>
      <c r="R276">
        <f>IF(B276="","",IFERROR(SUMPRODUCT((LEN(Employees!$A$3:$A$500)&gt;0)*(Employees!$O$3:$O$500=1)*(COUNTIFS($B$3:$B$500,Employees!$A$3:$A$500,$H$3:$H$500,"Approved",$D$3:$D$500,"&lt;="&amp;E276,$E$3:$E$500,"&gt;="&amp;D276,$A$3:$A$500,"&lt;&gt;"&amp;A276)&gt;0)),0))</f>
        <v/>
      </c>
      <c r="S276">
        <f>IF(OR(B276="",IFERROR(XLOOKUP(B276,Employees!$A$3:$A$500,Employees!$G$3:$G$500,""),"")=""),"",IFERROR(SUMPRODUCT((LEN(Employees!$A$3:$A$500)&gt;0)*(Employees!$G$3:$G$500=IFERROR(XLOOKUP(B276,Employees!$A$3:$A$500,Employees!$G$3:$G$500,""),""))*(COUNTIFS($B$3:$B$500,Employees!$A$3:$A$500,$H$3:$H$500,"Approved",$D$3:$D$500,"&lt;="&amp;E276,$E$3:$E$500,"&gt;="&amp;D276,$A$3:$A$500,"&lt;&gt;"&amp;A276)&gt;0)),0))</f>
        <v/>
      </c>
    </row>
    <row r="277">
      <c r="C277">
        <f>IFERROR(XLOOKUP(B277,Employees!$A$3:$A$500,Employees!$B$3:$B$500,""),"")</f>
        <v/>
      </c>
      <c r="I277">
        <f>IF(AND(B277&lt;&gt;"",D277&lt;&gt;"",E277&lt;&gt;""),E277-D277+1,"")</f>
        <v/>
      </c>
      <c r="J277">
        <f>IF(OR(B277="",D277="",E277=""),"",IF(OR(L277&lt;'Coverage Rules'!E7,M277&lt;'Coverage Rules'!E8,N277&lt;'Coverage Rules'!C8,O277&lt;'Coverage Rules'!E9,P277&lt;'Coverage Rules'!E10,Q277&gt;='Coverage Rules'!B16,R277&gt;='Coverage Rules'!B17,IF(S277="",FALSE,S277&gt;='Coverage Rules'!D24)),"Denied","OK"))</f>
        <v/>
      </c>
      <c r="L277">
        <f>IF(B277="","",IFERROR(SUMPRODUCT((LEN(Employees!$A$3:$A$500)&gt;0)*(Employees!$T$3:$T$500=1)*(COUNTIFS($B$3:$B$500,Employees!$A$3:$A$500,$H$3:$H$500,"Approved",$D$3:$D$500,"&lt;="&amp;E277,$E$3:$E$500,"&gt;="&amp;D277,$A$3:$A$500,"&lt;&gt;"&amp;A277)=0)),0))</f>
        <v/>
      </c>
      <c r="M277">
        <f>IF(B277="","",IFERROR(SUMPRODUCT((LEN(Employees!$A$3:$A$500)&gt;0)*(Employees!$U$3:$U$500=1)*(COUNTIFS($B$3:$B$500,Employees!$A$3:$A$500,$H$3:$H$500,"Approved",$D$3:$D$500,"&lt;="&amp;E277,$E$3:$E$500,"&gt;="&amp;D277,$A$3:$A$500,"&lt;&gt;"&amp;A277)=0)),0))</f>
        <v/>
      </c>
      <c r="N277">
        <f>IF(B277="","",IFERROR(SUMPRODUCT((LEN(Employees!$A$3:$A$500)&gt;0)*(Employees!$B$3:$B$500="Manager")*(Employees!$U$3:$U$500=1)*(COUNTIFS($B$3:$B$500,Employees!$A$3:$A$500,$H$3:$H$500,"Approved",$D$3:$D$500,"&lt;="&amp;E277,$E$3:$E$500,"&gt;="&amp;D277,$A$3:$A$500,"&lt;&gt;"&amp;A277)=0)),0))</f>
        <v/>
      </c>
      <c r="O277">
        <f>IF(B277="","",IFERROR(SUMPRODUCT((LEN(Employees!$A$3:$A$500)&gt;0)*(Employees!$V$3:$V$500=1)*(COUNTIFS($B$3:$B$500,Employees!$A$3:$A$500,$H$3:$H$500,"Approved",$D$3:$D$500,"&lt;="&amp;E277,$E$3:$E$500,"&gt;="&amp;D277,$A$3:$A$500,"&lt;&gt;"&amp;A277)=0)),0))</f>
        <v/>
      </c>
      <c r="P277">
        <f>IF(B277="","",IFERROR(SUMPRODUCT((LEN(Employees!$A$3:$A$500)&gt;0)*(Employees!$W$3:$W$500=1)*(COUNTIFS($B$3:$B$500,Employees!$A$3:$A$500,$H$3:$H$500,"Approved",$D$3:$D$500,"&lt;="&amp;E277,$E$3:$E$500,"&gt;="&amp;D277,$A$3:$A$500,"&lt;&gt;"&amp;A277)=0)),0))</f>
        <v/>
      </c>
      <c r="Q277">
        <f>IF(B277="","",IFERROR(SUMPRODUCT((LEN(Employees!$A$3:$A$500)&gt;0)*(Employees!$N$3:$N$500=1)*(COUNTIFS($B$3:$B$500,Employees!$A$3:$A$500,$H$3:$H$500,"Approved",$D$3:$D$500,"&lt;="&amp;E277,$E$3:$E$500,"&gt;="&amp;D277,$A$3:$A$500,"&lt;&gt;"&amp;A277)&gt;0)),0))</f>
        <v/>
      </c>
      <c r="R277">
        <f>IF(B277="","",IFERROR(SUMPRODUCT((LEN(Employees!$A$3:$A$500)&gt;0)*(Employees!$O$3:$O$500=1)*(COUNTIFS($B$3:$B$500,Employees!$A$3:$A$500,$H$3:$H$500,"Approved",$D$3:$D$500,"&lt;="&amp;E277,$E$3:$E$500,"&gt;="&amp;D277,$A$3:$A$500,"&lt;&gt;"&amp;A277)&gt;0)),0))</f>
        <v/>
      </c>
      <c r="S277">
        <f>IF(OR(B277="",IFERROR(XLOOKUP(B277,Employees!$A$3:$A$500,Employees!$G$3:$G$500,""),"")=""),"",IFERROR(SUMPRODUCT((LEN(Employees!$A$3:$A$500)&gt;0)*(Employees!$G$3:$G$500=IFERROR(XLOOKUP(B277,Employees!$A$3:$A$500,Employees!$G$3:$G$500,""),""))*(COUNTIFS($B$3:$B$500,Employees!$A$3:$A$500,$H$3:$H$500,"Approved",$D$3:$D$500,"&lt;="&amp;E277,$E$3:$E$500,"&gt;="&amp;D277,$A$3:$A$500,"&lt;&gt;"&amp;A277)&gt;0)),0))</f>
        <v/>
      </c>
    </row>
    <row r="278">
      <c r="C278">
        <f>IFERROR(XLOOKUP(B278,Employees!$A$3:$A$500,Employees!$B$3:$B$500,""),"")</f>
        <v/>
      </c>
      <c r="I278">
        <f>IF(AND(B278&lt;&gt;"",D278&lt;&gt;"",E278&lt;&gt;""),E278-D278+1,"")</f>
        <v/>
      </c>
      <c r="J278">
        <f>IF(OR(B278="",D278="",E278=""),"",IF(OR(L278&lt;'Coverage Rules'!E7,M278&lt;'Coverage Rules'!E8,N278&lt;'Coverage Rules'!C8,O278&lt;'Coverage Rules'!E9,P278&lt;'Coverage Rules'!E10,Q278&gt;='Coverage Rules'!B16,R278&gt;='Coverage Rules'!B17,IF(S278="",FALSE,S278&gt;='Coverage Rules'!D24)),"Denied","OK"))</f>
        <v/>
      </c>
      <c r="L278">
        <f>IF(B278="","",IFERROR(SUMPRODUCT((LEN(Employees!$A$3:$A$500)&gt;0)*(Employees!$T$3:$T$500=1)*(COUNTIFS($B$3:$B$500,Employees!$A$3:$A$500,$H$3:$H$500,"Approved",$D$3:$D$500,"&lt;="&amp;E278,$E$3:$E$500,"&gt;="&amp;D278,$A$3:$A$500,"&lt;&gt;"&amp;A278)=0)),0))</f>
        <v/>
      </c>
      <c r="M278">
        <f>IF(B278="","",IFERROR(SUMPRODUCT((LEN(Employees!$A$3:$A$500)&gt;0)*(Employees!$U$3:$U$500=1)*(COUNTIFS($B$3:$B$500,Employees!$A$3:$A$500,$H$3:$H$500,"Approved",$D$3:$D$500,"&lt;="&amp;E278,$E$3:$E$500,"&gt;="&amp;D278,$A$3:$A$500,"&lt;&gt;"&amp;A278)=0)),0))</f>
        <v/>
      </c>
      <c r="N278">
        <f>IF(B278="","",IFERROR(SUMPRODUCT((LEN(Employees!$A$3:$A$500)&gt;0)*(Employees!$B$3:$B$500="Manager")*(Employees!$U$3:$U$500=1)*(COUNTIFS($B$3:$B$500,Employees!$A$3:$A$500,$H$3:$H$500,"Approved",$D$3:$D$500,"&lt;="&amp;E278,$E$3:$E$500,"&gt;="&amp;D278,$A$3:$A$500,"&lt;&gt;"&amp;A278)=0)),0))</f>
        <v/>
      </c>
      <c r="O278">
        <f>IF(B278="","",IFERROR(SUMPRODUCT((LEN(Employees!$A$3:$A$500)&gt;0)*(Employees!$V$3:$V$500=1)*(COUNTIFS($B$3:$B$500,Employees!$A$3:$A$500,$H$3:$H$500,"Approved",$D$3:$D$500,"&lt;="&amp;E278,$E$3:$E$500,"&gt;="&amp;D278,$A$3:$A$500,"&lt;&gt;"&amp;A278)=0)),0))</f>
        <v/>
      </c>
      <c r="P278">
        <f>IF(B278="","",IFERROR(SUMPRODUCT((LEN(Employees!$A$3:$A$500)&gt;0)*(Employees!$W$3:$W$500=1)*(COUNTIFS($B$3:$B$500,Employees!$A$3:$A$500,$H$3:$H$500,"Approved",$D$3:$D$500,"&lt;="&amp;E278,$E$3:$E$500,"&gt;="&amp;D278,$A$3:$A$500,"&lt;&gt;"&amp;A278)=0)),0))</f>
        <v/>
      </c>
      <c r="Q278">
        <f>IF(B278="","",IFERROR(SUMPRODUCT((LEN(Employees!$A$3:$A$500)&gt;0)*(Employees!$N$3:$N$500=1)*(COUNTIFS($B$3:$B$500,Employees!$A$3:$A$500,$H$3:$H$500,"Approved",$D$3:$D$500,"&lt;="&amp;E278,$E$3:$E$500,"&gt;="&amp;D278,$A$3:$A$500,"&lt;&gt;"&amp;A278)&gt;0)),0))</f>
        <v/>
      </c>
      <c r="R278">
        <f>IF(B278="","",IFERROR(SUMPRODUCT((LEN(Employees!$A$3:$A$500)&gt;0)*(Employees!$O$3:$O$500=1)*(COUNTIFS($B$3:$B$500,Employees!$A$3:$A$500,$H$3:$H$500,"Approved",$D$3:$D$500,"&lt;="&amp;E278,$E$3:$E$500,"&gt;="&amp;D278,$A$3:$A$500,"&lt;&gt;"&amp;A278)&gt;0)),0))</f>
        <v/>
      </c>
      <c r="S278">
        <f>IF(OR(B278="",IFERROR(XLOOKUP(B278,Employees!$A$3:$A$500,Employees!$G$3:$G$500,""),"")=""),"",IFERROR(SUMPRODUCT((LEN(Employees!$A$3:$A$500)&gt;0)*(Employees!$G$3:$G$500=IFERROR(XLOOKUP(B278,Employees!$A$3:$A$500,Employees!$G$3:$G$500,""),""))*(COUNTIFS($B$3:$B$500,Employees!$A$3:$A$500,$H$3:$H$500,"Approved",$D$3:$D$500,"&lt;="&amp;E278,$E$3:$E$500,"&gt;="&amp;D278,$A$3:$A$500,"&lt;&gt;"&amp;A278)&gt;0)),0))</f>
        <v/>
      </c>
    </row>
    <row r="279">
      <c r="C279">
        <f>IFERROR(XLOOKUP(B279,Employees!$A$3:$A$500,Employees!$B$3:$B$500,""),"")</f>
        <v/>
      </c>
      <c r="I279">
        <f>IF(AND(B279&lt;&gt;"",D279&lt;&gt;"",E279&lt;&gt;""),E279-D279+1,"")</f>
        <v/>
      </c>
      <c r="J279">
        <f>IF(OR(B279="",D279="",E279=""),"",IF(OR(L279&lt;'Coverage Rules'!E7,M279&lt;'Coverage Rules'!E8,N279&lt;'Coverage Rules'!C8,O279&lt;'Coverage Rules'!E9,P279&lt;'Coverage Rules'!E10,Q279&gt;='Coverage Rules'!B16,R279&gt;='Coverage Rules'!B17,IF(S279="",FALSE,S279&gt;='Coverage Rules'!D24)),"Denied","OK"))</f>
        <v/>
      </c>
      <c r="L279">
        <f>IF(B279="","",IFERROR(SUMPRODUCT((LEN(Employees!$A$3:$A$500)&gt;0)*(Employees!$T$3:$T$500=1)*(COUNTIFS($B$3:$B$500,Employees!$A$3:$A$500,$H$3:$H$500,"Approved",$D$3:$D$500,"&lt;="&amp;E279,$E$3:$E$500,"&gt;="&amp;D279,$A$3:$A$500,"&lt;&gt;"&amp;A279)=0)),0))</f>
        <v/>
      </c>
      <c r="M279">
        <f>IF(B279="","",IFERROR(SUMPRODUCT((LEN(Employees!$A$3:$A$500)&gt;0)*(Employees!$U$3:$U$500=1)*(COUNTIFS($B$3:$B$500,Employees!$A$3:$A$500,$H$3:$H$500,"Approved",$D$3:$D$500,"&lt;="&amp;E279,$E$3:$E$500,"&gt;="&amp;D279,$A$3:$A$500,"&lt;&gt;"&amp;A279)=0)),0))</f>
        <v/>
      </c>
      <c r="N279">
        <f>IF(B279="","",IFERROR(SUMPRODUCT((LEN(Employees!$A$3:$A$500)&gt;0)*(Employees!$B$3:$B$500="Manager")*(Employees!$U$3:$U$500=1)*(COUNTIFS($B$3:$B$500,Employees!$A$3:$A$500,$H$3:$H$500,"Approved",$D$3:$D$500,"&lt;="&amp;E279,$E$3:$E$500,"&gt;="&amp;D279,$A$3:$A$500,"&lt;&gt;"&amp;A279)=0)),0))</f>
        <v/>
      </c>
      <c r="O279">
        <f>IF(B279="","",IFERROR(SUMPRODUCT((LEN(Employees!$A$3:$A$500)&gt;0)*(Employees!$V$3:$V$500=1)*(COUNTIFS($B$3:$B$500,Employees!$A$3:$A$500,$H$3:$H$500,"Approved",$D$3:$D$500,"&lt;="&amp;E279,$E$3:$E$500,"&gt;="&amp;D279,$A$3:$A$500,"&lt;&gt;"&amp;A279)=0)),0))</f>
        <v/>
      </c>
      <c r="P279">
        <f>IF(B279="","",IFERROR(SUMPRODUCT((LEN(Employees!$A$3:$A$500)&gt;0)*(Employees!$W$3:$W$500=1)*(COUNTIFS($B$3:$B$500,Employees!$A$3:$A$500,$H$3:$H$500,"Approved",$D$3:$D$500,"&lt;="&amp;E279,$E$3:$E$500,"&gt;="&amp;D279,$A$3:$A$500,"&lt;&gt;"&amp;A279)=0)),0))</f>
        <v/>
      </c>
      <c r="Q279">
        <f>IF(B279="","",IFERROR(SUMPRODUCT((LEN(Employees!$A$3:$A$500)&gt;0)*(Employees!$N$3:$N$500=1)*(COUNTIFS($B$3:$B$500,Employees!$A$3:$A$500,$H$3:$H$500,"Approved",$D$3:$D$500,"&lt;="&amp;E279,$E$3:$E$500,"&gt;="&amp;D279,$A$3:$A$500,"&lt;&gt;"&amp;A279)&gt;0)),0))</f>
        <v/>
      </c>
      <c r="R279">
        <f>IF(B279="","",IFERROR(SUMPRODUCT((LEN(Employees!$A$3:$A$500)&gt;0)*(Employees!$O$3:$O$500=1)*(COUNTIFS($B$3:$B$500,Employees!$A$3:$A$500,$H$3:$H$500,"Approved",$D$3:$D$500,"&lt;="&amp;E279,$E$3:$E$500,"&gt;="&amp;D279,$A$3:$A$500,"&lt;&gt;"&amp;A279)&gt;0)),0))</f>
        <v/>
      </c>
      <c r="S279">
        <f>IF(OR(B279="",IFERROR(XLOOKUP(B279,Employees!$A$3:$A$500,Employees!$G$3:$G$500,""),"")=""),"",IFERROR(SUMPRODUCT((LEN(Employees!$A$3:$A$500)&gt;0)*(Employees!$G$3:$G$500=IFERROR(XLOOKUP(B279,Employees!$A$3:$A$500,Employees!$G$3:$G$500,""),""))*(COUNTIFS($B$3:$B$500,Employees!$A$3:$A$500,$H$3:$H$500,"Approved",$D$3:$D$500,"&lt;="&amp;E279,$E$3:$E$500,"&gt;="&amp;D279,$A$3:$A$500,"&lt;&gt;"&amp;A279)&gt;0)),0))</f>
        <v/>
      </c>
    </row>
    <row r="280">
      <c r="C280">
        <f>IFERROR(XLOOKUP(B280,Employees!$A$3:$A$500,Employees!$B$3:$B$500,""),"")</f>
        <v/>
      </c>
      <c r="I280">
        <f>IF(AND(B280&lt;&gt;"",D280&lt;&gt;"",E280&lt;&gt;""),E280-D280+1,"")</f>
        <v/>
      </c>
      <c r="J280">
        <f>IF(OR(B280="",D280="",E280=""),"",IF(OR(L280&lt;'Coverage Rules'!E7,M280&lt;'Coverage Rules'!E8,N280&lt;'Coverage Rules'!C8,O280&lt;'Coverage Rules'!E9,P280&lt;'Coverage Rules'!E10,Q280&gt;='Coverage Rules'!B16,R280&gt;='Coverage Rules'!B17,IF(S280="",FALSE,S280&gt;='Coverage Rules'!D24)),"Denied","OK"))</f>
        <v/>
      </c>
      <c r="L280">
        <f>IF(B280="","",IFERROR(SUMPRODUCT((LEN(Employees!$A$3:$A$500)&gt;0)*(Employees!$T$3:$T$500=1)*(COUNTIFS($B$3:$B$500,Employees!$A$3:$A$500,$H$3:$H$500,"Approved",$D$3:$D$500,"&lt;="&amp;E280,$E$3:$E$500,"&gt;="&amp;D280,$A$3:$A$500,"&lt;&gt;"&amp;A280)=0)),0))</f>
        <v/>
      </c>
      <c r="M280">
        <f>IF(B280="","",IFERROR(SUMPRODUCT((LEN(Employees!$A$3:$A$500)&gt;0)*(Employees!$U$3:$U$500=1)*(COUNTIFS($B$3:$B$500,Employees!$A$3:$A$500,$H$3:$H$500,"Approved",$D$3:$D$500,"&lt;="&amp;E280,$E$3:$E$500,"&gt;="&amp;D280,$A$3:$A$500,"&lt;&gt;"&amp;A280)=0)),0))</f>
        <v/>
      </c>
      <c r="N280">
        <f>IF(B280="","",IFERROR(SUMPRODUCT((LEN(Employees!$A$3:$A$500)&gt;0)*(Employees!$B$3:$B$500="Manager")*(Employees!$U$3:$U$500=1)*(COUNTIFS($B$3:$B$500,Employees!$A$3:$A$500,$H$3:$H$500,"Approved",$D$3:$D$500,"&lt;="&amp;E280,$E$3:$E$500,"&gt;="&amp;D280,$A$3:$A$500,"&lt;&gt;"&amp;A280)=0)),0))</f>
        <v/>
      </c>
      <c r="O280">
        <f>IF(B280="","",IFERROR(SUMPRODUCT((LEN(Employees!$A$3:$A$500)&gt;0)*(Employees!$V$3:$V$500=1)*(COUNTIFS($B$3:$B$500,Employees!$A$3:$A$500,$H$3:$H$500,"Approved",$D$3:$D$500,"&lt;="&amp;E280,$E$3:$E$500,"&gt;="&amp;D280,$A$3:$A$500,"&lt;&gt;"&amp;A280)=0)),0))</f>
        <v/>
      </c>
      <c r="P280">
        <f>IF(B280="","",IFERROR(SUMPRODUCT((LEN(Employees!$A$3:$A$500)&gt;0)*(Employees!$W$3:$W$500=1)*(COUNTIFS($B$3:$B$500,Employees!$A$3:$A$500,$H$3:$H$500,"Approved",$D$3:$D$500,"&lt;="&amp;E280,$E$3:$E$500,"&gt;="&amp;D280,$A$3:$A$500,"&lt;&gt;"&amp;A280)=0)),0))</f>
        <v/>
      </c>
      <c r="Q280">
        <f>IF(B280="","",IFERROR(SUMPRODUCT((LEN(Employees!$A$3:$A$500)&gt;0)*(Employees!$N$3:$N$500=1)*(COUNTIFS($B$3:$B$500,Employees!$A$3:$A$500,$H$3:$H$500,"Approved",$D$3:$D$500,"&lt;="&amp;E280,$E$3:$E$500,"&gt;="&amp;D280,$A$3:$A$500,"&lt;&gt;"&amp;A280)&gt;0)),0))</f>
        <v/>
      </c>
      <c r="R280">
        <f>IF(B280="","",IFERROR(SUMPRODUCT((LEN(Employees!$A$3:$A$500)&gt;0)*(Employees!$O$3:$O$500=1)*(COUNTIFS($B$3:$B$500,Employees!$A$3:$A$500,$H$3:$H$500,"Approved",$D$3:$D$500,"&lt;="&amp;E280,$E$3:$E$500,"&gt;="&amp;D280,$A$3:$A$500,"&lt;&gt;"&amp;A280)&gt;0)),0))</f>
        <v/>
      </c>
      <c r="S280">
        <f>IF(OR(B280="",IFERROR(XLOOKUP(B280,Employees!$A$3:$A$500,Employees!$G$3:$G$500,""),"")=""),"",IFERROR(SUMPRODUCT((LEN(Employees!$A$3:$A$500)&gt;0)*(Employees!$G$3:$G$500=IFERROR(XLOOKUP(B280,Employees!$A$3:$A$500,Employees!$G$3:$G$500,""),""))*(COUNTIFS($B$3:$B$500,Employees!$A$3:$A$500,$H$3:$H$500,"Approved",$D$3:$D$500,"&lt;="&amp;E280,$E$3:$E$500,"&gt;="&amp;D280,$A$3:$A$500,"&lt;&gt;"&amp;A280)&gt;0)),0))</f>
        <v/>
      </c>
    </row>
    <row r="281">
      <c r="C281">
        <f>IFERROR(XLOOKUP(B281,Employees!$A$3:$A$500,Employees!$B$3:$B$500,""),"")</f>
        <v/>
      </c>
      <c r="I281">
        <f>IF(AND(B281&lt;&gt;"",D281&lt;&gt;"",E281&lt;&gt;""),E281-D281+1,"")</f>
        <v/>
      </c>
      <c r="J281">
        <f>IF(OR(B281="",D281="",E281=""),"",IF(OR(L281&lt;'Coverage Rules'!E7,M281&lt;'Coverage Rules'!E8,N281&lt;'Coverage Rules'!C8,O281&lt;'Coverage Rules'!E9,P281&lt;'Coverage Rules'!E10,Q281&gt;='Coverage Rules'!B16,R281&gt;='Coverage Rules'!B17,IF(S281="",FALSE,S281&gt;='Coverage Rules'!D24)),"Denied","OK"))</f>
        <v/>
      </c>
      <c r="L281">
        <f>IF(B281="","",IFERROR(SUMPRODUCT((LEN(Employees!$A$3:$A$500)&gt;0)*(Employees!$T$3:$T$500=1)*(COUNTIFS($B$3:$B$500,Employees!$A$3:$A$500,$H$3:$H$500,"Approved",$D$3:$D$500,"&lt;="&amp;E281,$E$3:$E$500,"&gt;="&amp;D281,$A$3:$A$500,"&lt;&gt;"&amp;A281)=0)),0))</f>
        <v/>
      </c>
      <c r="M281">
        <f>IF(B281="","",IFERROR(SUMPRODUCT((LEN(Employees!$A$3:$A$500)&gt;0)*(Employees!$U$3:$U$500=1)*(COUNTIFS($B$3:$B$500,Employees!$A$3:$A$500,$H$3:$H$500,"Approved",$D$3:$D$500,"&lt;="&amp;E281,$E$3:$E$500,"&gt;="&amp;D281,$A$3:$A$500,"&lt;&gt;"&amp;A281)=0)),0))</f>
        <v/>
      </c>
      <c r="N281">
        <f>IF(B281="","",IFERROR(SUMPRODUCT((LEN(Employees!$A$3:$A$500)&gt;0)*(Employees!$B$3:$B$500="Manager")*(Employees!$U$3:$U$500=1)*(COUNTIFS($B$3:$B$500,Employees!$A$3:$A$500,$H$3:$H$500,"Approved",$D$3:$D$500,"&lt;="&amp;E281,$E$3:$E$500,"&gt;="&amp;D281,$A$3:$A$500,"&lt;&gt;"&amp;A281)=0)),0))</f>
        <v/>
      </c>
      <c r="O281">
        <f>IF(B281="","",IFERROR(SUMPRODUCT((LEN(Employees!$A$3:$A$500)&gt;0)*(Employees!$V$3:$V$500=1)*(COUNTIFS($B$3:$B$500,Employees!$A$3:$A$500,$H$3:$H$500,"Approved",$D$3:$D$500,"&lt;="&amp;E281,$E$3:$E$500,"&gt;="&amp;D281,$A$3:$A$500,"&lt;&gt;"&amp;A281)=0)),0))</f>
        <v/>
      </c>
      <c r="P281">
        <f>IF(B281="","",IFERROR(SUMPRODUCT((LEN(Employees!$A$3:$A$500)&gt;0)*(Employees!$W$3:$W$500=1)*(COUNTIFS($B$3:$B$500,Employees!$A$3:$A$500,$H$3:$H$500,"Approved",$D$3:$D$500,"&lt;="&amp;E281,$E$3:$E$500,"&gt;="&amp;D281,$A$3:$A$500,"&lt;&gt;"&amp;A281)=0)),0))</f>
        <v/>
      </c>
      <c r="Q281">
        <f>IF(B281="","",IFERROR(SUMPRODUCT((LEN(Employees!$A$3:$A$500)&gt;0)*(Employees!$N$3:$N$500=1)*(COUNTIFS($B$3:$B$500,Employees!$A$3:$A$500,$H$3:$H$500,"Approved",$D$3:$D$500,"&lt;="&amp;E281,$E$3:$E$500,"&gt;="&amp;D281,$A$3:$A$500,"&lt;&gt;"&amp;A281)&gt;0)),0))</f>
        <v/>
      </c>
      <c r="R281">
        <f>IF(B281="","",IFERROR(SUMPRODUCT((LEN(Employees!$A$3:$A$500)&gt;0)*(Employees!$O$3:$O$500=1)*(COUNTIFS($B$3:$B$500,Employees!$A$3:$A$500,$H$3:$H$500,"Approved",$D$3:$D$500,"&lt;="&amp;E281,$E$3:$E$500,"&gt;="&amp;D281,$A$3:$A$500,"&lt;&gt;"&amp;A281)&gt;0)),0))</f>
        <v/>
      </c>
      <c r="S281">
        <f>IF(OR(B281="",IFERROR(XLOOKUP(B281,Employees!$A$3:$A$500,Employees!$G$3:$G$500,""),"")=""),"",IFERROR(SUMPRODUCT((LEN(Employees!$A$3:$A$500)&gt;0)*(Employees!$G$3:$G$500=IFERROR(XLOOKUP(B281,Employees!$A$3:$A$500,Employees!$G$3:$G$500,""),""))*(COUNTIFS($B$3:$B$500,Employees!$A$3:$A$500,$H$3:$H$500,"Approved",$D$3:$D$500,"&lt;="&amp;E281,$E$3:$E$500,"&gt;="&amp;D281,$A$3:$A$500,"&lt;&gt;"&amp;A281)&gt;0)),0))</f>
        <v/>
      </c>
    </row>
    <row r="282">
      <c r="C282">
        <f>IFERROR(XLOOKUP(B282,Employees!$A$3:$A$500,Employees!$B$3:$B$500,""),"")</f>
        <v/>
      </c>
      <c r="I282">
        <f>IF(AND(B282&lt;&gt;"",D282&lt;&gt;"",E282&lt;&gt;""),E282-D282+1,"")</f>
        <v/>
      </c>
      <c r="J282">
        <f>IF(OR(B282="",D282="",E282=""),"",IF(OR(L282&lt;'Coverage Rules'!E7,M282&lt;'Coverage Rules'!E8,N282&lt;'Coverage Rules'!C8,O282&lt;'Coverage Rules'!E9,P282&lt;'Coverage Rules'!E10,Q282&gt;='Coverage Rules'!B16,R282&gt;='Coverage Rules'!B17,IF(S282="",FALSE,S282&gt;='Coverage Rules'!D24)),"Denied","OK"))</f>
        <v/>
      </c>
      <c r="L282">
        <f>IF(B282="","",IFERROR(SUMPRODUCT((LEN(Employees!$A$3:$A$500)&gt;0)*(Employees!$T$3:$T$500=1)*(COUNTIFS($B$3:$B$500,Employees!$A$3:$A$500,$H$3:$H$500,"Approved",$D$3:$D$500,"&lt;="&amp;E282,$E$3:$E$500,"&gt;="&amp;D282,$A$3:$A$500,"&lt;&gt;"&amp;A282)=0)),0))</f>
        <v/>
      </c>
      <c r="M282">
        <f>IF(B282="","",IFERROR(SUMPRODUCT((LEN(Employees!$A$3:$A$500)&gt;0)*(Employees!$U$3:$U$500=1)*(COUNTIFS($B$3:$B$500,Employees!$A$3:$A$500,$H$3:$H$500,"Approved",$D$3:$D$500,"&lt;="&amp;E282,$E$3:$E$500,"&gt;="&amp;D282,$A$3:$A$500,"&lt;&gt;"&amp;A282)=0)),0))</f>
        <v/>
      </c>
      <c r="N282">
        <f>IF(B282="","",IFERROR(SUMPRODUCT((LEN(Employees!$A$3:$A$500)&gt;0)*(Employees!$B$3:$B$500="Manager")*(Employees!$U$3:$U$500=1)*(COUNTIFS($B$3:$B$500,Employees!$A$3:$A$500,$H$3:$H$500,"Approved",$D$3:$D$500,"&lt;="&amp;E282,$E$3:$E$500,"&gt;="&amp;D282,$A$3:$A$500,"&lt;&gt;"&amp;A282)=0)),0))</f>
        <v/>
      </c>
      <c r="O282">
        <f>IF(B282="","",IFERROR(SUMPRODUCT((LEN(Employees!$A$3:$A$500)&gt;0)*(Employees!$V$3:$V$500=1)*(COUNTIFS($B$3:$B$500,Employees!$A$3:$A$500,$H$3:$H$500,"Approved",$D$3:$D$500,"&lt;="&amp;E282,$E$3:$E$500,"&gt;="&amp;D282,$A$3:$A$500,"&lt;&gt;"&amp;A282)=0)),0))</f>
        <v/>
      </c>
      <c r="P282">
        <f>IF(B282="","",IFERROR(SUMPRODUCT((LEN(Employees!$A$3:$A$500)&gt;0)*(Employees!$W$3:$W$500=1)*(COUNTIFS($B$3:$B$500,Employees!$A$3:$A$500,$H$3:$H$500,"Approved",$D$3:$D$500,"&lt;="&amp;E282,$E$3:$E$500,"&gt;="&amp;D282,$A$3:$A$500,"&lt;&gt;"&amp;A282)=0)),0))</f>
        <v/>
      </c>
      <c r="Q282">
        <f>IF(B282="","",IFERROR(SUMPRODUCT((LEN(Employees!$A$3:$A$500)&gt;0)*(Employees!$N$3:$N$500=1)*(COUNTIFS($B$3:$B$500,Employees!$A$3:$A$500,$H$3:$H$500,"Approved",$D$3:$D$500,"&lt;="&amp;E282,$E$3:$E$500,"&gt;="&amp;D282,$A$3:$A$500,"&lt;&gt;"&amp;A282)&gt;0)),0))</f>
        <v/>
      </c>
      <c r="R282">
        <f>IF(B282="","",IFERROR(SUMPRODUCT((LEN(Employees!$A$3:$A$500)&gt;0)*(Employees!$O$3:$O$500=1)*(COUNTIFS($B$3:$B$500,Employees!$A$3:$A$500,$H$3:$H$500,"Approved",$D$3:$D$500,"&lt;="&amp;E282,$E$3:$E$500,"&gt;="&amp;D282,$A$3:$A$500,"&lt;&gt;"&amp;A282)&gt;0)),0))</f>
        <v/>
      </c>
      <c r="S282">
        <f>IF(OR(B282="",IFERROR(XLOOKUP(B282,Employees!$A$3:$A$500,Employees!$G$3:$G$500,""),"")=""),"",IFERROR(SUMPRODUCT((LEN(Employees!$A$3:$A$500)&gt;0)*(Employees!$G$3:$G$500=IFERROR(XLOOKUP(B282,Employees!$A$3:$A$500,Employees!$G$3:$G$500,""),""))*(COUNTIFS($B$3:$B$500,Employees!$A$3:$A$500,$H$3:$H$500,"Approved",$D$3:$D$500,"&lt;="&amp;E282,$E$3:$E$500,"&gt;="&amp;D282,$A$3:$A$500,"&lt;&gt;"&amp;A282)&gt;0)),0))</f>
        <v/>
      </c>
    </row>
    <row r="283">
      <c r="C283">
        <f>IFERROR(XLOOKUP(B283,Employees!$A$3:$A$500,Employees!$B$3:$B$500,""),"")</f>
        <v/>
      </c>
      <c r="I283">
        <f>IF(AND(B283&lt;&gt;"",D283&lt;&gt;"",E283&lt;&gt;""),E283-D283+1,"")</f>
        <v/>
      </c>
      <c r="J283">
        <f>IF(OR(B283="",D283="",E283=""),"",IF(OR(L283&lt;'Coverage Rules'!E7,M283&lt;'Coverage Rules'!E8,N283&lt;'Coverage Rules'!C8,O283&lt;'Coverage Rules'!E9,P283&lt;'Coverage Rules'!E10,Q283&gt;='Coverage Rules'!B16,R283&gt;='Coverage Rules'!B17,IF(S283="",FALSE,S283&gt;='Coverage Rules'!D24)),"Denied","OK"))</f>
        <v/>
      </c>
      <c r="L283">
        <f>IF(B283="","",IFERROR(SUMPRODUCT((LEN(Employees!$A$3:$A$500)&gt;0)*(Employees!$T$3:$T$500=1)*(COUNTIFS($B$3:$B$500,Employees!$A$3:$A$500,$H$3:$H$500,"Approved",$D$3:$D$500,"&lt;="&amp;E283,$E$3:$E$500,"&gt;="&amp;D283,$A$3:$A$500,"&lt;&gt;"&amp;A283)=0)),0))</f>
        <v/>
      </c>
      <c r="M283">
        <f>IF(B283="","",IFERROR(SUMPRODUCT((LEN(Employees!$A$3:$A$500)&gt;0)*(Employees!$U$3:$U$500=1)*(COUNTIFS($B$3:$B$500,Employees!$A$3:$A$500,$H$3:$H$500,"Approved",$D$3:$D$500,"&lt;="&amp;E283,$E$3:$E$500,"&gt;="&amp;D283,$A$3:$A$500,"&lt;&gt;"&amp;A283)=0)),0))</f>
        <v/>
      </c>
      <c r="N283">
        <f>IF(B283="","",IFERROR(SUMPRODUCT((LEN(Employees!$A$3:$A$500)&gt;0)*(Employees!$B$3:$B$500="Manager")*(Employees!$U$3:$U$500=1)*(COUNTIFS($B$3:$B$500,Employees!$A$3:$A$500,$H$3:$H$500,"Approved",$D$3:$D$500,"&lt;="&amp;E283,$E$3:$E$500,"&gt;="&amp;D283,$A$3:$A$500,"&lt;&gt;"&amp;A283)=0)),0))</f>
        <v/>
      </c>
      <c r="O283">
        <f>IF(B283="","",IFERROR(SUMPRODUCT((LEN(Employees!$A$3:$A$500)&gt;0)*(Employees!$V$3:$V$500=1)*(COUNTIFS($B$3:$B$500,Employees!$A$3:$A$500,$H$3:$H$500,"Approved",$D$3:$D$500,"&lt;="&amp;E283,$E$3:$E$500,"&gt;="&amp;D283,$A$3:$A$500,"&lt;&gt;"&amp;A283)=0)),0))</f>
        <v/>
      </c>
      <c r="P283">
        <f>IF(B283="","",IFERROR(SUMPRODUCT((LEN(Employees!$A$3:$A$500)&gt;0)*(Employees!$W$3:$W$500=1)*(COUNTIFS($B$3:$B$500,Employees!$A$3:$A$500,$H$3:$H$500,"Approved",$D$3:$D$500,"&lt;="&amp;E283,$E$3:$E$500,"&gt;="&amp;D283,$A$3:$A$500,"&lt;&gt;"&amp;A283)=0)),0))</f>
        <v/>
      </c>
      <c r="Q283">
        <f>IF(B283="","",IFERROR(SUMPRODUCT((LEN(Employees!$A$3:$A$500)&gt;0)*(Employees!$N$3:$N$500=1)*(COUNTIFS($B$3:$B$500,Employees!$A$3:$A$500,$H$3:$H$500,"Approved",$D$3:$D$500,"&lt;="&amp;E283,$E$3:$E$500,"&gt;="&amp;D283,$A$3:$A$500,"&lt;&gt;"&amp;A283)&gt;0)),0))</f>
        <v/>
      </c>
      <c r="R283">
        <f>IF(B283="","",IFERROR(SUMPRODUCT((LEN(Employees!$A$3:$A$500)&gt;0)*(Employees!$O$3:$O$500=1)*(COUNTIFS($B$3:$B$500,Employees!$A$3:$A$500,$H$3:$H$500,"Approved",$D$3:$D$500,"&lt;="&amp;E283,$E$3:$E$500,"&gt;="&amp;D283,$A$3:$A$500,"&lt;&gt;"&amp;A283)&gt;0)),0))</f>
        <v/>
      </c>
      <c r="S283">
        <f>IF(OR(B283="",IFERROR(XLOOKUP(B283,Employees!$A$3:$A$500,Employees!$G$3:$G$500,""),"")=""),"",IFERROR(SUMPRODUCT((LEN(Employees!$A$3:$A$500)&gt;0)*(Employees!$G$3:$G$500=IFERROR(XLOOKUP(B283,Employees!$A$3:$A$500,Employees!$G$3:$G$500,""),""))*(COUNTIFS($B$3:$B$500,Employees!$A$3:$A$500,$H$3:$H$500,"Approved",$D$3:$D$500,"&lt;="&amp;E283,$E$3:$E$500,"&gt;="&amp;D283,$A$3:$A$500,"&lt;&gt;"&amp;A283)&gt;0)),0))</f>
        <v/>
      </c>
    </row>
    <row r="284">
      <c r="C284">
        <f>IFERROR(XLOOKUP(B284,Employees!$A$3:$A$500,Employees!$B$3:$B$500,""),"")</f>
        <v/>
      </c>
      <c r="I284">
        <f>IF(AND(B284&lt;&gt;"",D284&lt;&gt;"",E284&lt;&gt;""),E284-D284+1,"")</f>
        <v/>
      </c>
      <c r="J284">
        <f>IF(OR(B284="",D284="",E284=""),"",IF(OR(L284&lt;'Coverage Rules'!E7,M284&lt;'Coverage Rules'!E8,N284&lt;'Coverage Rules'!C8,O284&lt;'Coverage Rules'!E9,P284&lt;'Coverage Rules'!E10,Q284&gt;='Coverage Rules'!B16,R284&gt;='Coverage Rules'!B17,IF(S284="",FALSE,S284&gt;='Coverage Rules'!D24)),"Denied","OK"))</f>
        <v/>
      </c>
      <c r="L284">
        <f>IF(B284="","",IFERROR(SUMPRODUCT((LEN(Employees!$A$3:$A$500)&gt;0)*(Employees!$T$3:$T$500=1)*(COUNTIFS($B$3:$B$500,Employees!$A$3:$A$500,$H$3:$H$500,"Approved",$D$3:$D$500,"&lt;="&amp;E284,$E$3:$E$500,"&gt;="&amp;D284,$A$3:$A$500,"&lt;&gt;"&amp;A284)=0)),0))</f>
        <v/>
      </c>
      <c r="M284">
        <f>IF(B284="","",IFERROR(SUMPRODUCT((LEN(Employees!$A$3:$A$500)&gt;0)*(Employees!$U$3:$U$500=1)*(COUNTIFS($B$3:$B$500,Employees!$A$3:$A$500,$H$3:$H$500,"Approved",$D$3:$D$500,"&lt;="&amp;E284,$E$3:$E$500,"&gt;="&amp;D284,$A$3:$A$500,"&lt;&gt;"&amp;A284)=0)),0))</f>
        <v/>
      </c>
      <c r="N284">
        <f>IF(B284="","",IFERROR(SUMPRODUCT((LEN(Employees!$A$3:$A$500)&gt;0)*(Employees!$B$3:$B$500="Manager")*(Employees!$U$3:$U$500=1)*(COUNTIFS($B$3:$B$500,Employees!$A$3:$A$500,$H$3:$H$500,"Approved",$D$3:$D$500,"&lt;="&amp;E284,$E$3:$E$500,"&gt;="&amp;D284,$A$3:$A$500,"&lt;&gt;"&amp;A284)=0)),0))</f>
        <v/>
      </c>
      <c r="O284">
        <f>IF(B284="","",IFERROR(SUMPRODUCT((LEN(Employees!$A$3:$A$500)&gt;0)*(Employees!$V$3:$V$500=1)*(COUNTIFS($B$3:$B$500,Employees!$A$3:$A$500,$H$3:$H$500,"Approved",$D$3:$D$500,"&lt;="&amp;E284,$E$3:$E$500,"&gt;="&amp;D284,$A$3:$A$500,"&lt;&gt;"&amp;A284)=0)),0))</f>
        <v/>
      </c>
      <c r="P284">
        <f>IF(B284="","",IFERROR(SUMPRODUCT((LEN(Employees!$A$3:$A$500)&gt;0)*(Employees!$W$3:$W$500=1)*(COUNTIFS($B$3:$B$500,Employees!$A$3:$A$500,$H$3:$H$500,"Approved",$D$3:$D$500,"&lt;="&amp;E284,$E$3:$E$500,"&gt;="&amp;D284,$A$3:$A$500,"&lt;&gt;"&amp;A284)=0)),0))</f>
        <v/>
      </c>
      <c r="Q284">
        <f>IF(B284="","",IFERROR(SUMPRODUCT((LEN(Employees!$A$3:$A$500)&gt;0)*(Employees!$N$3:$N$500=1)*(COUNTIFS($B$3:$B$500,Employees!$A$3:$A$500,$H$3:$H$500,"Approved",$D$3:$D$500,"&lt;="&amp;E284,$E$3:$E$500,"&gt;="&amp;D284,$A$3:$A$500,"&lt;&gt;"&amp;A284)&gt;0)),0))</f>
        <v/>
      </c>
      <c r="R284">
        <f>IF(B284="","",IFERROR(SUMPRODUCT((LEN(Employees!$A$3:$A$500)&gt;0)*(Employees!$O$3:$O$500=1)*(COUNTIFS($B$3:$B$500,Employees!$A$3:$A$500,$H$3:$H$500,"Approved",$D$3:$D$500,"&lt;="&amp;E284,$E$3:$E$500,"&gt;="&amp;D284,$A$3:$A$500,"&lt;&gt;"&amp;A284)&gt;0)),0))</f>
        <v/>
      </c>
      <c r="S284">
        <f>IF(OR(B284="",IFERROR(XLOOKUP(B284,Employees!$A$3:$A$500,Employees!$G$3:$G$500,""),"")=""),"",IFERROR(SUMPRODUCT((LEN(Employees!$A$3:$A$500)&gt;0)*(Employees!$G$3:$G$500=IFERROR(XLOOKUP(B284,Employees!$A$3:$A$500,Employees!$G$3:$G$500,""),""))*(COUNTIFS($B$3:$B$500,Employees!$A$3:$A$500,$H$3:$H$500,"Approved",$D$3:$D$500,"&lt;="&amp;E284,$E$3:$E$500,"&gt;="&amp;D284,$A$3:$A$500,"&lt;&gt;"&amp;A284)&gt;0)),0))</f>
        <v/>
      </c>
    </row>
    <row r="285">
      <c r="C285">
        <f>IFERROR(XLOOKUP(B285,Employees!$A$3:$A$500,Employees!$B$3:$B$500,""),"")</f>
        <v/>
      </c>
      <c r="I285">
        <f>IF(AND(B285&lt;&gt;"",D285&lt;&gt;"",E285&lt;&gt;""),E285-D285+1,"")</f>
        <v/>
      </c>
      <c r="J285">
        <f>IF(OR(B285="",D285="",E285=""),"",IF(OR(L285&lt;'Coverage Rules'!E7,M285&lt;'Coverage Rules'!E8,N285&lt;'Coverage Rules'!C8,O285&lt;'Coverage Rules'!E9,P285&lt;'Coverage Rules'!E10,Q285&gt;='Coverage Rules'!B16,R285&gt;='Coverage Rules'!B17,IF(S285="",FALSE,S285&gt;='Coverage Rules'!D24)),"Denied","OK"))</f>
        <v/>
      </c>
      <c r="L285">
        <f>IF(B285="","",IFERROR(SUMPRODUCT((LEN(Employees!$A$3:$A$500)&gt;0)*(Employees!$T$3:$T$500=1)*(COUNTIFS($B$3:$B$500,Employees!$A$3:$A$500,$H$3:$H$500,"Approved",$D$3:$D$500,"&lt;="&amp;E285,$E$3:$E$500,"&gt;="&amp;D285,$A$3:$A$500,"&lt;&gt;"&amp;A285)=0)),0))</f>
        <v/>
      </c>
      <c r="M285">
        <f>IF(B285="","",IFERROR(SUMPRODUCT((LEN(Employees!$A$3:$A$500)&gt;0)*(Employees!$U$3:$U$500=1)*(COUNTIFS($B$3:$B$500,Employees!$A$3:$A$500,$H$3:$H$500,"Approved",$D$3:$D$500,"&lt;="&amp;E285,$E$3:$E$500,"&gt;="&amp;D285,$A$3:$A$500,"&lt;&gt;"&amp;A285)=0)),0))</f>
        <v/>
      </c>
      <c r="N285">
        <f>IF(B285="","",IFERROR(SUMPRODUCT((LEN(Employees!$A$3:$A$500)&gt;0)*(Employees!$B$3:$B$500="Manager")*(Employees!$U$3:$U$500=1)*(COUNTIFS($B$3:$B$500,Employees!$A$3:$A$500,$H$3:$H$500,"Approved",$D$3:$D$500,"&lt;="&amp;E285,$E$3:$E$500,"&gt;="&amp;D285,$A$3:$A$500,"&lt;&gt;"&amp;A285)=0)),0))</f>
        <v/>
      </c>
      <c r="O285">
        <f>IF(B285="","",IFERROR(SUMPRODUCT((LEN(Employees!$A$3:$A$500)&gt;0)*(Employees!$V$3:$V$500=1)*(COUNTIFS($B$3:$B$500,Employees!$A$3:$A$500,$H$3:$H$500,"Approved",$D$3:$D$500,"&lt;="&amp;E285,$E$3:$E$500,"&gt;="&amp;D285,$A$3:$A$500,"&lt;&gt;"&amp;A285)=0)),0))</f>
        <v/>
      </c>
      <c r="P285">
        <f>IF(B285="","",IFERROR(SUMPRODUCT((LEN(Employees!$A$3:$A$500)&gt;0)*(Employees!$W$3:$W$500=1)*(COUNTIFS($B$3:$B$500,Employees!$A$3:$A$500,$H$3:$H$500,"Approved",$D$3:$D$500,"&lt;="&amp;E285,$E$3:$E$500,"&gt;="&amp;D285,$A$3:$A$500,"&lt;&gt;"&amp;A285)=0)),0))</f>
        <v/>
      </c>
      <c r="Q285">
        <f>IF(B285="","",IFERROR(SUMPRODUCT((LEN(Employees!$A$3:$A$500)&gt;0)*(Employees!$N$3:$N$500=1)*(COUNTIFS($B$3:$B$500,Employees!$A$3:$A$500,$H$3:$H$500,"Approved",$D$3:$D$500,"&lt;="&amp;E285,$E$3:$E$500,"&gt;="&amp;D285,$A$3:$A$500,"&lt;&gt;"&amp;A285)&gt;0)),0))</f>
        <v/>
      </c>
      <c r="R285">
        <f>IF(B285="","",IFERROR(SUMPRODUCT((LEN(Employees!$A$3:$A$500)&gt;0)*(Employees!$O$3:$O$500=1)*(COUNTIFS($B$3:$B$500,Employees!$A$3:$A$500,$H$3:$H$500,"Approved",$D$3:$D$500,"&lt;="&amp;E285,$E$3:$E$500,"&gt;="&amp;D285,$A$3:$A$500,"&lt;&gt;"&amp;A285)&gt;0)),0))</f>
        <v/>
      </c>
      <c r="S285">
        <f>IF(OR(B285="",IFERROR(XLOOKUP(B285,Employees!$A$3:$A$500,Employees!$G$3:$G$500,""),"")=""),"",IFERROR(SUMPRODUCT((LEN(Employees!$A$3:$A$500)&gt;0)*(Employees!$G$3:$G$500=IFERROR(XLOOKUP(B285,Employees!$A$3:$A$500,Employees!$G$3:$G$500,""),""))*(COUNTIFS($B$3:$B$500,Employees!$A$3:$A$500,$H$3:$H$500,"Approved",$D$3:$D$500,"&lt;="&amp;E285,$E$3:$E$500,"&gt;="&amp;D285,$A$3:$A$500,"&lt;&gt;"&amp;A285)&gt;0)),0))</f>
        <v/>
      </c>
    </row>
    <row r="286">
      <c r="C286">
        <f>IFERROR(XLOOKUP(B286,Employees!$A$3:$A$500,Employees!$B$3:$B$500,""),"")</f>
        <v/>
      </c>
      <c r="I286">
        <f>IF(AND(B286&lt;&gt;"",D286&lt;&gt;"",E286&lt;&gt;""),E286-D286+1,"")</f>
        <v/>
      </c>
      <c r="J286">
        <f>IF(OR(B286="",D286="",E286=""),"",IF(OR(L286&lt;'Coverage Rules'!E7,M286&lt;'Coverage Rules'!E8,N286&lt;'Coverage Rules'!C8,O286&lt;'Coverage Rules'!E9,P286&lt;'Coverage Rules'!E10,Q286&gt;='Coverage Rules'!B16,R286&gt;='Coverage Rules'!B17,IF(S286="",FALSE,S286&gt;='Coverage Rules'!D24)),"Denied","OK"))</f>
        <v/>
      </c>
      <c r="L286">
        <f>IF(B286="","",IFERROR(SUMPRODUCT((LEN(Employees!$A$3:$A$500)&gt;0)*(Employees!$T$3:$T$500=1)*(COUNTIFS($B$3:$B$500,Employees!$A$3:$A$500,$H$3:$H$500,"Approved",$D$3:$D$500,"&lt;="&amp;E286,$E$3:$E$500,"&gt;="&amp;D286,$A$3:$A$500,"&lt;&gt;"&amp;A286)=0)),0))</f>
        <v/>
      </c>
      <c r="M286">
        <f>IF(B286="","",IFERROR(SUMPRODUCT((LEN(Employees!$A$3:$A$500)&gt;0)*(Employees!$U$3:$U$500=1)*(COUNTIFS($B$3:$B$500,Employees!$A$3:$A$500,$H$3:$H$500,"Approved",$D$3:$D$500,"&lt;="&amp;E286,$E$3:$E$500,"&gt;="&amp;D286,$A$3:$A$500,"&lt;&gt;"&amp;A286)=0)),0))</f>
        <v/>
      </c>
      <c r="N286">
        <f>IF(B286="","",IFERROR(SUMPRODUCT((LEN(Employees!$A$3:$A$500)&gt;0)*(Employees!$B$3:$B$500="Manager")*(Employees!$U$3:$U$500=1)*(COUNTIFS($B$3:$B$500,Employees!$A$3:$A$500,$H$3:$H$500,"Approved",$D$3:$D$500,"&lt;="&amp;E286,$E$3:$E$500,"&gt;="&amp;D286,$A$3:$A$500,"&lt;&gt;"&amp;A286)=0)),0))</f>
        <v/>
      </c>
      <c r="O286">
        <f>IF(B286="","",IFERROR(SUMPRODUCT((LEN(Employees!$A$3:$A$500)&gt;0)*(Employees!$V$3:$V$500=1)*(COUNTIFS($B$3:$B$500,Employees!$A$3:$A$500,$H$3:$H$500,"Approved",$D$3:$D$500,"&lt;="&amp;E286,$E$3:$E$500,"&gt;="&amp;D286,$A$3:$A$500,"&lt;&gt;"&amp;A286)=0)),0))</f>
        <v/>
      </c>
      <c r="P286">
        <f>IF(B286="","",IFERROR(SUMPRODUCT((LEN(Employees!$A$3:$A$500)&gt;0)*(Employees!$W$3:$W$500=1)*(COUNTIFS($B$3:$B$500,Employees!$A$3:$A$500,$H$3:$H$500,"Approved",$D$3:$D$500,"&lt;="&amp;E286,$E$3:$E$500,"&gt;="&amp;D286,$A$3:$A$500,"&lt;&gt;"&amp;A286)=0)),0))</f>
        <v/>
      </c>
      <c r="Q286">
        <f>IF(B286="","",IFERROR(SUMPRODUCT((LEN(Employees!$A$3:$A$500)&gt;0)*(Employees!$N$3:$N$500=1)*(COUNTIFS($B$3:$B$500,Employees!$A$3:$A$500,$H$3:$H$500,"Approved",$D$3:$D$500,"&lt;="&amp;E286,$E$3:$E$500,"&gt;="&amp;D286,$A$3:$A$500,"&lt;&gt;"&amp;A286)&gt;0)),0))</f>
        <v/>
      </c>
      <c r="R286">
        <f>IF(B286="","",IFERROR(SUMPRODUCT((LEN(Employees!$A$3:$A$500)&gt;0)*(Employees!$O$3:$O$500=1)*(COUNTIFS($B$3:$B$500,Employees!$A$3:$A$500,$H$3:$H$500,"Approved",$D$3:$D$500,"&lt;="&amp;E286,$E$3:$E$500,"&gt;="&amp;D286,$A$3:$A$500,"&lt;&gt;"&amp;A286)&gt;0)),0))</f>
        <v/>
      </c>
      <c r="S286">
        <f>IF(OR(B286="",IFERROR(XLOOKUP(B286,Employees!$A$3:$A$500,Employees!$G$3:$G$500,""),"")=""),"",IFERROR(SUMPRODUCT((LEN(Employees!$A$3:$A$500)&gt;0)*(Employees!$G$3:$G$500=IFERROR(XLOOKUP(B286,Employees!$A$3:$A$500,Employees!$G$3:$G$500,""),""))*(COUNTIFS($B$3:$B$500,Employees!$A$3:$A$500,$H$3:$H$500,"Approved",$D$3:$D$500,"&lt;="&amp;E286,$E$3:$E$500,"&gt;="&amp;D286,$A$3:$A$500,"&lt;&gt;"&amp;A286)&gt;0)),0))</f>
        <v/>
      </c>
    </row>
    <row r="287">
      <c r="C287">
        <f>IFERROR(XLOOKUP(B287,Employees!$A$3:$A$500,Employees!$B$3:$B$500,""),"")</f>
        <v/>
      </c>
      <c r="I287">
        <f>IF(AND(B287&lt;&gt;"",D287&lt;&gt;"",E287&lt;&gt;""),E287-D287+1,"")</f>
        <v/>
      </c>
      <c r="J287">
        <f>IF(OR(B287="",D287="",E287=""),"",IF(OR(L287&lt;'Coverage Rules'!E7,M287&lt;'Coverage Rules'!E8,N287&lt;'Coverage Rules'!C8,O287&lt;'Coverage Rules'!E9,P287&lt;'Coverage Rules'!E10,Q287&gt;='Coverage Rules'!B16,R287&gt;='Coverage Rules'!B17,IF(S287="",FALSE,S287&gt;='Coverage Rules'!D24)),"Denied","OK"))</f>
        <v/>
      </c>
      <c r="L287">
        <f>IF(B287="","",IFERROR(SUMPRODUCT((LEN(Employees!$A$3:$A$500)&gt;0)*(Employees!$T$3:$T$500=1)*(COUNTIFS($B$3:$B$500,Employees!$A$3:$A$500,$H$3:$H$500,"Approved",$D$3:$D$500,"&lt;="&amp;E287,$E$3:$E$500,"&gt;="&amp;D287,$A$3:$A$500,"&lt;&gt;"&amp;A287)=0)),0))</f>
        <v/>
      </c>
      <c r="M287">
        <f>IF(B287="","",IFERROR(SUMPRODUCT((LEN(Employees!$A$3:$A$500)&gt;0)*(Employees!$U$3:$U$500=1)*(COUNTIFS($B$3:$B$500,Employees!$A$3:$A$500,$H$3:$H$500,"Approved",$D$3:$D$500,"&lt;="&amp;E287,$E$3:$E$500,"&gt;="&amp;D287,$A$3:$A$500,"&lt;&gt;"&amp;A287)=0)),0))</f>
        <v/>
      </c>
      <c r="N287">
        <f>IF(B287="","",IFERROR(SUMPRODUCT((LEN(Employees!$A$3:$A$500)&gt;0)*(Employees!$B$3:$B$500="Manager")*(Employees!$U$3:$U$500=1)*(COUNTIFS($B$3:$B$500,Employees!$A$3:$A$500,$H$3:$H$500,"Approved",$D$3:$D$500,"&lt;="&amp;E287,$E$3:$E$500,"&gt;="&amp;D287,$A$3:$A$500,"&lt;&gt;"&amp;A287)=0)),0))</f>
        <v/>
      </c>
      <c r="O287">
        <f>IF(B287="","",IFERROR(SUMPRODUCT((LEN(Employees!$A$3:$A$500)&gt;0)*(Employees!$V$3:$V$500=1)*(COUNTIFS($B$3:$B$500,Employees!$A$3:$A$500,$H$3:$H$500,"Approved",$D$3:$D$500,"&lt;="&amp;E287,$E$3:$E$500,"&gt;="&amp;D287,$A$3:$A$500,"&lt;&gt;"&amp;A287)=0)),0))</f>
        <v/>
      </c>
      <c r="P287">
        <f>IF(B287="","",IFERROR(SUMPRODUCT((LEN(Employees!$A$3:$A$500)&gt;0)*(Employees!$W$3:$W$500=1)*(COUNTIFS($B$3:$B$500,Employees!$A$3:$A$500,$H$3:$H$500,"Approved",$D$3:$D$500,"&lt;="&amp;E287,$E$3:$E$500,"&gt;="&amp;D287,$A$3:$A$500,"&lt;&gt;"&amp;A287)=0)),0))</f>
        <v/>
      </c>
      <c r="Q287">
        <f>IF(B287="","",IFERROR(SUMPRODUCT((LEN(Employees!$A$3:$A$500)&gt;0)*(Employees!$N$3:$N$500=1)*(COUNTIFS($B$3:$B$500,Employees!$A$3:$A$500,$H$3:$H$500,"Approved",$D$3:$D$500,"&lt;="&amp;E287,$E$3:$E$500,"&gt;="&amp;D287,$A$3:$A$500,"&lt;&gt;"&amp;A287)&gt;0)),0))</f>
        <v/>
      </c>
      <c r="R287">
        <f>IF(B287="","",IFERROR(SUMPRODUCT((LEN(Employees!$A$3:$A$500)&gt;0)*(Employees!$O$3:$O$500=1)*(COUNTIFS($B$3:$B$500,Employees!$A$3:$A$500,$H$3:$H$500,"Approved",$D$3:$D$500,"&lt;="&amp;E287,$E$3:$E$500,"&gt;="&amp;D287,$A$3:$A$500,"&lt;&gt;"&amp;A287)&gt;0)),0))</f>
        <v/>
      </c>
      <c r="S287">
        <f>IF(OR(B287="",IFERROR(XLOOKUP(B287,Employees!$A$3:$A$500,Employees!$G$3:$G$500,""),"")=""),"",IFERROR(SUMPRODUCT((LEN(Employees!$A$3:$A$500)&gt;0)*(Employees!$G$3:$G$500=IFERROR(XLOOKUP(B287,Employees!$A$3:$A$500,Employees!$G$3:$G$500,""),""))*(COUNTIFS($B$3:$B$500,Employees!$A$3:$A$500,$H$3:$H$500,"Approved",$D$3:$D$500,"&lt;="&amp;E287,$E$3:$E$500,"&gt;="&amp;D287,$A$3:$A$500,"&lt;&gt;"&amp;A287)&gt;0)),0))</f>
        <v/>
      </c>
    </row>
    <row r="288">
      <c r="C288">
        <f>IFERROR(XLOOKUP(B288,Employees!$A$3:$A$500,Employees!$B$3:$B$500,""),"")</f>
        <v/>
      </c>
      <c r="I288">
        <f>IF(AND(B288&lt;&gt;"",D288&lt;&gt;"",E288&lt;&gt;""),E288-D288+1,"")</f>
        <v/>
      </c>
      <c r="J288">
        <f>IF(OR(B288="",D288="",E288=""),"",IF(OR(L288&lt;'Coverage Rules'!E7,M288&lt;'Coverage Rules'!E8,N288&lt;'Coverage Rules'!C8,O288&lt;'Coverage Rules'!E9,P288&lt;'Coverage Rules'!E10,Q288&gt;='Coverage Rules'!B16,R288&gt;='Coverage Rules'!B17,IF(S288="",FALSE,S288&gt;='Coverage Rules'!D24)),"Denied","OK"))</f>
        <v/>
      </c>
      <c r="L288">
        <f>IF(B288="","",IFERROR(SUMPRODUCT((LEN(Employees!$A$3:$A$500)&gt;0)*(Employees!$T$3:$T$500=1)*(COUNTIFS($B$3:$B$500,Employees!$A$3:$A$500,$H$3:$H$500,"Approved",$D$3:$D$500,"&lt;="&amp;E288,$E$3:$E$500,"&gt;="&amp;D288,$A$3:$A$500,"&lt;&gt;"&amp;A288)=0)),0))</f>
        <v/>
      </c>
      <c r="M288">
        <f>IF(B288="","",IFERROR(SUMPRODUCT((LEN(Employees!$A$3:$A$500)&gt;0)*(Employees!$U$3:$U$500=1)*(COUNTIFS($B$3:$B$500,Employees!$A$3:$A$500,$H$3:$H$500,"Approved",$D$3:$D$500,"&lt;="&amp;E288,$E$3:$E$500,"&gt;="&amp;D288,$A$3:$A$500,"&lt;&gt;"&amp;A288)=0)),0))</f>
        <v/>
      </c>
      <c r="N288">
        <f>IF(B288="","",IFERROR(SUMPRODUCT((LEN(Employees!$A$3:$A$500)&gt;0)*(Employees!$B$3:$B$500="Manager")*(Employees!$U$3:$U$500=1)*(COUNTIFS($B$3:$B$500,Employees!$A$3:$A$500,$H$3:$H$500,"Approved",$D$3:$D$500,"&lt;="&amp;E288,$E$3:$E$500,"&gt;="&amp;D288,$A$3:$A$500,"&lt;&gt;"&amp;A288)=0)),0))</f>
        <v/>
      </c>
      <c r="O288">
        <f>IF(B288="","",IFERROR(SUMPRODUCT((LEN(Employees!$A$3:$A$500)&gt;0)*(Employees!$V$3:$V$500=1)*(COUNTIFS($B$3:$B$500,Employees!$A$3:$A$500,$H$3:$H$500,"Approved",$D$3:$D$500,"&lt;="&amp;E288,$E$3:$E$500,"&gt;="&amp;D288,$A$3:$A$500,"&lt;&gt;"&amp;A288)=0)),0))</f>
        <v/>
      </c>
      <c r="P288">
        <f>IF(B288="","",IFERROR(SUMPRODUCT((LEN(Employees!$A$3:$A$500)&gt;0)*(Employees!$W$3:$W$500=1)*(COUNTIFS($B$3:$B$500,Employees!$A$3:$A$500,$H$3:$H$500,"Approved",$D$3:$D$500,"&lt;="&amp;E288,$E$3:$E$500,"&gt;="&amp;D288,$A$3:$A$500,"&lt;&gt;"&amp;A288)=0)),0))</f>
        <v/>
      </c>
      <c r="Q288">
        <f>IF(B288="","",IFERROR(SUMPRODUCT((LEN(Employees!$A$3:$A$500)&gt;0)*(Employees!$N$3:$N$500=1)*(COUNTIFS($B$3:$B$500,Employees!$A$3:$A$500,$H$3:$H$500,"Approved",$D$3:$D$500,"&lt;="&amp;E288,$E$3:$E$500,"&gt;="&amp;D288,$A$3:$A$500,"&lt;&gt;"&amp;A288)&gt;0)),0))</f>
        <v/>
      </c>
      <c r="R288">
        <f>IF(B288="","",IFERROR(SUMPRODUCT((LEN(Employees!$A$3:$A$500)&gt;0)*(Employees!$O$3:$O$500=1)*(COUNTIFS($B$3:$B$500,Employees!$A$3:$A$500,$H$3:$H$500,"Approved",$D$3:$D$500,"&lt;="&amp;E288,$E$3:$E$500,"&gt;="&amp;D288,$A$3:$A$500,"&lt;&gt;"&amp;A288)&gt;0)),0))</f>
        <v/>
      </c>
      <c r="S288">
        <f>IF(OR(B288="",IFERROR(XLOOKUP(B288,Employees!$A$3:$A$500,Employees!$G$3:$G$500,""),"")=""),"",IFERROR(SUMPRODUCT((LEN(Employees!$A$3:$A$500)&gt;0)*(Employees!$G$3:$G$500=IFERROR(XLOOKUP(B288,Employees!$A$3:$A$500,Employees!$G$3:$G$500,""),""))*(COUNTIFS($B$3:$B$500,Employees!$A$3:$A$500,$H$3:$H$500,"Approved",$D$3:$D$500,"&lt;="&amp;E288,$E$3:$E$500,"&gt;="&amp;D288,$A$3:$A$500,"&lt;&gt;"&amp;A288)&gt;0)),0))</f>
        <v/>
      </c>
    </row>
    <row r="289">
      <c r="C289">
        <f>IFERROR(XLOOKUP(B289,Employees!$A$3:$A$500,Employees!$B$3:$B$500,""),"")</f>
        <v/>
      </c>
      <c r="I289">
        <f>IF(AND(B289&lt;&gt;"",D289&lt;&gt;"",E289&lt;&gt;""),E289-D289+1,"")</f>
        <v/>
      </c>
      <c r="J289">
        <f>IF(OR(B289="",D289="",E289=""),"",IF(OR(L289&lt;'Coverage Rules'!E7,M289&lt;'Coverage Rules'!E8,N289&lt;'Coverage Rules'!C8,O289&lt;'Coverage Rules'!E9,P289&lt;'Coverage Rules'!E10,Q289&gt;='Coverage Rules'!B16,R289&gt;='Coverage Rules'!B17,IF(S289="",FALSE,S289&gt;='Coverage Rules'!D24)),"Denied","OK"))</f>
        <v/>
      </c>
      <c r="L289">
        <f>IF(B289="","",IFERROR(SUMPRODUCT((LEN(Employees!$A$3:$A$500)&gt;0)*(Employees!$T$3:$T$500=1)*(COUNTIFS($B$3:$B$500,Employees!$A$3:$A$500,$H$3:$H$500,"Approved",$D$3:$D$500,"&lt;="&amp;E289,$E$3:$E$500,"&gt;="&amp;D289,$A$3:$A$500,"&lt;&gt;"&amp;A289)=0)),0))</f>
        <v/>
      </c>
      <c r="M289">
        <f>IF(B289="","",IFERROR(SUMPRODUCT((LEN(Employees!$A$3:$A$500)&gt;0)*(Employees!$U$3:$U$500=1)*(COUNTIFS($B$3:$B$500,Employees!$A$3:$A$500,$H$3:$H$500,"Approved",$D$3:$D$500,"&lt;="&amp;E289,$E$3:$E$500,"&gt;="&amp;D289,$A$3:$A$500,"&lt;&gt;"&amp;A289)=0)),0))</f>
        <v/>
      </c>
      <c r="N289">
        <f>IF(B289="","",IFERROR(SUMPRODUCT((LEN(Employees!$A$3:$A$500)&gt;0)*(Employees!$B$3:$B$500="Manager")*(Employees!$U$3:$U$500=1)*(COUNTIFS($B$3:$B$500,Employees!$A$3:$A$500,$H$3:$H$500,"Approved",$D$3:$D$500,"&lt;="&amp;E289,$E$3:$E$500,"&gt;="&amp;D289,$A$3:$A$500,"&lt;&gt;"&amp;A289)=0)),0))</f>
        <v/>
      </c>
      <c r="O289">
        <f>IF(B289="","",IFERROR(SUMPRODUCT((LEN(Employees!$A$3:$A$500)&gt;0)*(Employees!$V$3:$V$500=1)*(COUNTIFS($B$3:$B$500,Employees!$A$3:$A$500,$H$3:$H$500,"Approved",$D$3:$D$500,"&lt;="&amp;E289,$E$3:$E$500,"&gt;="&amp;D289,$A$3:$A$500,"&lt;&gt;"&amp;A289)=0)),0))</f>
        <v/>
      </c>
      <c r="P289">
        <f>IF(B289="","",IFERROR(SUMPRODUCT((LEN(Employees!$A$3:$A$500)&gt;0)*(Employees!$W$3:$W$500=1)*(COUNTIFS($B$3:$B$500,Employees!$A$3:$A$500,$H$3:$H$500,"Approved",$D$3:$D$500,"&lt;="&amp;E289,$E$3:$E$500,"&gt;="&amp;D289,$A$3:$A$500,"&lt;&gt;"&amp;A289)=0)),0))</f>
        <v/>
      </c>
      <c r="Q289">
        <f>IF(B289="","",IFERROR(SUMPRODUCT((LEN(Employees!$A$3:$A$500)&gt;0)*(Employees!$N$3:$N$500=1)*(COUNTIFS($B$3:$B$500,Employees!$A$3:$A$500,$H$3:$H$500,"Approved",$D$3:$D$500,"&lt;="&amp;E289,$E$3:$E$500,"&gt;="&amp;D289,$A$3:$A$500,"&lt;&gt;"&amp;A289)&gt;0)),0))</f>
        <v/>
      </c>
      <c r="R289">
        <f>IF(B289="","",IFERROR(SUMPRODUCT((LEN(Employees!$A$3:$A$500)&gt;0)*(Employees!$O$3:$O$500=1)*(COUNTIFS($B$3:$B$500,Employees!$A$3:$A$500,$H$3:$H$500,"Approved",$D$3:$D$500,"&lt;="&amp;E289,$E$3:$E$500,"&gt;="&amp;D289,$A$3:$A$500,"&lt;&gt;"&amp;A289)&gt;0)),0))</f>
        <v/>
      </c>
      <c r="S289">
        <f>IF(OR(B289="",IFERROR(XLOOKUP(B289,Employees!$A$3:$A$500,Employees!$G$3:$G$500,""),"")=""),"",IFERROR(SUMPRODUCT((LEN(Employees!$A$3:$A$500)&gt;0)*(Employees!$G$3:$G$500=IFERROR(XLOOKUP(B289,Employees!$A$3:$A$500,Employees!$G$3:$G$500,""),""))*(COUNTIFS($B$3:$B$500,Employees!$A$3:$A$500,$H$3:$H$500,"Approved",$D$3:$D$500,"&lt;="&amp;E289,$E$3:$E$500,"&gt;="&amp;D289,$A$3:$A$500,"&lt;&gt;"&amp;A289)&gt;0)),0))</f>
        <v/>
      </c>
    </row>
    <row r="290">
      <c r="C290">
        <f>IFERROR(XLOOKUP(B290,Employees!$A$3:$A$500,Employees!$B$3:$B$500,""),"")</f>
        <v/>
      </c>
      <c r="I290">
        <f>IF(AND(B290&lt;&gt;"",D290&lt;&gt;"",E290&lt;&gt;""),E290-D290+1,"")</f>
        <v/>
      </c>
      <c r="J290">
        <f>IF(OR(B290="",D290="",E290=""),"",IF(OR(L290&lt;'Coverage Rules'!E7,M290&lt;'Coverage Rules'!E8,N290&lt;'Coverage Rules'!C8,O290&lt;'Coverage Rules'!E9,P290&lt;'Coverage Rules'!E10,Q290&gt;='Coverage Rules'!B16,R290&gt;='Coverage Rules'!B17,IF(S290="",FALSE,S290&gt;='Coverage Rules'!D24)),"Denied","OK"))</f>
        <v/>
      </c>
      <c r="L290">
        <f>IF(B290="","",IFERROR(SUMPRODUCT((LEN(Employees!$A$3:$A$500)&gt;0)*(Employees!$T$3:$T$500=1)*(COUNTIFS($B$3:$B$500,Employees!$A$3:$A$500,$H$3:$H$500,"Approved",$D$3:$D$500,"&lt;="&amp;E290,$E$3:$E$500,"&gt;="&amp;D290,$A$3:$A$500,"&lt;&gt;"&amp;A290)=0)),0))</f>
        <v/>
      </c>
      <c r="M290">
        <f>IF(B290="","",IFERROR(SUMPRODUCT((LEN(Employees!$A$3:$A$500)&gt;0)*(Employees!$U$3:$U$500=1)*(COUNTIFS($B$3:$B$500,Employees!$A$3:$A$500,$H$3:$H$500,"Approved",$D$3:$D$500,"&lt;="&amp;E290,$E$3:$E$500,"&gt;="&amp;D290,$A$3:$A$500,"&lt;&gt;"&amp;A290)=0)),0))</f>
        <v/>
      </c>
      <c r="N290">
        <f>IF(B290="","",IFERROR(SUMPRODUCT((LEN(Employees!$A$3:$A$500)&gt;0)*(Employees!$B$3:$B$500="Manager")*(Employees!$U$3:$U$500=1)*(COUNTIFS($B$3:$B$500,Employees!$A$3:$A$500,$H$3:$H$500,"Approved",$D$3:$D$500,"&lt;="&amp;E290,$E$3:$E$500,"&gt;="&amp;D290,$A$3:$A$500,"&lt;&gt;"&amp;A290)=0)),0))</f>
        <v/>
      </c>
      <c r="O290">
        <f>IF(B290="","",IFERROR(SUMPRODUCT((LEN(Employees!$A$3:$A$500)&gt;0)*(Employees!$V$3:$V$500=1)*(COUNTIFS($B$3:$B$500,Employees!$A$3:$A$500,$H$3:$H$500,"Approved",$D$3:$D$500,"&lt;="&amp;E290,$E$3:$E$500,"&gt;="&amp;D290,$A$3:$A$500,"&lt;&gt;"&amp;A290)=0)),0))</f>
        <v/>
      </c>
      <c r="P290">
        <f>IF(B290="","",IFERROR(SUMPRODUCT((LEN(Employees!$A$3:$A$500)&gt;0)*(Employees!$W$3:$W$500=1)*(COUNTIFS($B$3:$B$500,Employees!$A$3:$A$500,$H$3:$H$500,"Approved",$D$3:$D$500,"&lt;="&amp;E290,$E$3:$E$500,"&gt;="&amp;D290,$A$3:$A$500,"&lt;&gt;"&amp;A290)=0)),0))</f>
        <v/>
      </c>
      <c r="Q290">
        <f>IF(B290="","",IFERROR(SUMPRODUCT((LEN(Employees!$A$3:$A$500)&gt;0)*(Employees!$N$3:$N$500=1)*(COUNTIFS($B$3:$B$500,Employees!$A$3:$A$500,$H$3:$H$500,"Approved",$D$3:$D$500,"&lt;="&amp;E290,$E$3:$E$500,"&gt;="&amp;D290,$A$3:$A$500,"&lt;&gt;"&amp;A290)&gt;0)),0))</f>
        <v/>
      </c>
      <c r="R290">
        <f>IF(B290="","",IFERROR(SUMPRODUCT((LEN(Employees!$A$3:$A$500)&gt;0)*(Employees!$O$3:$O$500=1)*(COUNTIFS($B$3:$B$500,Employees!$A$3:$A$500,$H$3:$H$500,"Approved",$D$3:$D$500,"&lt;="&amp;E290,$E$3:$E$500,"&gt;="&amp;D290,$A$3:$A$500,"&lt;&gt;"&amp;A290)&gt;0)),0))</f>
        <v/>
      </c>
      <c r="S290">
        <f>IF(OR(B290="",IFERROR(XLOOKUP(B290,Employees!$A$3:$A$500,Employees!$G$3:$G$500,""),"")=""),"",IFERROR(SUMPRODUCT((LEN(Employees!$A$3:$A$500)&gt;0)*(Employees!$G$3:$G$500=IFERROR(XLOOKUP(B290,Employees!$A$3:$A$500,Employees!$G$3:$G$500,""),""))*(COUNTIFS($B$3:$B$500,Employees!$A$3:$A$500,$H$3:$H$500,"Approved",$D$3:$D$500,"&lt;="&amp;E290,$E$3:$E$500,"&gt;="&amp;D290,$A$3:$A$500,"&lt;&gt;"&amp;A290)&gt;0)),0))</f>
        <v/>
      </c>
    </row>
    <row r="291">
      <c r="C291">
        <f>IFERROR(XLOOKUP(B291,Employees!$A$3:$A$500,Employees!$B$3:$B$500,""),"")</f>
        <v/>
      </c>
      <c r="I291">
        <f>IF(AND(B291&lt;&gt;"",D291&lt;&gt;"",E291&lt;&gt;""),E291-D291+1,"")</f>
        <v/>
      </c>
      <c r="J291">
        <f>IF(OR(B291="",D291="",E291=""),"",IF(OR(L291&lt;'Coverage Rules'!E7,M291&lt;'Coverage Rules'!E8,N291&lt;'Coverage Rules'!C8,O291&lt;'Coverage Rules'!E9,P291&lt;'Coverage Rules'!E10,Q291&gt;='Coverage Rules'!B16,R291&gt;='Coverage Rules'!B17,IF(S291="",FALSE,S291&gt;='Coverage Rules'!D24)),"Denied","OK"))</f>
        <v/>
      </c>
      <c r="L291">
        <f>IF(B291="","",IFERROR(SUMPRODUCT((LEN(Employees!$A$3:$A$500)&gt;0)*(Employees!$T$3:$T$500=1)*(COUNTIFS($B$3:$B$500,Employees!$A$3:$A$500,$H$3:$H$500,"Approved",$D$3:$D$500,"&lt;="&amp;E291,$E$3:$E$500,"&gt;="&amp;D291,$A$3:$A$500,"&lt;&gt;"&amp;A291)=0)),0))</f>
        <v/>
      </c>
      <c r="M291">
        <f>IF(B291="","",IFERROR(SUMPRODUCT((LEN(Employees!$A$3:$A$500)&gt;0)*(Employees!$U$3:$U$500=1)*(COUNTIFS($B$3:$B$500,Employees!$A$3:$A$500,$H$3:$H$500,"Approved",$D$3:$D$500,"&lt;="&amp;E291,$E$3:$E$500,"&gt;="&amp;D291,$A$3:$A$500,"&lt;&gt;"&amp;A291)=0)),0))</f>
        <v/>
      </c>
      <c r="N291">
        <f>IF(B291="","",IFERROR(SUMPRODUCT((LEN(Employees!$A$3:$A$500)&gt;0)*(Employees!$B$3:$B$500="Manager")*(Employees!$U$3:$U$500=1)*(COUNTIFS($B$3:$B$500,Employees!$A$3:$A$500,$H$3:$H$500,"Approved",$D$3:$D$500,"&lt;="&amp;E291,$E$3:$E$500,"&gt;="&amp;D291,$A$3:$A$500,"&lt;&gt;"&amp;A291)=0)),0))</f>
        <v/>
      </c>
      <c r="O291">
        <f>IF(B291="","",IFERROR(SUMPRODUCT((LEN(Employees!$A$3:$A$500)&gt;0)*(Employees!$V$3:$V$500=1)*(COUNTIFS($B$3:$B$500,Employees!$A$3:$A$500,$H$3:$H$500,"Approved",$D$3:$D$500,"&lt;="&amp;E291,$E$3:$E$500,"&gt;="&amp;D291,$A$3:$A$500,"&lt;&gt;"&amp;A291)=0)),0))</f>
        <v/>
      </c>
      <c r="P291">
        <f>IF(B291="","",IFERROR(SUMPRODUCT((LEN(Employees!$A$3:$A$500)&gt;0)*(Employees!$W$3:$W$500=1)*(COUNTIFS($B$3:$B$500,Employees!$A$3:$A$500,$H$3:$H$500,"Approved",$D$3:$D$500,"&lt;="&amp;E291,$E$3:$E$500,"&gt;="&amp;D291,$A$3:$A$500,"&lt;&gt;"&amp;A291)=0)),0))</f>
        <v/>
      </c>
      <c r="Q291">
        <f>IF(B291="","",IFERROR(SUMPRODUCT((LEN(Employees!$A$3:$A$500)&gt;0)*(Employees!$N$3:$N$500=1)*(COUNTIFS($B$3:$B$500,Employees!$A$3:$A$500,$H$3:$H$500,"Approved",$D$3:$D$500,"&lt;="&amp;E291,$E$3:$E$500,"&gt;="&amp;D291,$A$3:$A$500,"&lt;&gt;"&amp;A291)&gt;0)),0))</f>
        <v/>
      </c>
      <c r="R291">
        <f>IF(B291="","",IFERROR(SUMPRODUCT((LEN(Employees!$A$3:$A$500)&gt;0)*(Employees!$O$3:$O$500=1)*(COUNTIFS($B$3:$B$500,Employees!$A$3:$A$500,$H$3:$H$500,"Approved",$D$3:$D$500,"&lt;="&amp;E291,$E$3:$E$500,"&gt;="&amp;D291,$A$3:$A$500,"&lt;&gt;"&amp;A291)&gt;0)),0))</f>
        <v/>
      </c>
      <c r="S291">
        <f>IF(OR(B291="",IFERROR(XLOOKUP(B291,Employees!$A$3:$A$500,Employees!$G$3:$G$500,""),"")=""),"",IFERROR(SUMPRODUCT((LEN(Employees!$A$3:$A$500)&gt;0)*(Employees!$G$3:$G$500=IFERROR(XLOOKUP(B291,Employees!$A$3:$A$500,Employees!$G$3:$G$500,""),""))*(COUNTIFS($B$3:$B$500,Employees!$A$3:$A$500,$H$3:$H$500,"Approved",$D$3:$D$500,"&lt;="&amp;E291,$E$3:$E$500,"&gt;="&amp;D291,$A$3:$A$500,"&lt;&gt;"&amp;A291)&gt;0)),0))</f>
        <v/>
      </c>
    </row>
    <row r="292">
      <c r="C292">
        <f>IFERROR(XLOOKUP(B292,Employees!$A$3:$A$500,Employees!$B$3:$B$500,""),"")</f>
        <v/>
      </c>
      <c r="I292">
        <f>IF(AND(B292&lt;&gt;"",D292&lt;&gt;"",E292&lt;&gt;""),E292-D292+1,"")</f>
        <v/>
      </c>
      <c r="J292">
        <f>IF(OR(B292="",D292="",E292=""),"",IF(OR(L292&lt;'Coverage Rules'!E7,M292&lt;'Coverage Rules'!E8,N292&lt;'Coverage Rules'!C8,O292&lt;'Coverage Rules'!E9,P292&lt;'Coverage Rules'!E10,Q292&gt;='Coverage Rules'!B16,R292&gt;='Coverage Rules'!B17,IF(S292="",FALSE,S292&gt;='Coverage Rules'!D24)),"Denied","OK"))</f>
        <v/>
      </c>
      <c r="L292">
        <f>IF(B292="","",IFERROR(SUMPRODUCT((LEN(Employees!$A$3:$A$500)&gt;0)*(Employees!$T$3:$T$500=1)*(COUNTIFS($B$3:$B$500,Employees!$A$3:$A$500,$H$3:$H$500,"Approved",$D$3:$D$500,"&lt;="&amp;E292,$E$3:$E$500,"&gt;="&amp;D292,$A$3:$A$500,"&lt;&gt;"&amp;A292)=0)),0))</f>
        <v/>
      </c>
      <c r="M292">
        <f>IF(B292="","",IFERROR(SUMPRODUCT((LEN(Employees!$A$3:$A$500)&gt;0)*(Employees!$U$3:$U$500=1)*(COUNTIFS($B$3:$B$500,Employees!$A$3:$A$500,$H$3:$H$500,"Approved",$D$3:$D$500,"&lt;="&amp;E292,$E$3:$E$500,"&gt;="&amp;D292,$A$3:$A$500,"&lt;&gt;"&amp;A292)=0)),0))</f>
        <v/>
      </c>
      <c r="N292">
        <f>IF(B292="","",IFERROR(SUMPRODUCT((LEN(Employees!$A$3:$A$500)&gt;0)*(Employees!$B$3:$B$500="Manager")*(Employees!$U$3:$U$500=1)*(COUNTIFS($B$3:$B$500,Employees!$A$3:$A$500,$H$3:$H$500,"Approved",$D$3:$D$500,"&lt;="&amp;E292,$E$3:$E$500,"&gt;="&amp;D292,$A$3:$A$500,"&lt;&gt;"&amp;A292)=0)),0))</f>
        <v/>
      </c>
      <c r="O292">
        <f>IF(B292="","",IFERROR(SUMPRODUCT((LEN(Employees!$A$3:$A$500)&gt;0)*(Employees!$V$3:$V$500=1)*(COUNTIFS($B$3:$B$500,Employees!$A$3:$A$500,$H$3:$H$500,"Approved",$D$3:$D$500,"&lt;="&amp;E292,$E$3:$E$500,"&gt;="&amp;D292,$A$3:$A$500,"&lt;&gt;"&amp;A292)=0)),0))</f>
        <v/>
      </c>
      <c r="P292">
        <f>IF(B292="","",IFERROR(SUMPRODUCT((LEN(Employees!$A$3:$A$500)&gt;0)*(Employees!$W$3:$W$500=1)*(COUNTIFS($B$3:$B$500,Employees!$A$3:$A$500,$H$3:$H$500,"Approved",$D$3:$D$500,"&lt;="&amp;E292,$E$3:$E$500,"&gt;="&amp;D292,$A$3:$A$500,"&lt;&gt;"&amp;A292)=0)),0))</f>
        <v/>
      </c>
      <c r="Q292">
        <f>IF(B292="","",IFERROR(SUMPRODUCT((LEN(Employees!$A$3:$A$500)&gt;0)*(Employees!$N$3:$N$500=1)*(COUNTIFS($B$3:$B$500,Employees!$A$3:$A$500,$H$3:$H$500,"Approved",$D$3:$D$500,"&lt;="&amp;E292,$E$3:$E$500,"&gt;="&amp;D292,$A$3:$A$500,"&lt;&gt;"&amp;A292)&gt;0)),0))</f>
        <v/>
      </c>
      <c r="R292">
        <f>IF(B292="","",IFERROR(SUMPRODUCT((LEN(Employees!$A$3:$A$500)&gt;0)*(Employees!$O$3:$O$500=1)*(COUNTIFS($B$3:$B$500,Employees!$A$3:$A$500,$H$3:$H$500,"Approved",$D$3:$D$500,"&lt;="&amp;E292,$E$3:$E$500,"&gt;="&amp;D292,$A$3:$A$500,"&lt;&gt;"&amp;A292)&gt;0)),0))</f>
        <v/>
      </c>
      <c r="S292">
        <f>IF(OR(B292="",IFERROR(XLOOKUP(B292,Employees!$A$3:$A$500,Employees!$G$3:$G$500,""),"")=""),"",IFERROR(SUMPRODUCT((LEN(Employees!$A$3:$A$500)&gt;0)*(Employees!$G$3:$G$500=IFERROR(XLOOKUP(B292,Employees!$A$3:$A$500,Employees!$G$3:$G$500,""),""))*(COUNTIFS($B$3:$B$500,Employees!$A$3:$A$500,$H$3:$H$500,"Approved",$D$3:$D$500,"&lt;="&amp;E292,$E$3:$E$500,"&gt;="&amp;D292,$A$3:$A$500,"&lt;&gt;"&amp;A292)&gt;0)),0))</f>
        <v/>
      </c>
    </row>
    <row r="293">
      <c r="C293">
        <f>IFERROR(XLOOKUP(B293,Employees!$A$3:$A$500,Employees!$B$3:$B$500,""),"")</f>
        <v/>
      </c>
      <c r="I293">
        <f>IF(AND(B293&lt;&gt;"",D293&lt;&gt;"",E293&lt;&gt;""),E293-D293+1,"")</f>
        <v/>
      </c>
      <c r="J293">
        <f>IF(OR(B293="",D293="",E293=""),"",IF(OR(L293&lt;'Coverage Rules'!E7,M293&lt;'Coverage Rules'!E8,N293&lt;'Coverage Rules'!C8,O293&lt;'Coverage Rules'!E9,P293&lt;'Coverage Rules'!E10,Q293&gt;='Coverage Rules'!B16,R293&gt;='Coverage Rules'!B17,IF(S293="",FALSE,S293&gt;='Coverage Rules'!D24)),"Denied","OK"))</f>
        <v/>
      </c>
      <c r="L293">
        <f>IF(B293="","",IFERROR(SUMPRODUCT((LEN(Employees!$A$3:$A$500)&gt;0)*(Employees!$T$3:$T$500=1)*(COUNTIFS($B$3:$B$500,Employees!$A$3:$A$500,$H$3:$H$500,"Approved",$D$3:$D$500,"&lt;="&amp;E293,$E$3:$E$500,"&gt;="&amp;D293,$A$3:$A$500,"&lt;&gt;"&amp;A293)=0)),0))</f>
        <v/>
      </c>
      <c r="M293">
        <f>IF(B293="","",IFERROR(SUMPRODUCT((LEN(Employees!$A$3:$A$500)&gt;0)*(Employees!$U$3:$U$500=1)*(COUNTIFS($B$3:$B$500,Employees!$A$3:$A$500,$H$3:$H$500,"Approved",$D$3:$D$500,"&lt;="&amp;E293,$E$3:$E$500,"&gt;="&amp;D293,$A$3:$A$500,"&lt;&gt;"&amp;A293)=0)),0))</f>
        <v/>
      </c>
      <c r="N293">
        <f>IF(B293="","",IFERROR(SUMPRODUCT((LEN(Employees!$A$3:$A$500)&gt;0)*(Employees!$B$3:$B$500="Manager")*(Employees!$U$3:$U$500=1)*(COUNTIFS($B$3:$B$500,Employees!$A$3:$A$500,$H$3:$H$500,"Approved",$D$3:$D$500,"&lt;="&amp;E293,$E$3:$E$500,"&gt;="&amp;D293,$A$3:$A$500,"&lt;&gt;"&amp;A293)=0)),0))</f>
        <v/>
      </c>
      <c r="O293">
        <f>IF(B293="","",IFERROR(SUMPRODUCT((LEN(Employees!$A$3:$A$500)&gt;0)*(Employees!$V$3:$V$500=1)*(COUNTIFS($B$3:$B$500,Employees!$A$3:$A$500,$H$3:$H$500,"Approved",$D$3:$D$500,"&lt;="&amp;E293,$E$3:$E$500,"&gt;="&amp;D293,$A$3:$A$500,"&lt;&gt;"&amp;A293)=0)),0))</f>
        <v/>
      </c>
      <c r="P293">
        <f>IF(B293="","",IFERROR(SUMPRODUCT((LEN(Employees!$A$3:$A$500)&gt;0)*(Employees!$W$3:$W$500=1)*(COUNTIFS($B$3:$B$500,Employees!$A$3:$A$500,$H$3:$H$500,"Approved",$D$3:$D$500,"&lt;="&amp;E293,$E$3:$E$500,"&gt;="&amp;D293,$A$3:$A$500,"&lt;&gt;"&amp;A293)=0)),0))</f>
        <v/>
      </c>
      <c r="Q293">
        <f>IF(B293="","",IFERROR(SUMPRODUCT((LEN(Employees!$A$3:$A$500)&gt;0)*(Employees!$N$3:$N$500=1)*(COUNTIFS($B$3:$B$500,Employees!$A$3:$A$500,$H$3:$H$500,"Approved",$D$3:$D$500,"&lt;="&amp;E293,$E$3:$E$500,"&gt;="&amp;D293,$A$3:$A$500,"&lt;&gt;"&amp;A293)&gt;0)),0))</f>
        <v/>
      </c>
      <c r="R293">
        <f>IF(B293="","",IFERROR(SUMPRODUCT((LEN(Employees!$A$3:$A$500)&gt;0)*(Employees!$O$3:$O$500=1)*(COUNTIFS($B$3:$B$500,Employees!$A$3:$A$500,$H$3:$H$500,"Approved",$D$3:$D$500,"&lt;="&amp;E293,$E$3:$E$500,"&gt;="&amp;D293,$A$3:$A$500,"&lt;&gt;"&amp;A293)&gt;0)),0))</f>
        <v/>
      </c>
      <c r="S293">
        <f>IF(OR(B293="",IFERROR(XLOOKUP(B293,Employees!$A$3:$A$500,Employees!$G$3:$G$500,""),"")=""),"",IFERROR(SUMPRODUCT((LEN(Employees!$A$3:$A$500)&gt;0)*(Employees!$G$3:$G$500=IFERROR(XLOOKUP(B293,Employees!$A$3:$A$500,Employees!$G$3:$G$500,""),""))*(COUNTIFS($B$3:$B$500,Employees!$A$3:$A$500,$H$3:$H$500,"Approved",$D$3:$D$500,"&lt;="&amp;E293,$E$3:$E$500,"&gt;="&amp;D293,$A$3:$A$500,"&lt;&gt;"&amp;A293)&gt;0)),0))</f>
        <v/>
      </c>
    </row>
    <row r="294">
      <c r="C294">
        <f>IFERROR(XLOOKUP(B294,Employees!$A$3:$A$500,Employees!$B$3:$B$500,""),"")</f>
        <v/>
      </c>
      <c r="I294">
        <f>IF(AND(B294&lt;&gt;"",D294&lt;&gt;"",E294&lt;&gt;""),E294-D294+1,"")</f>
        <v/>
      </c>
      <c r="J294">
        <f>IF(OR(B294="",D294="",E294=""),"",IF(OR(L294&lt;'Coverage Rules'!E7,M294&lt;'Coverage Rules'!E8,N294&lt;'Coverage Rules'!C8,O294&lt;'Coverage Rules'!E9,P294&lt;'Coverage Rules'!E10,Q294&gt;='Coverage Rules'!B16,R294&gt;='Coverage Rules'!B17,IF(S294="",FALSE,S294&gt;='Coverage Rules'!D24)),"Denied","OK"))</f>
        <v/>
      </c>
      <c r="L294">
        <f>IF(B294="","",IFERROR(SUMPRODUCT((LEN(Employees!$A$3:$A$500)&gt;0)*(Employees!$T$3:$T$500=1)*(COUNTIFS($B$3:$B$500,Employees!$A$3:$A$500,$H$3:$H$500,"Approved",$D$3:$D$500,"&lt;="&amp;E294,$E$3:$E$500,"&gt;="&amp;D294,$A$3:$A$500,"&lt;&gt;"&amp;A294)=0)),0))</f>
        <v/>
      </c>
      <c r="M294">
        <f>IF(B294="","",IFERROR(SUMPRODUCT((LEN(Employees!$A$3:$A$500)&gt;0)*(Employees!$U$3:$U$500=1)*(COUNTIFS($B$3:$B$500,Employees!$A$3:$A$500,$H$3:$H$500,"Approved",$D$3:$D$500,"&lt;="&amp;E294,$E$3:$E$500,"&gt;="&amp;D294,$A$3:$A$500,"&lt;&gt;"&amp;A294)=0)),0))</f>
        <v/>
      </c>
      <c r="N294">
        <f>IF(B294="","",IFERROR(SUMPRODUCT((LEN(Employees!$A$3:$A$500)&gt;0)*(Employees!$B$3:$B$500="Manager")*(Employees!$U$3:$U$500=1)*(COUNTIFS($B$3:$B$500,Employees!$A$3:$A$500,$H$3:$H$500,"Approved",$D$3:$D$500,"&lt;="&amp;E294,$E$3:$E$500,"&gt;="&amp;D294,$A$3:$A$500,"&lt;&gt;"&amp;A294)=0)),0))</f>
        <v/>
      </c>
      <c r="O294">
        <f>IF(B294="","",IFERROR(SUMPRODUCT((LEN(Employees!$A$3:$A$500)&gt;0)*(Employees!$V$3:$V$500=1)*(COUNTIFS($B$3:$B$500,Employees!$A$3:$A$500,$H$3:$H$500,"Approved",$D$3:$D$500,"&lt;="&amp;E294,$E$3:$E$500,"&gt;="&amp;D294,$A$3:$A$500,"&lt;&gt;"&amp;A294)=0)),0))</f>
        <v/>
      </c>
      <c r="P294">
        <f>IF(B294="","",IFERROR(SUMPRODUCT((LEN(Employees!$A$3:$A$500)&gt;0)*(Employees!$W$3:$W$500=1)*(COUNTIFS($B$3:$B$500,Employees!$A$3:$A$500,$H$3:$H$500,"Approved",$D$3:$D$500,"&lt;="&amp;E294,$E$3:$E$500,"&gt;="&amp;D294,$A$3:$A$500,"&lt;&gt;"&amp;A294)=0)),0))</f>
        <v/>
      </c>
      <c r="Q294">
        <f>IF(B294="","",IFERROR(SUMPRODUCT((LEN(Employees!$A$3:$A$500)&gt;0)*(Employees!$N$3:$N$500=1)*(COUNTIFS($B$3:$B$500,Employees!$A$3:$A$500,$H$3:$H$500,"Approved",$D$3:$D$500,"&lt;="&amp;E294,$E$3:$E$500,"&gt;="&amp;D294,$A$3:$A$500,"&lt;&gt;"&amp;A294)&gt;0)),0))</f>
        <v/>
      </c>
      <c r="R294">
        <f>IF(B294="","",IFERROR(SUMPRODUCT((LEN(Employees!$A$3:$A$500)&gt;0)*(Employees!$O$3:$O$500=1)*(COUNTIFS($B$3:$B$500,Employees!$A$3:$A$500,$H$3:$H$500,"Approved",$D$3:$D$500,"&lt;="&amp;E294,$E$3:$E$500,"&gt;="&amp;D294,$A$3:$A$500,"&lt;&gt;"&amp;A294)&gt;0)),0))</f>
        <v/>
      </c>
      <c r="S294">
        <f>IF(OR(B294="",IFERROR(XLOOKUP(B294,Employees!$A$3:$A$500,Employees!$G$3:$G$500,""),"")=""),"",IFERROR(SUMPRODUCT((LEN(Employees!$A$3:$A$500)&gt;0)*(Employees!$G$3:$G$500=IFERROR(XLOOKUP(B294,Employees!$A$3:$A$500,Employees!$G$3:$G$500,""),""))*(COUNTIFS($B$3:$B$500,Employees!$A$3:$A$500,$H$3:$H$500,"Approved",$D$3:$D$500,"&lt;="&amp;E294,$E$3:$E$500,"&gt;="&amp;D294,$A$3:$A$500,"&lt;&gt;"&amp;A294)&gt;0)),0))</f>
        <v/>
      </c>
    </row>
    <row r="295">
      <c r="C295">
        <f>IFERROR(XLOOKUP(B295,Employees!$A$3:$A$500,Employees!$B$3:$B$500,""),"")</f>
        <v/>
      </c>
      <c r="I295">
        <f>IF(AND(B295&lt;&gt;"",D295&lt;&gt;"",E295&lt;&gt;""),E295-D295+1,"")</f>
        <v/>
      </c>
      <c r="J295">
        <f>IF(OR(B295="",D295="",E295=""),"",IF(OR(L295&lt;'Coverage Rules'!E7,M295&lt;'Coverage Rules'!E8,N295&lt;'Coverage Rules'!C8,O295&lt;'Coverage Rules'!E9,P295&lt;'Coverage Rules'!E10,Q295&gt;='Coverage Rules'!B16,R295&gt;='Coverage Rules'!B17,IF(S295="",FALSE,S295&gt;='Coverage Rules'!D24)),"Denied","OK"))</f>
        <v/>
      </c>
      <c r="L295">
        <f>IF(B295="","",IFERROR(SUMPRODUCT((LEN(Employees!$A$3:$A$500)&gt;0)*(Employees!$T$3:$T$500=1)*(COUNTIFS($B$3:$B$500,Employees!$A$3:$A$500,$H$3:$H$500,"Approved",$D$3:$D$500,"&lt;="&amp;E295,$E$3:$E$500,"&gt;="&amp;D295,$A$3:$A$500,"&lt;&gt;"&amp;A295)=0)),0))</f>
        <v/>
      </c>
      <c r="M295">
        <f>IF(B295="","",IFERROR(SUMPRODUCT((LEN(Employees!$A$3:$A$500)&gt;0)*(Employees!$U$3:$U$500=1)*(COUNTIFS($B$3:$B$500,Employees!$A$3:$A$500,$H$3:$H$500,"Approved",$D$3:$D$500,"&lt;="&amp;E295,$E$3:$E$500,"&gt;="&amp;D295,$A$3:$A$500,"&lt;&gt;"&amp;A295)=0)),0))</f>
        <v/>
      </c>
      <c r="N295">
        <f>IF(B295="","",IFERROR(SUMPRODUCT((LEN(Employees!$A$3:$A$500)&gt;0)*(Employees!$B$3:$B$500="Manager")*(Employees!$U$3:$U$500=1)*(COUNTIFS($B$3:$B$500,Employees!$A$3:$A$500,$H$3:$H$500,"Approved",$D$3:$D$500,"&lt;="&amp;E295,$E$3:$E$500,"&gt;="&amp;D295,$A$3:$A$500,"&lt;&gt;"&amp;A295)=0)),0))</f>
        <v/>
      </c>
      <c r="O295">
        <f>IF(B295="","",IFERROR(SUMPRODUCT((LEN(Employees!$A$3:$A$500)&gt;0)*(Employees!$V$3:$V$500=1)*(COUNTIFS($B$3:$B$500,Employees!$A$3:$A$500,$H$3:$H$500,"Approved",$D$3:$D$500,"&lt;="&amp;E295,$E$3:$E$500,"&gt;="&amp;D295,$A$3:$A$500,"&lt;&gt;"&amp;A295)=0)),0))</f>
        <v/>
      </c>
      <c r="P295">
        <f>IF(B295="","",IFERROR(SUMPRODUCT((LEN(Employees!$A$3:$A$500)&gt;0)*(Employees!$W$3:$W$500=1)*(COUNTIFS($B$3:$B$500,Employees!$A$3:$A$500,$H$3:$H$500,"Approved",$D$3:$D$500,"&lt;="&amp;E295,$E$3:$E$500,"&gt;="&amp;D295,$A$3:$A$500,"&lt;&gt;"&amp;A295)=0)),0))</f>
        <v/>
      </c>
      <c r="Q295">
        <f>IF(B295="","",IFERROR(SUMPRODUCT((LEN(Employees!$A$3:$A$500)&gt;0)*(Employees!$N$3:$N$500=1)*(COUNTIFS($B$3:$B$500,Employees!$A$3:$A$500,$H$3:$H$500,"Approved",$D$3:$D$500,"&lt;="&amp;E295,$E$3:$E$500,"&gt;="&amp;D295,$A$3:$A$500,"&lt;&gt;"&amp;A295)&gt;0)),0))</f>
        <v/>
      </c>
      <c r="R295">
        <f>IF(B295="","",IFERROR(SUMPRODUCT((LEN(Employees!$A$3:$A$500)&gt;0)*(Employees!$O$3:$O$500=1)*(COUNTIFS($B$3:$B$500,Employees!$A$3:$A$500,$H$3:$H$500,"Approved",$D$3:$D$500,"&lt;="&amp;E295,$E$3:$E$500,"&gt;="&amp;D295,$A$3:$A$500,"&lt;&gt;"&amp;A295)&gt;0)),0))</f>
        <v/>
      </c>
      <c r="S295">
        <f>IF(OR(B295="",IFERROR(XLOOKUP(B295,Employees!$A$3:$A$500,Employees!$G$3:$G$500,""),"")=""),"",IFERROR(SUMPRODUCT((LEN(Employees!$A$3:$A$500)&gt;0)*(Employees!$G$3:$G$500=IFERROR(XLOOKUP(B295,Employees!$A$3:$A$500,Employees!$G$3:$G$500,""),""))*(COUNTIFS($B$3:$B$500,Employees!$A$3:$A$500,$H$3:$H$500,"Approved",$D$3:$D$500,"&lt;="&amp;E295,$E$3:$E$500,"&gt;="&amp;D295,$A$3:$A$500,"&lt;&gt;"&amp;A295)&gt;0)),0))</f>
        <v/>
      </c>
    </row>
    <row r="296">
      <c r="C296">
        <f>IFERROR(XLOOKUP(B296,Employees!$A$3:$A$500,Employees!$B$3:$B$500,""),"")</f>
        <v/>
      </c>
      <c r="I296">
        <f>IF(AND(B296&lt;&gt;"",D296&lt;&gt;"",E296&lt;&gt;""),E296-D296+1,"")</f>
        <v/>
      </c>
      <c r="J296">
        <f>IF(OR(B296="",D296="",E296=""),"",IF(OR(L296&lt;'Coverage Rules'!E7,M296&lt;'Coverage Rules'!E8,N296&lt;'Coverage Rules'!C8,O296&lt;'Coverage Rules'!E9,P296&lt;'Coverage Rules'!E10,Q296&gt;='Coverage Rules'!B16,R296&gt;='Coverage Rules'!B17,IF(S296="",FALSE,S296&gt;='Coverage Rules'!D24)),"Denied","OK"))</f>
        <v/>
      </c>
      <c r="L296">
        <f>IF(B296="","",IFERROR(SUMPRODUCT((LEN(Employees!$A$3:$A$500)&gt;0)*(Employees!$T$3:$T$500=1)*(COUNTIFS($B$3:$B$500,Employees!$A$3:$A$500,$H$3:$H$500,"Approved",$D$3:$D$500,"&lt;="&amp;E296,$E$3:$E$500,"&gt;="&amp;D296,$A$3:$A$500,"&lt;&gt;"&amp;A296)=0)),0))</f>
        <v/>
      </c>
      <c r="M296">
        <f>IF(B296="","",IFERROR(SUMPRODUCT((LEN(Employees!$A$3:$A$500)&gt;0)*(Employees!$U$3:$U$500=1)*(COUNTIFS($B$3:$B$500,Employees!$A$3:$A$500,$H$3:$H$500,"Approved",$D$3:$D$500,"&lt;="&amp;E296,$E$3:$E$500,"&gt;="&amp;D296,$A$3:$A$500,"&lt;&gt;"&amp;A296)=0)),0))</f>
        <v/>
      </c>
      <c r="N296">
        <f>IF(B296="","",IFERROR(SUMPRODUCT((LEN(Employees!$A$3:$A$500)&gt;0)*(Employees!$B$3:$B$500="Manager")*(Employees!$U$3:$U$500=1)*(COUNTIFS($B$3:$B$500,Employees!$A$3:$A$500,$H$3:$H$500,"Approved",$D$3:$D$500,"&lt;="&amp;E296,$E$3:$E$500,"&gt;="&amp;D296,$A$3:$A$500,"&lt;&gt;"&amp;A296)=0)),0))</f>
        <v/>
      </c>
      <c r="O296">
        <f>IF(B296="","",IFERROR(SUMPRODUCT((LEN(Employees!$A$3:$A$500)&gt;0)*(Employees!$V$3:$V$500=1)*(COUNTIFS($B$3:$B$500,Employees!$A$3:$A$500,$H$3:$H$500,"Approved",$D$3:$D$500,"&lt;="&amp;E296,$E$3:$E$500,"&gt;="&amp;D296,$A$3:$A$500,"&lt;&gt;"&amp;A296)=0)),0))</f>
        <v/>
      </c>
      <c r="P296">
        <f>IF(B296="","",IFERROR(SUMPRODUCT((LEN(Employees!$A$3:$A$500)&gt;0)*(Employees!$W$3:$W$500=1)*(COUNTIFS($B$3:$B$500,Employees!$A$3:$A$500,$H$3:$H$500,"Approved",$D$3:$D$500,"&lt;="&amp;E296,$E$3:$E$500,"&gt;="&amp;D296,$A$3:$A$500,"&lt;&gt;"&amp;A296)=0)),0))</f>
        <v/>
      </c>
      <c r="Q296">
        <f>IF(B296="","",IFERROR(SUMPRODUCT((LEN(Employees!$A$3:$A$500)&gt;0)*(Employees!$N$3:$N$500=1)*(COUNTIFS($B$3:$B$500,Employees!$A$3:$A$500,$H$3:$H$500,"Approved",$D$3:$D$500,"&lt;="&amp;E296,$E$3:$E$500,"&gt;="&amp;D296,$A$3:$A$500,"&lt;&gt;"&amp;A296)&gt;0)),0))</f>
        <v/>
      </c>
      <c r="R296">
        <f>IF(B296="","",IFERROR(SUMPRODUCT((LEN(Employees!$A$3:$A$500)&gt;0)*(Employees!$O$3:$O$500=1)*(COUNTIFS($B$3:$B$500,Employees!$A$3:$A$500,$H$3:$H$500,"Approved",$D$3:$D$500,"&lt;="&amp;E296,$E$3:$E$500,"&gt;="&amp;D296,$A$3:$A$500,"&lt;&gt;"&amp;A296)&gt;0)),0))</f>
        <v/>
      </c>
      <c r="S296">
        <f>IF(OR(B296="",IFERROR(XLOOKUP(B296,Employees!$A$3:$A$500,Employees!$G$3:$G$500,""),"")=""),"",IFERROR(SUMPRODUCT((LEN(Employees!$A$3:$A$500)&gt;0)*(Employees!$G$3:$G$500=IFERROR(XLOOKUP(B296,Employees!$A$3:$A$500,Employees!$G$3:$G$500,""),""))*(COUNTIFS($B$3:$B$500,Employees!$A$3:$A$500,$H$3:$H$500,"Approved",$D$3:$D$500,"&lt;="&amp;E296,$E$3:$E$500,"&gt;="&amp;D296,$A$3:$A$500,"&lt;&gt;"&amp;A296)&gt;0)),0))</f>
        <v/>
      </c>
    </row>
    <row r="297">
      <c r="C297">
        <f>IFERROR(XLOOKUP(B297,Employees!$A$3:$A$500,Employees!$B$3:$B$500,""),"")</f>
        <v/>
      </c>
      <c r="I297">
        <f>IF(AND(B297&lt;&gt;"",D297&lt;&gt;"",E297&lt;&gt;""),E297-D297+1,"")</f>
        <v/>
      </c>
      <c r="J297">
        <f>IF(OR(B297="",D297="",E297=""),"",IF(OR(L297&lt;'Coverage Rules'!E7,M297&lt;'Coverage Rules'!E8,N297&lt;'Coverage Rules'!C8,O297&lt;'Coverage Rules'!E9,P297&lt;'Coverage Rules'!E10,Q297&gt;='Coverage Rules'!B16,R297&gt;='Coverage Rules'!B17,IF(S297="",FALSE,S297&gt;='Coverage Rules'!D24)),"Denied","OK"))</f>
        <v/>
      </c>
      <c r="L297">
        <f>IF(B297="","",IFERROR(SUMPRODUCT((LEN(Employees!$A$3:$A$500)&gt;0)*(Employees!$T$3:$T$500=1)*(COUNTIFS($B$3:$B$500,Employees!$A$3:$A$500,$H$3:$H$500,"Approved",$D$3:$D$500,"&lt;="&amp;E297,$E$3:$E$500,"&gt;="&amp;D297,$A$3:$A$500,"&lt;&gt;"&amp;A297)=0)),0))</f>
        <v/>
      </c>
      <c r="M297">
        <f>IF(B297="","",IFERROR(SUMPRODUCT((LEN(Employees!$A$3:$A$500)&gt;0)*(Employees!$U$3:$U$500=1)*(COUNTIFS($B$3:$B$500,Employees!$A$3:$A$500,$H$3:$H$500,"Approved",$D$3:$D$500,"&lt;="&amp;E297,$E$3:$E$500,"&gt;="&amp;D297,$A$3:$A$500,"&lt;&gt;"&amp;A297)=0)),0))</f>
        <v/>
      </c>
      <c r="N297">
        <f>IF(B297="","",IFERROR(SUMPRODUCT((LEN(Employees!$A$3:$A$500)&gt;0)*(Employees!$B$3:$B$500="Manager")*(Employees!$U$3:$U$500=1)*(COUNTIFS($B$3:$B$500,Employees!$A$3:$A$500,$H$3:$H$500,"Approved",$D$3:$D$500,"&lt;="&amp;E297,$E$3:$E$500,"&gt;="&amp;D297,$A$3:$A$500,"&lt;&gt;"&amp;A297)=0)),0))</f>
        <v/>
      </c>
      <c r="O297">
        <f>IF(B297="","",IFERROR(SUMPRODUCT((LEN(Employees!$A$3:$A$500)&gt;0)*(Employees!$V$3:$V$500=1)*(COUNTIFS($B$3:$B$500,Employees!$A$3:$A$500,$H$3:$H$500,"Approved",$D$3:$D$500,"&lt;="&amp;E297,$E$3:$E$500,"&gt;="&amp;D297,$A$3:$A$500,"&lt;&gt;"&amp;A297)=0)),0))</f>
        <v/>
      </c>
      <c r="P297">
        <f>IF(B297="","",IFERROR(SUMPRODUCT((LEN(Employees!$A$3:$A$500)&gt;0)*(Employees!$W$3:$W$500=1)*(COUNTIFS($B$3:$B$500,Employees!$A$3:$A$500,$H$3:$H$500,"Approved",$D$3:$D$500,"&lt;="&amp;E297,$E$3:$E$500,"&gt;="&amp;D297,$A$3:$A$500,"&lt;&gt;"&amp;A297)=0)),0))</f>
        <v/>
      </c>
      <c r="Q297">
        <f>IF(B297="","",IFERROR(SUMPRODUCT((LEN(Employees!$A$3:$A$500)&gt;0)*(Employees!$N$3:$N$500=1)*(COUNTIFS($B$3:$B$500,Employees!$A$3:$A$500,$H$3:$H$500,"Approved",$D$3:$D$500,"&lt;="&amp;E297,$E$3:$E$500,"&gt;="&amp;D297,$A$3:$A$500,"&lt;&gt;"&amp;A297)&gt;0)),0))</f>
        <v/>
      </c>
      <c r="R297">
        <f>IF(B297="","",IFERROR(SUMPRODUCT((LEN(Employees!$A$3:$A$500)&gt;0)*(Employees!$O$3:$O$500=1)*(COUNTIFS($B$3:$B$500,Employees!$A$3:$A$500,$H$3:$H$500,"Approved",$D$3:$D$500,"&lt;="&amp;E297,$E$3:$E$500,"&gt;="&amp;D297,$A$3:$A$500,"&lt;&gt;"&amp;A297)&gt;0)),0))</f>
        <v/>
      </c>
      <c r="S297">
        <f>IF(OR(B297="",IFERROR(XLOOKUP(B297,Employees!$A$3:$A$500,Employees!$G$3:$G$500,""),"")=""),"",IFERROR(SUMPRODUCT((LEN(Employees!$A$3:$A$500)&gt;0)*(Employees!$G$3:$G$500=IFERROR(XLOOKUP(B297,Employees!$A$3:$A$500,Employees!$G$3:$G$500,""),""))*(COUNTIFS($B$3:$B$500,Employees!$A$3:$A$500,$H$3:$H$500,"Approved",$D$3:$D$500,"&lt;="&amp;E297,$E$3:$E$500,"&gt;="&amp;D297,$A$3:$A$500,"&lt;&gt;"&amp;A297)&gt;0)),0))</f>
        <v/>
      </c>
    </row>
    <row r="298">
      <c r="C298">
        <f>IFERROR(XLOOKUP(B298,Employees!$A$3:$A$500,Employees!$B$3:$B$500,""),"")</f>
        <v/>
      </c>
      <c r="I298">
        <f>IF(AND(B298&lt;&gt;"",D298&lt;&gt;"",E298&lt;&gt;""),E298-D298+1,"")</f>
        <v/>
      </c>
      <c r="J298">
        <f>IF(OR(B298="",D298="",E298=""),"",IF(OR(L298&lt;'Coverage Rules'!E7,M298&lt;'Coverage Rules'!E8,N298&lt;'Coverage Rules'!C8,O298&lt;'Coverage Rules'!E9,P298&lt;'Coverage Rules'!E10,Q298&gt;='Coverage Rules'!B16,R298&gt;='Coverage Rules'!B17,IF(S298="",FALSE,S298&gt;='Coverage Rules'!D24)),"Denied","OK"))</f>
        <v/>
      </c>
      <c r="L298">
        <f>IF(B298="","",IFERROR(SUMPRODUCT((LEN(Employees!$A$3:$A$500)&gt;0)*(Employees!$T$3:$T$500=1)*(COUNTIFS($B$3:$B$500,Employees!$A$3:$A$500,$H$3:$H$500,"Approved",$D$3:$D$500,"&lt;="&amp;E298,$E$3:$E$500,"&gt;="&amp;D298,$A$3:$A$500,"&lt;&gt;"&amp;A298)=0)),0))</f>
        <v/>
      </c>
      <c r="M298">
        <f>IF(B298="","",IFERROR(SUMPRODUCT((LEN(Employees!$A$3:$A$500)&gt;0)*(Employees!$U$3:$U$500=1)*(COUNTIFS($B$3:$B$500,Employees!$A$3:$A$500,$H$3:$H$500,"Approved",$D$3:$D$500,"&lt;="&amp;E298,$E$3:$E$500,"&gt;="&amp;D298,$A$3:$A$500,"&lt;&gt;"&amp;A298)=0)),0))</f>
        <v/>
      </c>
      <c r="N298">
        <f>IF(B298="","",IFERROR(SUMPRODUCT((LEN(Employees!$A$3:$A$500)&gt;0)*(Employees!$B$3:$B$500="Manager")*(Employees!$U$3:$U$500=1)*(COUNTIFS($B$3:$B$500,Employees!$A$3:$A$500,$H$3:$H$500,"Approved",$D$3:$D$500,"&lt;="&amp;E298,$E$3:$E$500,"&gt;="&amp;D298,$A$3:$A$500,"&lt;&gt;"&amp;A298)=0)),0))</f>
        <v/>
      </c>
      <c r="O298">
        <f>IF(B298="","",IFERROR(SUMPRODUCT((LEN(Employees!$A$3:$A$500)&gt;0)*(Employees!$V$3:$V$500=1)*(COUNTIFS($B$3:$B$500,Employees!$A$3:$A$500,$H$3:$H$500,"Approved",$D$3:$D$500,"&lt;="&amp;E298,$E$3:$E$500,"&gt;="&amp;D298,$A$3:$A$500,"&lt;&gt;"&amp;A298)=0)),0))</f>
        <v/>
      </c>
      <c r="P298">
        <f>IF(B298="","",IFERROR(SUMPRODUCT((LEN(Employees!$A$3:$A$500)&gt;0)*(Employees!$W$3:$W$500=1)*(COUNTIFS($B$3:$B$500,Employees!$A$3:$A$500,$H$3:$H$500,"Approved",$D$3:$D$500,"&lt;="&amp;E298,$E$3:$E$500,"&gt;="&amp;D298,$A$3:$A$500,"&lt;&gt;"&amp;A298)=0)),0))</f>
        <v/>
      </c>
      <c r="Q298">
        <f>IF(B298="","",IFERROR(SUMPRODUCT((LEN(Employees!$A$3:$A$500)&gt;0)*(Employees!$N$3:$N$500=1)*(COUNTIFS($B$3:$B$500,Employees!$A$3:$A$500,$H$3:$H$500,"Approved",$D$3:$D$500,"&lt;="&amp;E298,$E$3:$E$500,"&gt;="&amp;D298,$A$3:$A$500,"&lt;&gt;"&amp;A298)&gt;0)),0))</f>
        <v/>
      </c>
      <c r="R298">
        <f>IF(B298="","",IFERROR(SUMPRODUCT((LEN(Employees!$A$3:$A$500)&gt;0)*(Employees!$O$3:$O$500=1)*(COUNTIFS($B$3:$B$500,Employees!$A$3:$A$500,$H$3:$H$500,"Approved",$D$3:$D$500,"&lt;="&amp;E298,$E$3:$E$500,"&gt;="&amp;D298,$A$3:$A$500,"&lt;&gt;"&amp;A298)&gt;0)),0))</f>
        <v/>
      </c>
      <c r="S298">
        <f>IF(OR(B298="",IFERROR(XLOOKUP(B298,Employees!$A$3:$A$500,Employees!$G$3:$G$500,""),"")=""),"",IFERROR(SUMPRODUCT((LEN(Employees!$A$3:$A$500)&gt;0)*(Employees!$G$3:$G$500=IFERROR(XLOOKUP(B298,Employees!$A$3:$A$500,Employees!$G$3:$G$500,""),""))*(COUNTIFS($B$3:$B$500,Employees!$A$3:$A$500,$H$3:$H$500,"Approved",$D$3:$D$500,"&lt;="&amp;E298,$E$3:$E$500,"&gt;="&amp;D298,$A$3:$A$500,"&lt;&gt;"&amp;A298)&gt;0)),0))</f>
        <v/>
      </c>
    </row>
    <row r="299">
      <c r="C299">
        <f>IFERROR(XLOOKUP(B299,Employees!$A$3:$A$500,Employees!$B$3:$B$500,""),"")</f>
        <v/>
      </c>
      <c r="I299">
        <f>IF(AND(B299&lt;&gt;"",D299&lt;&gt;"",E299&lt;&gt;""),E299-D299+1,"")</f>
        <v/>
      </c>
      <c r="J299">
        <f>IF(OR(B299="",D299="",E299=""),"",IF(OR(L299&lt;'Coverage Rules'!E7,M299&lt;'Coverage Rules'!E8,N299&lt;'Coverage Rules'!C8,O299&lt;'Coverage Rules'!E9,P299&lt;'Coverage Rules'!E10,Q299&gt;='Coverage Rules'!B16,R299&gt;='Coverage Rules'!B17,IF(S299="",FALSE,S299&gt;='Coverage Rules'!D24)),"Denied","OK"))</f>
        <v/>
      </c>
      <c r="L299">
        <f>IF(B299="","",IFERROR(SUMPRODUCT((LEN(Employees!$A$3:$A$500)&gt;0)*(Employees!$T$3:$T$500=1)*(COUNTIFS($B$3:$B$500,Employees!$A$3:$A$500,$H$3:$H$500,"Approved",$D$3:$D$500,"&lt;="&amp;E299,$E$3:$E$500,"&gt;="&amp;D299,$A$3:$A$500,"&lt;&gt;"&amp;A299)=0)),0))</f>
        <v/>
      </c>
      <c r="M299">
        <f>IF(B299="","",IFERROR(SUMPRODUCT((LEN(Employees!$A$3:$A$500)&gt;0)*(Employees!$U$3:$U$500=1)*(COUNTIFS($B$3:$B$500,Employees!$A$3:$A$500,$H$3:$H$500,"Approved",$D$3:$D$500,"&lt;="&amp;E299,$E$3:$E$500,"&gt;="&amp;D299,$A$3:$A$500,"&lt;&gt;"&amp;A299)=0)),0))</f>
        <v/>
      </c>
      <c r="N299">
        <f>IF(B299="","",IFERROR(SUMPRODUCT((LEN(Employees!$A$3:$A$500)&gt;0)*(Employees!$B$3:$B$500="Manager")*(Employees!$U$3:$U$500=1)*(COUNTIFS($B$3:$B$500,Employees!$A$3:$A$500,$H$3:$H$500,"Approved",$D$3:$D$500,"&lt;="&amp;E299,$E$3:$E$500,"&gt;="&amp;D299,$A$3:$A$500,"&lt;&gt;"&amp;A299)=0)),0))</f>
        <v/>
      </c>
      <c r="O299">
        <f>IF(B299="","",IFERROR(SUMPRODUCT((LEN(Employees!$A$3:$A$500)&gt;0)*(Employees!$V$3:$V$500=1)*(COUNTIFS($B$3:$B$500,Employees!$A$3:$A$500,$H$3:$H$500,"Approved",$D$3:$D$500,"&lt;="&amp;E299,$E$3:$E$500,"&gt;="&amp;D299,$A$3:$A$500,"&lt;&gt;"&amp;A299)=0)),0))</f>
        <v/>
      </c>
      <c r="P299">
        <f>IF(B299="","",IFERROR(SUMPRODUCT((LEN(Employees!$A$3:$A$500)&gt;0)*(Employees!$W$3:$W$500=1)*(COUNTIFS($B$3:$B$500,Employees!$A$3:$A$500,$H$3:$H$500,"Approved",$D$3:$D$500,"&lt;="&amp;E299,$E$3:$E$500,"&gt;="&amp;D299,$A$3:$A$500,"&lt;&gt;"&amp;A299)=0)),0))</f>
        <v/>
      </c>
      <c r="Q299">
        <f>IF(B299="","",IFERROR(SUMPRODUCT((LEN(Employees!$A$3:$A$500)&gt;0)*(Employees!$N$3:$N$500=1)*(COUNTIFS($B$3:$B$500,Employees!$A$3:$A$500,$H$3:$H$500,"Approved",$D$3:$D$500,"&lt;="&amp;E299,$E$3:$E$500,"&gt;="&amp;D299,$A$3:$A$500,"&lt;&gt;"&amp;A299)&gt;0)),0))</f>
        <v/>
      </c>
      <c r="R299">
        <f>IF(B299="","",IFERROR(SUMPRODUCT((LEN(Employees!$A$3:$A$500)&gt;0)*(Employees!$O$3:$O$500=1)*(COUNTIFS($B$3:$B$500,Employees!$A$3:$A$500,$H$3:$H$500,"Approved",$D$3:$D$500,"&lt;="&amp;E299,$E$3:$E$500,"&gt;="&amp;D299,$A$3:$A$500,"&lt;&gt;"&amp;A299)&gt;0)),0))</f>
        <v/>
      </c>
      <c r="S299">
        <f>IF(OR(B299="",IFERROR(XLOOKUP(B299,Employees!$A$3:$A$500,Employees!$G$3:$G$500,""),"")=""),"",IFERROR(SUMPRODUCT((LEN(Employees!$A$3:$A$500)&gt;0)*(Employees!$G$3:$G$500=IFERROR(XLOOKUP(B299,Employees!$A$3:$A$500,Employees!$G$3:$G$500,""),""))*(COUNTIFS($B$3:$B$500,Employees!$A$3:$A$500,$H$3:$H$500,"Approved",$D$3:$D$500,"&lt;="&amp;E299,$E$3:$E$500,"&gt;="&amp;D299,$A$3:$A$500,"&lt;&gt;"&amp;A299)&gt;0)),0))</f>
        <v/>
      </c>
    </row>
    <row r="300">
      <c r="C300">
        <f>IFERROR(XLOOKUP(B300,Employees!$A$3:$A$500,Employees!$B$3:$B$500,""),"")</f>
        <v/>
      </c>
      <c r="I300">
        <f>IF(AND(B300&lt;&gt;"",D300&lt;&gt;"",E300&lt;&gt;""),E300-D300+1,"")</f>
        <v/>
      </c>
      <c r="J300">
        <f>IF(OR(B300="",D300="",E300=""),"",IF(OR(L300&lt;'Coverage Rules'!E7,M300&lt;'Coverage Rules'!E8,N300&lt;'Coverage Rules'!C8,O300&lt;'Coverage Rules'!E9,P300&lt;'Coverage Rules'!E10,Q300&gt;='Coverage Rules'!B16,R300&gt;='Coverage Rules'!B17,IF(S300="",FALSE,S300&gt;='Coverage Rules'!D24)),"Denied","OK"))</f>
        <v/>
      </c>
      <c r="L300">
        <f>IF(B300="","",IFERROR(SUMPRODUCT((LEN(Employees!$A$3:$A$500)&gt;0)*(Employees!$T$3:$T$500=1)*(COUNTIFS($B$3:$B$500,Employees!$A$3:$A$500,$H$3:$H$500,"Approved",$D$3:$D$500,"&lt;="&amp;E300,$E$3:$E$500,"&gt;="&amp;D300,$A$3:$A$500,"&lt;&gt;"&amp;A300)=0)),0))</f>
        <v/>
      </c>
      <c r="M300">
        <f>IF(B300="","",IFERROR(SUMPRODUCT((LEN(Employees!$A$3:$A$500)&gt;0)*(Employees!$U$3:$U$500=1)*(COUNTIFS($B$3:$B$500,Employees!$A$3:$A$500,$H$3:$H$500,"Approved",$D$3:$D$500,"&lt;="&amp;E300,$E$3:$E$500,"&gt;="&amp;D300,$A$3:$A$500,"&lt;&gt;"&amp;A300)=0)),0))</f>
        <v/>
      </c>
      <c r="N300">
        <f>IF(B300="","",IFERROR(SUMPRODUCT((LEN(Employees!$A$3:$A$500)&gt;0)*(Employees!$B$3:$B$500="Manager")*(Employees!$U$3:$U$500=1)*(COUNTIFS($B$3:$B$500,Employees!$A$3:$A$500,$H$3:$H$500,"Approved",$D$3:$D$500,"&lt;="&amp;E300,$E$3:$E$500,"&gt;="&amp;D300,$A$3:$A$500,"&lt;&gt;"&amp;A300)=0)),0))</f>
        <v/>
      </c>
      <c r="O300">
        <f>IF(B300="","",IFERROR(SUMPRODUCT((LEN(Employees!$A$3:$A$500)&gt;0)*(Employees!$V$3:$V$500=1)*(COUNTIFS($B$3:$B$500,Employees!$A$3:$A$500,$H$3:$H$500,"Approved",$D$3:$D$500,"&lt;="&amp;E300,$E$3:$E$500,"&gt;="&amp;D300,$A$3:$A$500,"&lt;&gt;"&amp;A300)=0)),0))</f>
        <v/>
      </c>
      <c r="P300">
        <f>IF(B300="","",IFERROR(SUMPRODUCT((LEN(Employees!$A$3:$A$500)&gt;0)*(Employees!$W$3:$W$500=1)*(COUNTIFS($B$3:$B$500,Employees!$A$3:$A$500,$H$3:$H$500,"Approved",$D$3:$D$500,"&lt;="&amp;E300,$E$3:$E$500,"&gt;="&amp;D300,$A$3:$A$500,"&lt;&gt;"&amp;A300)=0)),0))</f>
        <v/>
      </c>
      <c r="Q300">
        <f>IF(B300="","",IFERROR(SUMPRODUCT((LEN(Employees!$A$3:$A$500)&gt;0)*(Employees!$N$3:$N$500=1)*(COUNTIFS($B$3:$B$500,Employees!$A$3:$A$500,$H$3:$H$500,"Approved",$D$3:$D$500,"&lt;="&amp;E300,$E$3:$E$500,"&gt;="&amp;D300,$A$3:$A$500,"&lt;&gt;"&amp;A300)&gt;0)),0))</f>
        <v/>
      </c>
      <c r="R300">
        <f>IF(B300="","",IFERROR(SUMPRODUCT((LEN(Employees!$A$3:$A$500)&gt;0)*(Employees!$O$3:$O$500=1)*(COUNTIFS($B$3:$B$500,Employees!$A$3:$A$500,$H$3:$H$500,"Approved",$D$3:$D$500,"&lt;="&amp;E300,$E$3:$E$500,"&gt;="&amp;D300,$A$3:$A$500,"&lt;&gt;"&amp;A300)&gt;0)),0))</f>
        <v/>
      </c>
      <c r="S300">
        <f>IF(OR(B300="",IFERROR(XLOOKUP(B300,Employees!$A$3:$A$500,Employees!$G$3:$G$500,""),"")=""),"",IFERROR(SUMPRODUCT((LEN(Employees!$A$3:$A$500)&gt;0)*(Employees!$G$3:$G$500=IFERROR(XLOOKUP(B300,Employees!$A$3:$A$500,Employees!$G$3:$G$500,""),""))*(COUNTIFS($B$3:$B$500,Employees!$A$3:$A$500,$H$3:$H$500,"Approved",$D$3:$D$500,"&lt;="&amp;E300,$E$3:$E$500,"&gt;="&amp;D300,$A$3:$A$500,"&lt;&gt;"&amp;A300)&gt;0)),0))</f>
        <v/>
      </c>
    </row>
    <row r="301">
      <c r="C301">
        <f>IFERROR(XLOOKUP(B301,Employees!$A$3:$A$500,Employees!$B$3:$B$500,""),"")</f>
        <v/>
      </c>
      <c r="I301">
        <f>IF(AND(B301&lt;&gt;"",D301&lt;&gt;"",E301&lt;&gt;""),E301-D301+1,"")</f>
        <v/>
      </c>
      <c r="J301">
        <f>IF(OR(B301="",D301="",E301=""),"",IF(OR(L301&lt;'Coverage Rules'!E7,M301&lt;'Coverage Rules'!E8,N301&lt;'Coverage Rules'!C8,O301&lt;'Coverage Rules'!E9,P301&lt;'Coverage Rules'!E10,Q301&gt;='Coverage Rules'!B16,R301&gt;='Coverage Rules'!B17,IF(S301="",FALSE,S301&gt;='Coverage Rules'!D24)),"Denied","OK"))</f>
        <v/>
      </c>
      <c r="L301">
        <f>IF(B301="","",IFERROR(SUMPRODUCT((LEN(Employees!$A$3:$A$500)&gt;0)*(Employees!$T$3:$T$500=1)*(COUNTIFS($B$3:$B$500,Employees!$A$3:$A$500,$H$3:$H$500,"Approved",$D$3:$D$500,"&lt;="&amp;E301,$E$3:$E$500,"&gt;="&amp;D301,$A$3:$A$500,"&lt;&gt;"&amp;A301)=0)),0))</f>
        <v/>
      </c>
      <c r="M301">
        <f>IF(B301="","",IFERROR(SUMPRODUCT((LEN(Employees!$A$3:$A$500)&gt;0)*(Employees!$U$3:$U$500=1)*(COUNTIFS($B$3:$B$500,Employees!$A$3:$A$500,$H$3:$H$500,"Approved",$D$3:$D$500,"&lt;="&amp;E301,$E$3:$E$500,"&gt;="&amp;D301,$A$3:$A$500,"&lt;&gt;"&amp;A301)=0)),0))</f>
        <v/>
      </c>
      <c r="N301">
        <f>IF(B301="","",IFERROR(SUMPRODUCT((LEN(Employees!$A$3:$A$500)&gt;0)*(Employees!$B$3:$B$500="Manager")*(Employees!$U$3:$U$500=1)*(COUNTIFS($B$3:$B$500,Employees!$A$3:$A$500,$H$3:$H$500,"Approved",$D$3:$D$500,"&lt;="&amp;E301,$E$3:$E$500,"&gt;="&amp;D301,$A$3:$A$500,"&lt;&gt;"&amp;A301)=0)),0))</f>
        <v/>
      </c>
      <c r="O301">
        <f>IF(B301="","",IFERROR(SUMPRODUCT((LEN(Employees!$A$3:$A$500)&gt;0)*(Employees!$V$3:$V$500=1)*(COUNTIFS($B$3:$B$500,Employees!$A$3:$A$500,$H$3:$H$500,"Approved",$D$3:$D$500,"&lt;="&amp;E301,$E$3:$E$500,"&gt;="&amp;D301,$A$3:$A$500,"&lt;&gt;"&amp;A301)=0)),0))</f>
        <v/>
      </c>
      <c r="P301">
        <f>IF(B301="","",IFERROR(SUMPRODUCT((LEN(Employees!$A$3:$A$500)&gt;0)*(Employees!$W$3:$W$500=1)*(COUNTIFS($B$3:$B$500,Employees!$A$3:$A$500,$H$3:$H$500,"Approved",$D$3:$D$500,"&lt;="&amp;E301,$E$3:$E$500,"&gt;="&amp;D301,$A$3:$A$500,"&lt;&gt;"&amp;A301)=0)),0))</f>
        <v/>
      </c>
      <c r="Q301">
        <f>IF(B301="","",IFERROR(SUMPRODUCT((LEN(Employees!$A$3:$A$500)&gt;0)*(Employees!$N$3:$N$500=1)*(COUNTIFS($B$3:$B$500,Employees!$A$3:$A$500,$H$3:$H$500,"Approved",$D$3:$D$500,"&lt;="&amp;E301,$E$3:$E$500,"&gt;="&amp;D301,$A$3:$A$500,"&lt;&gt;"&amp;A301)&gt;0)),0))</f>
        <v/>
      </c>
      <c r="R301">
        <f>IF(B301="","",IFERROR(SUMPRODUCT((LEN(Employees!$A$3:$A$500)&gt;0)*(Employees!$O$3:$O$500=1)*(COUNTIFS($B$3:$B$500,Employees!$A$3:$A$500,$H$3:$H$500,"Approved",$D$3:$D$500,"&lt;="&amp;E301,$E$3:$E$500,"&gt;="&amp;D301,$A$3:$A$500,"&lt;&gt;"&amp;A301)&gt;0)),0))</f>
        <v/>
      </c>
      <c r="S301">
        <f>IF(OR(B301="",IFERROR(XLOOKUP(B301,Employees!$A$3:$A$500,Employees!$G$3:$G$500,""),"")=""),"",IFERROR(SUMPRODUCT((LEN(Employees!$A$3:$A$500)&gt;0)*(Employees!$G$3:$G$500=IFERROR(XLOOKUP(B301,Employees!$A$3:$A$500,Employees!$G$3:$G$500,""),""))*(COUNTIFS($B$3:$B$500,Employees!$A$3:$A$500,$H$3:$H$500,"Approved",$D$3:$D$500,"&lt;="&amp;E301,$E$3:$E$500,"&gt;="&amp;D301,$A$3:$A$500,"&lt;&gt;"&amp;A301)&gt;0)),0))</f>
        <v/>
      </c>
    </row>
    <row r="302">
      <c r="C302">
        <f>IFERROR(XLOOKUP(B302,Employees!$A$3:$A$500,Employees!$B$3:$B$500,""),"")</f>
        <v/>
      </c>
      <c r="I302">
        <f>IF(AND(B302&lt;&gt;"",D302&lt;&gt;"",E302&lt;&gt;""),E302-D302+1,"")</f>
        <v/>
      </c>
      <c r="J302">
        <f>IF(OR(B302="",D302="",E302=""),"",IF(OR(L302&lt;'Coverage Rules'!E7,M302&lt;'Coverage Rules'!E8,N302&lt;'Coverage Rules'!C8,O302&lt;'Coverage Rules'!E9,P302&lt;'Coverage Rules'!E10,Q302&gt;='Coverage Rules'!B16,R302&gt;='Coverage Rules'!B17,IF(S302="",FALSE,S302&gt;='Coverage Rules'!D24)),"Denied","OK"))</f>
        <v/>
      </c>
      <c r="L302">
        <f>IF(B302="","",IFERROR(SUMPRODUCT((LEN(Employees!$A$3:$A$500)&gt;0)*(Employees!$T$3:$T$500=1)*(COUNTIFS($B$3:$B$500,Employees!$A$3:$A$500,$H$3:$H$500,"Approved",$D$3:$D$500,"&lt;="&amp;E302,$E$3:$E$500,"&gt;="&amp;D302,$A$3:$A$500,"&lt;&gt;"&amp;A302)=0)),0))</f>
        <v/>
      </c>
      <c r="M302">
        <f>IF(B302="","",IFERROR(SUMPRODUCT((LEN(Employees!$A$3:$A$500)&gt;0)*(Employees!$U$3:$U$500=1)*(COUNTIFS($B$3:$B$500,Employees!$A$3:$A$500,$H$3:$H$500,"Approved",$D$3:$D$500,"&lt;="&amp;E302,$E$3:$E$500,"&gt;="&amp;D302,$A$3:$A$500,"&lt;&gt;"&amp;A302)=0)),0))</f>
        <v/>
      </c>
      <c r="N302">
        <f>IF(B302="","",IFERROR(SUMPRODUCT((LEN(Employees!$A$3:$A$500)&gt;0)*(Employees!$B$3:$B$500="Manager")*(Employees!$U$3:$U$500=1)*(COUNTIFS($B$3:$B$500,Employees!$A$3:$A$500,$H$3:$H$500,"Approved",$D$3:$D$500,"&lt;="&amp;E302,$E$3:$E$500,"&gt;="&amp;D302,$A$3:$A$500,"&lt;&gt;"&amp;A302)=0)),0))</f>
        <v/>
      </c>
      <c r="O302">
        <f>IF(B302="","",IFERROR(SUMPRODUCT((LEN(Employees!$A$3:$A$500)&gt;0)*(Employees!$V$3:$V$500=1)*(COUNTIFS($B$3:$B$500,Employees!$A$3:$A$500,$H$3:$H$500,"Approved",$D$3:$D$500,"&lt;="&amp;E302,$E$3:$E$500,"&gt;="&amp;D302,$A$3:$A$500,"&lt;&gt;"&amp;A302)=0)),0))</f>
        <v/>
      </c>
      <c r="P302">
        <f>IF(B302="","",IFERROR(SUMPRODUCT((LEN(Employees!$A$3:$A$500)&gt;0)*(Employees!$W$3:$W$500=1)*(COUNTIFS($B$3:$B$500,Employees!$A$3:$A$500,$H$3:$H$500,"Approved",$D$3:$D$500,"&lt;="&amp;E302,$E$3:$E$500,"&gt;="&amp;D302,$A$3:$A$500,"&lt;&gt;"&amp;A302)=0)),0))</f>
        <v/>
      </c>
      <c r="Q302">
        <f>IF(B302="","",IFERROR(SUMPRODUCT((LEN(Employees!$A$3:$A$500)&gt;0)*(Employees!$N$3:$N$500=1)*(COUNTIFS($B$3:$B$500,Employees!$A$3:$A$500,$H$3:$H$500,"Approved",$D$3:$D$500,"&lt;="&amp;E302,$E$3:$E$500,"&gt;="&amp;D302,$A$3:$A$500,"&lt;&gt;"&amp;A302)&gt;0)),0))</f>
        <v/>
      </c>
      <c r="R302">
        <f>IF(B302="","",IFERROR(SUMPRODUCT((LEN(Employees!$A$3:$A$500)&gt;0)*(Employees!$O$3:$O$500=1)*(COUNTIFS($B$3:$B$500,Employees!$A$3:$A$500,$H$3:$H$500,"Approved",$D$3:$D$500,"&lt;="&amp;E302,$E$3:$E$500,"&gt;="&amp;D302,$A$3:$A$500,"&lt;&gt;"&amp;A302)&gt;0)),0))</f>
        <v/>
      </c>
      <c r="S302">
        <f>IF(OR(B302="",IFERROR(XLOOKUP(B302,Employees!$A$3:$A$500,Employees!$G$3:$G$500,""),"")=""),"",IFERROR(SUMPRODUCT((LEN(Employees!$A$3:$A$500)&gt;0)*(Employees!$G$3:$G$500=IFERROR(XLOOKUP(B302,Employees!$A$3:$A$500,Employees!$G$3:$G$500,""),""))*(COUNTIFS($B$3:$B$500,Employees!$A$3:$A$500,$H$3:$H$500,"Approved",$D$3:$D$500,"&lt;="&amp;E302,$E$3:$E$500,"&gt;="&amp;D302,$A$3:$A$500,"&lt;&gt;"&amp;A302)&gt;0)),0))</f>
        <v/>
      </c>
    </row>
    <row r="303">
      <c r="C303">
        <f>IFERROR(XLOOKUP(B303,Employees!$A$3:$A$500,Employees!$B$3:$B$500,""),"")</f>
        <v/>
      </c>
      <c r="I303">
        <f>IF(AND(B303&lt;&gt;"",D303&lt;&gt;"",E303&lt;&gt;""),E303-D303+1,"")</f>
        <v/>
      </c>
      <c r="J303">
        <f>IF(OR(B303="",D303="",E303=""),"",IF(OR(L303&lt;'Coverage Rules'!E7,M303&lt;'Coverage Rules'!E8,N303&lt;'Coverage Rules'!C8,O303&lt;'Coverage Rules'!E9,P303&lt;'Coverage Rules'!E10,Q303&gt;='Coverage Rules'!B16,R303&gt;='Coverage Rules'!B17,IF(S303="",FALSE,S303&gt;='Coverage Rules'!D24)),"Denied","OK"))</f>
        <v/>
      </c>
      <c r="L303">
        <f>IF(B303="","",IFERROR(SUMPRODUCT((LEN(Employees!$A$3:$A$500)&gt;0)*(Employees!$T$3:$T$500=1)*(COUNTIFS($B$3:$B$500,Employees!$A$3:$A$500,$H$3:$H$500,"Approved",$D$3:$D$500,"&lt;="&amp;E303,$E$3:$E$500,"&gt;="&amp;D303,$A$3:$A$500,"&lt;&gt;"&amp;A303)=0)),0))</f>
        <v/>
      </c>
      <c r="M303">
        <f>IF(B303="","",IFERROR(SUMPRODUCT((LEN(Employees!$A$3:$A$500)&gt;0)*(Employees!$U$3:$U$500=1)*(COUNTIFS($B$3:$B$500,Employees!$A$3:$A$500,$H$3:$H$500,"Approved",$D$3:$D$500,"&lt;="&amp;E303,$E$3:$E$500,"&gt;="&amp;D303,$A$3:$A$500,"&lt;&gt;"&amp;A303)=0)),0))</f>
        <v/>
      </c>
      <c r="N303">
        <f>IF(B303="","",IFERROR(SUMPRODUCT((LEN(Employees!$A$3:$A$500)&gt;0)*(Employees!$B$3:$B$500="Manager")*(Employees!$U$3:$U$500=1)*(COUNTIFS($B$3:$B$500,Employees!$A$3:$A$500,$H$3:$H$500,"Approved",$D$3:$D$500,"&lt;="&amp;E303,$E$3:$E$500,"&gt;="&amp;D303,$A$3:$A$500,"&lt;&gt;"&amp;A303)=0)),0))</f>
        <v/>
      </c>
      <c r="O303">
        <f>IF(B303="","",IFERROR(SUMPRODUCT((LEN(Employees!$A$3:$A$500)&gt;0)*(Employees!$V$3:$V$500=1)*(COUNTIFS($B$3:$B$500,Employees!$A$3:$A$500,$H$3:$H$500,"Approved",$D$3:$D$500,"&lt;="&amp;E303,$E$3:$E$500,"&gt;="&amp;D303,$A$3:$A$500,"&lt;&gt;"&amp;A303)=0)),0))</f>
        <v/>
      </c>
      <c r="P303">
        <f>IF(B303="","",IFERROR(SUMPRODUCT((LEN(Employees!$A$3:$A$500)&gt;0)*(Employees!$W$3:$W$500=1)*(COUNTIFS($B$3:$B$500,Employees!$A$3:$A$500,$H$3:$H$500,"Approved",$D$3:$D$500,"&lt;="&amp;E303,$E$3:$E$500,"&gt;="&amp;D303,$A$3:$A$500,"&lt;&gt;"&amp;A303)=0)),0))</f>
        <v/>
      </c>
      <c r="Q303">
        <f>IF(B303="","",IFERROR(SUMPRODUCT((LEN(Employees!$A$3:$A$500)&gt;0)*(Employees!$N$3:$N$500=1)*(COUNTIFS($B$3:$B$500,Employees!$A$3:$A$500,$H$3:$H$500,"Approved",$D$3:$D$500,"&lt;="&amp;E303,$E$3:$E$500,"&gt;="&amp;D303,$A$3:$A$500,"&lt;&gt;"&amp;A303)&gt;0)),0))</f>
        <v/>
      </c>
      <c r="R303">
        <f>IF(B303="","",IFERROR(SUMPRODUCT((LEN(Employees!$A$3:$A$500)&gt;0)*(Employees!$O$3:$O$500=1)*(COUNTIFS($B$3:$B$500,Employees!$A$3:$A$500,$H$3:$H$500,"Approved",$D$3:$D$500,"&lt;="&amp;E303,$E$3:$E$500,"&gt;="&amp;D303,$A$3:$A$500,"&lt;&gt;"&amp;A303)&gt;0)),0))</f>
        <v/>
      </c>
      <c r="S303">
        <f>IF(OR(B303="",IFERROR(XLOOKUP(B303,Employees!$A$3:$A$500,Employees!$G$3:$G$500,""),"")=""),"",IFERROR(SUMPRODUCT((LEN(Employees!$A$3:$A$500)&gt;0)*(Employees!$G$3:$G$500=IFERROR(XLOOKUP(B303,Employees!$A$3:$A$500,Employees!$G$3:$G$500,""),""))*(COUNTIFS($B$3:$B$500,Employees!$A$3:$A$500,$H$3:$H$500,"Approved",$D$3:$D$500,"&lt;="&amp;E303,$E$3:$E$500,"&gt;="&amp;D303,$A$3:$A$500,"&lt;&gt;"&amp;A303)&gt;0)),0))</f>
        <v/>
      </c>
    </row>
    <row r="304">
      <c r="C304">
        <f>IFERROR(XLOOKUP(B304,Employees!$A$3:$A$500,Employees!$B$3:$B$500,""),"")</f>
        <v/>
      </c>
      <c r="I304">
        <f>IF(AND(B304&lt;&gt;"",D304&lt;&gt;"",E304&lt;&gt;""),E304-D304+1,"")</f>
        <v/>
      </c>
      <c r="J304">
        <f>IF(OR(B304="",D304="",E304=""),"",IF(OR(L304&lt;'Coverage Rules'!E7,M304&lt;'Coverage Rules'!E8,N304&lt;'Coverage Rules'!C8,O304&lt;'Coverage Rules'!E9,P304&lt;'Coverage Rules'!E10,Q304&gt;='Coverage Rules'!B16,R304&gt;='Coverage Rules'!B17,IF(S304="",FALSE,S304&gt;='Coverage Rules'!D24)),"Denied","OK"))</f>
        <v/>
      </c>
      <c r="L304">
        <f>IF(B304="","",IFERROR(SUMPRODUCT((LEN(Employees!$A$3:$A$500)&gt;0)*(Employees!$T$3:$T$500=1)*(COUNTIFS($B$3:$B$500,Employees!$A$3:$A$500,$H$3:$H$500,"Approved",$D$3:$D$500,"&lt;="&amp;E304,$E$3:$E$500,"&gt;="&amp;D304,$A$3:$A$500,"&lt;&gt;"&amp;A304)=0)),0))</f>
        <v/>
      </c>
      <c r="M304">
        <f>IF(B304="","",IFERROR(SUMPRODUCT((LEN(Employees!$A$3:$A$500)&gt;0)*(Employees!$U$3:$U$500=1)*(COUNTIFS($B$3:$B$500,Employees!$A$3:$A$500,$H$3:$H$500,"Approved",$D$3:$D$500,"&lt;="&amp;E304,$E$3:$E$500,"&gt;="&amp;D304,$A$3:$A$500,"&lt;&gt;"&amp;A304)=0)),0))</f>
        <v/>
      </c>
      <c r="N304">
        <f>IF(B304="","",IFERROR(SUMPRODUCT((LEN(Employees!$A$3:$A$500)&gt;0)*(Employees!$B$3:$B$500="Manager")*(Employees!$U$3:$U$500=1)*(COUNTIFS($B$3:$B$500,Employees!$A$3:$A$500,$H$3:$H$500,"Approved",$D$3:$D$500,"&lt;="&amp;E304,$E$3:$E$500,"&gt;="&amp;D304,$A$3:$A$500,"&lt;&gt;"&amp;A304)=0)),0))</f>
        <v/>
      </c>
      <c r="O304">
        <f>IF(B304="","",IFERROR(SUMPRODUCT((LEN(Employees!$A$3:$A$500)&gt;0)*(Employees!$V$3:$V$500=1)*(COUNTIFS($B$3:$B$500,Employees!$A$3:$A$500,$H$3:$H$500,"Approved",$D$3:$D$500,"&lt;="&amp;E304,$E$3:$E$500,"&gt;="&amp;D304,$A$3:$A$500,"&lt;&gt;"&amp;A304)=0)),0))</f>
        <v/>
      </c>
      <c r="P304">
        <f>IF(B304="","",IFERROR(SUMPRODUCT((LEN(Employees!$A$3:$A$500)&gt;0)*(Employees!$W$3:$W$500=1)*(COUNTIFS($B$3:$B$500,Employees!$A$3:$A$500,$H$3:$H$500,"Approved",$D$3:$D$500,"&lt;="&amp;E304,$E$3:$E$500,"&gt;="&amp;D304,$A$3:$A$500,"&lt;&gt;"&amp;A304)=0)),0))</f>
        <v/>
      </c>
      <c r="Q304">
        <f>IF(B304="","",IFERROR(SUMPRODUCT((LEN(Employees!$A$3:$A$500)&gt;0)*(Employees!$N$3:$N$500=1)*(COUNTIFS($B$3:$B$500,Employees!$A$3:$A$500,$H$3:$H$500,"Approved",$D$3:$D$500,"&lt;="&amp;E304,$E$3:$E$500,"&gt;="&amp;D304,$A$3:$A$500,"&lt;&gt;"&amp;A304)&gt;0)),0))</f>
        <v/>
      </c>
      <c r="R304">
        <f>IF(B304="","",IFERROR(SUMPRODUCT((LEN(Employees!$A$3:$A$500)&gt;0)*(Employees!$O$3:$O$500=1)*(COUNTIFS($B$3:$B$500,Employees!$A$3:$A$500,$H$3:$H$500,"Approved",$D$3:$D$500,"&lt;="&amp;E304,$E$3:$E$500,"&gt;="&amp;D304,$A$3:$A$500,"&lt;&gt;"&amp;A304)&gt;0)),0))</f>
        <v/>
      </c>
      <c r="S304">
        <f>IF(OR(B304="",IFERROR(XLOOKUP(B304,Employees!$A$3:$A$500,Employees!$G$3:$G$500,""),"")=""),"",IFERROR(SUMPRODUCT((LEN(Employees!$A$3:$A$500)&gt;0)*(Employees!$G$3:$G$500=IFERROR(XLOOKUP(B304,Employees!$A$3:$A$500,Employees!$G$3:$G$500,""),""))*(COUNTIFS($B$3:$B$500,Employees!$A$3:$A$500,$H$3:$H$500,"Approved",$D$3:$D$500,"&lt;="&amp;E304,$E$3:$E$500,"&gt;="&amp;D304,$A$3:$A$500,"&lt;&gt;"&amp;A304)&gt;0)),0))</f>
        <v/>
      </c>
    </row>
    <row r="305">
      <c r="C305">
        <f>IFERROR(XLOOKUP(B305,Employees!$A$3:$A$500,Employees!$B$3:$B$500,""),"")</f>
        <v/>
      </c>
      <c r="I305">
        <f>IF(AND(B305&lt;&gt;"",D305&lt;&gt;"",E305&lt;&gt;""),E305-D305+1,"")</f>
        <v/>
      </c>
      <c r="J305">
        <f>IF(OR(B305="",D305="",E305=""),"",IF(OR(L305&lt;'Coverage Rules'!E7,M305&lt;'Coverage Rules'!E8,N305&lt;'Coverage Rules'!C8,O305&lt;'Coverage Rules'!E9,P305&lt;'Coverage Rules'!E10,Q305&gt;='Coverage Rules'!B16,R305&gt;='Coverage Rules'!B17,IF(S305="",FALSE,S305&gt;='Coverage Rules'!D24)),"Denied","OK"))</f>
        <v/>
      </c>
      <c r="L305">
        <f>IF(B305="","",IFERROR(SUMPRODUCT((LEN(Employees!$A$3:$A$500)&gt;0)*(Employees!$T$3:$T$500=1)*(COUNTIFS($B$3:$B$500,Employees!$A$3:$A$500,$H$3:$H$500,"Approved",$D$3:$D$500,"&lt;="&amp;E305,$E$3:$E$500,"&gt;="&amp;D305,$A$3:$A$500,"&lt;&gt;"&amp;A305)=0)),0))</f>
        <v/>
      </c>
      <c r="M305">
        <f>IF(B305="","",IFERROR(SUMPRODUCT((LEN(Employees!$A$3:$A$500)&gt;0)*(Employees!$U$3:$U$500=1)*(COUNTIFS($B$3:$B$500,Employees!$A$3:$A$500,$H$3:$H$500,"Approved",$D$3:$D$500,"&lt;="&amp;E305,$E$3:$E$500,"&gt;="&amp;D305,$A$3:$A$500,"&lt;&gt;"&amp;A305)=0)),0))</f>
        <v/>
      </c>
      <c r="N305">
        <f>IF(B305="","",IFERROR(SUMPRODUCT((LEN(Employees!$A$3:$A$500)&gt;0)*(Employees!$B$3:$B$500="Manager")*(Employees!$U$3:$U$500=1)*(COUNTIFS($B$3:$B$500,Employees!$A$3:$A$500,$H$3:$H$500,"Approved",$D$3:$D$500,"&lt;="&amp;E305,$E$3:$E$500,"&gt;="&amp;D305,$A$3:$A$500,"&lt;&gt;"&amp;A305)=0)),0))</f>
        <v/>
      </c>
      <c r="O305">
        <f>IF(B305="","",IFERROR(SUMPRODUCT((LEN(Employees!$A$3:$A$500)&gt;0)*(Employees!$V$3:$V$500=1)*(COUNTIFS($B$3:$B$500,Employees!$A$3:$A$500,$H$3:$H$500,"Approved",$D$3:$D$500,"&lt;="&amp;E305,$E$3:$E$500,"&gt;="&amp;D305,$A$3:$A$500,"&lt;&gt;"&amp;A305)=0)),0))</f>
        <v/>
      </c>
      <c r="P305">
        <f>IF(B305="","",IFERROR(SUMPRODUCT((LEN(Employees!$A$3:$A$500)&gt;0)*(Employees!$W$3:$W$500=1)*(COUNTIFS($B$3:$B$500,Employees!$A$3:$A$500,$H$3:$H$500,"Approved",$D$3:$D$500,"&lt;="&amp;E305,$E$3:$E$500,"&gt;="&amp;D305,$A$3:$A$500,"&lt;&gt;"&amp;A305)=0)),0))</f>
        <v/>
      </c>
      <c r="Q305">
        <f>IF(B305="","",IFERROR(SUMPRODUCT((LEN(Employees!$A$3:$A$500)&gt;0)*(Employees!$N$3:$N$500=1)*(COUNTIFS($B$3:$B$500,Employees!$A$3:$A$500,$H$3:$H$500,"Approved",$D$3:$D$500,"&lt;="&amp;E305,$E$3:$E$500,"&gt;="&amp;D305,$A$3:$A$500,"&lt;&gt;"&amp;A305)&gt;0)),0))</f>
        <v/>
      </c>
      <c r="R305">
        <f>IF(B305="","",IFERROR(SUMPRODUCT((LEN(Employees!$A$3:$A$500)&gt;0)*(Employees!$O$3:$O$500=1)*(COUNTIFS($B$3:$B$500,Employees!$A$3:$A$500,$H$3:$H$500,"Approved",$D$3:$D$500,"&lt;="&amp;E305,$E$3:$E$500,"&gt;="&amp;D305,$A$3:$A$500,"&lt;&gt;"&amp;A305)&gt;0)),0))</f>
        <v/>
      </c>
      <c r="S305">
        <f>IF(OR(B305="",IFERROR(XLOOKUP(B305,Employees!$A$3:$A$500,Employees!$G$3:$G$500,""),"")=""),"",IFERROR(SUMPRODUCT((LEN(Employees!$A$3:$A$500)&gt;0)*(Employees!$G$3:$G$500=IFERROR(XLOOKUP(B305,Employees!$A$3:$A$500,Employees!$G$3:$G$500,""),""))*(COUNTIFS($B$3:$B$500,Employees!$A$3:$A$500,$H$3:$H$500,"Approved",$D$3:$D$500,"&lt;="&amp;E305,$E$3:$E$500,"&gt;="&amp;D305,$A$3:$A$500,"&lt;&gt;"&amp;A305)&gt;0)),0))</f>
        <v/>
      </c>
    </row>
    <row r="306">
      <c r="C306">
        <f>IFERROR(XLOOKUP(B306,Employees!$A$3:$A$500,Employees!$B$3:$B$500,""),"")</f>
        <v/>
      </c>
      <c r="I306">
        <f>IF(AND(B306&lt;&gt;"",D306&lt;&gt;"",E306&lt;&gt;""),E306-D306+1,"")</f>
        <v/>
      </c>
      <c r="J306">
        <f>IF(OR(B306="",D306="",E306=""),"",IF(OR(L306&lt;'Coverage Rules'!E7,M306&lt;'Coverage Rules'!E8,N306&lt;'Coverage Rules'!C8,O306&lt;'Coverage Rules'!E9,P306&lt;'Coverage Rules'!E10,Q306&gt;='Coverage Rules'!B16,R306&gt;='Coverage Rules'!B17,IF(S306="",FALSE,S306&gt;='Coverage Rules'!D24)),"Denied","OK"))</f>
        <v/>
      </c>
      <c r="L306">
        <f>IF(B306="","",IFERROR(SUMPRODUCT((LEN(Employees!$A$3:$A$500)&gt;0)*(Employees!$T$3:$T$500=1)*(COUNTIFS($B$3:$B$500,Employees!$A$3:$A$500,$H$3:$H$500,"Approved",$D$3:$D$500,"&lt;="&amp;E306,$E$3:$E$500,"&gt;="&amp;D306,$A$3:$A$500,"&lt;&gt;"&amp;A306)=0)),0))</f>
        <v/>
      </c>
      <c r="M306">
        <f>IF(B306="","",IFERROR(SUMPRODUCT((LEN(Employees!$A$3:$A$500)&gt;0)*(Employees!$U$3:$U$500=1)*(COUNTIFS($B$3:$B$500,Employees!$A$3:$A$500,$H$3:$H$500,"Approved",$D$3:$D$500,"&lt;="&amp;E306,$E$3:$E$500,"&gt;="&amp;D306,$A$3:$A$500,"&lt;&gt;"&amp;A306)=0)),0))</f>
        <v/>
      </c>
      <c r="N306">
        <f>IF(B306="","",IFERROR(SUMPRODUCT((LEN(Employees!$A$3:$A$500)&gt;0)*(Employees!$B$3:$B$500="Manager")*(Employees!$U$3:$U$500=1)*(COUNTIFS($B$3:$B$500,Employees!$A$3:$A$500,$H$3:$H$500,"Approved",$D$3:$D$500,"&lt;="&amp;E306,$E$3:$E$500,"&gt;="&amp;D306,$A$3:$A$500,"&lt;&gt;"&amp;A306)=0)),0))</f>
        <v/>
      </c>
      <c r="O306">
        <f>IF(B306="","",IFERROR(SUMPRODUCT((LEN(Employees!$A$3:$A$500)&gt;0)*(Employees!$V$3:$V$500=1)*(COUNTIFS($B$3:$B$500,Employees!$A$3:$A$500,$H$3:$H$500,"Approved",$D$3:$D$500,"&lt;="&amp;E306,$E$3:$E$500,"&gt;="&amp;D306,$A$3:$A$500,"&lt;&gt;"&amp;A306)=0)),0))</f>
        <v/>
      </c>
      <c r="P306">
        <f>IF(B306="","",IFERROR(SUMPRODUCT((LEN(Employees!$A$3:$A$500)&gt;0)*(Employees!$W$3:$W$500=1)*(COUNTIFS($B$3:$B$500,Employees!$A$3:$A$500,$H$3:$H$500,"Approved",$D$3:$D$500,"&lt;="&amp;E306,$E$3:$E$500,"&gt;="&amp;D306,$A$3:$A$500,"&lt;&gt;"&amp;A306)=0)),0))</f>
        <v/>
      </c>
      <c r="Q306">
        <f>IF(B306="","",IFERROR(SUMPRODUCT((LEN(Employees!$A$3:$A$500)&gt;0)*(Employees!$N$3:$N$500=1)*(COUNTIFS($B$3:$B$500,Employees!$A$3:$A$500,$H$3:$H$500,"Approved",$D$3:$D$500,"&lt;="&amp;E306,$E$3:$E$500,"&gt;="&amp;D306,$A$3:$A$500,"&lt;&gt;"&amp;A306)&gt;0)),0))</f>
        <v/>
      </c>
      <c r="R306">
        <f>IF(B306="","",IFERROR(SUMPRODUCT((LEN(Employees!$A$3:$A$500)&gt;0)*(Employees!$O$3:$O$500=1)*(COUNTIFS($B$3:$B$500,Employees!$A$3:$A$500,$H$3:$H$500,"Approved",$D$3:$D$500,"&lt;="&amp;E306,$E$3:$E$500,"&gt;="&amp;D306,$A$3:$A$500,"&lt;&gt;"&amp;A306)&gt;0)),0))</f>
        <v/>
      </c>
      <c r="S306">
        <f>IF(OR(B306="",IFERROR(XLOOKUP(B306,Employees!$A$3:$A$500,Employees!$G$3:$G$500,""),"")=""),"",IFERROR(SUMPRODUCT((LEN(Employees!$A$3:$A$500)&gt;0)*(Employees!$G$3:$G$500=IFERROR(XLOOKUP(B306,Employees!$A$3:$A$500,Employees!$G$3:$G$500,""),""))*(COUNTIFS($B$3:$B$500,Employees!$A$3:$A$500,$H$3:$H$500,"Approved",$D$3:$D$500,"&lt;="&amp;E306,$E$3:$E$500,"&gt;="&amp;D306,$A$3:$A$500,"&lt;&gt;"&amp;A306)&gt;0)),0))</f>
        <v/>
      </c>
    </row>
    <row r="307">
      <c r="C307">
        <f>IFERROR(XLOOKUP(B307,Employees!$A$3:$A$500,Employees!$B$3:$B$500,""),"")</f>
        <v/>
      </c>
      <c r="I307">
        <f>IF(AND(B307&lt;&gt;"",D307&lt;&gt;"",E307&lt;&gt;""),E307-D307+1,"")</f>
        <v/>
      </c>
      <c r="J307">
        <f>IF(OR(B307="",D307="",E307=""),"",IF(OR(L307&lt;'Coverage Rules'!E7,M307&lt;'Coverage Rules'!E8,N307&lt;'Coverage Rules'!C8,O307&lt;'Coverage Rules'!E9,P307&lt;'Coverage Rules'!E10,Q307&gt;='Coverage Rules'!B16,R307&gt;='Coverage Rules'!B17,IF(S307="",FALSE,S307&gt;='Coverage Rules'!D24)),"Denied","OK"))</f>
        <v/>
      </c>
      <c r="L307">
        <f>IF(B307="","",IFERROR(SUMPRODUCT((LEN(Employees!$A$3:$A$500)&gt;0)*(Employees!$T$3:$T$500=1)*(COUNTIFS($B$3:$B$500,Employees!$A$3:$A$500,$H$3:$H$500,"Approved",$D$3:$D$500,"&lt;="&amp;E307,$E$3:$E$500,"&gt;="&amp;D307,$A$3:$A$500,"&lt;&gt;"&amp;A307)=0)),0))</f>
        <v/>
      </c>
      <c r="M307">
        <f>IF(B307="","",IFERROR(SUMPRODUCT((LEN(Employees!$A$3:$A$500)&gt;0)*(Employees!$U$3:$U$500=1)*(COUNTIFS($B$3:$B$500,Employees!$A$3:$A$500,$H$3:$H$500,"Approved",$D$3:$D$500,"&lt;="&amp;E307,$E$3:$E$500,"&gt;="&amp;D307,$A$3:$A$500,"&lt;&gt;"&amp;A307)=0)),0))</f>
        <v/>
      </c>
      <c r="N307">
        <f>IF(B307="","",IFERROR(SUMPRODUCT((LEN(Employees!$A$3:$A$500)&gt;0)*(Employees!$B$3:$B$500="Manager")*(Employees!$U$3:$U$500=1)*(COUNTIFS($B$3:$B$500,Employees!$A$3:$A$500,$H$3:$H$500,"Approved",$D$3:$D$500,"&lt;="&amp;E307,$E$3:$E$500,"&gt;="&amp;D307,$A$3:$A$500,"&lt;&gt;"&amp;A307)=0)),0))</f>
        <v/>
      </c>
      <c r="O307">
        <f>IF(B307="","",IFERROR(SUMPRODUCT((LEN(Employees!$A$3:$A$500)&gt;0)*(Employees!$V$3:$V$500=1)*(COUNTIFS($B$3:$B$500,Employees!$A$3:$A$500,$H$3:$H$500,"Approved",$D$3:$D$500,"&lt;="&amp;E307,$E$3:$E$500,"&gt;="&amp;D307,$A$3:$A$500,"&lt;&gt;"&amp;A307)=0)),0))</f>
        <v/>
      </c>
      <c r="P307">
        <f>IF(B307="","",IFERROR(SUMPRODUCT((LEN(Employees!$A$3:$A$500)&gt;0)*(Employees!$W$3:$W$500=1)*(COUNTIFS($B$3:$B$500,Employees!$A$3:$A$500,$H$3:$H$500,"Approved",$D$3:$D$500,"&lt;="&amp;E307,$E$3:$E$500,"&gt;="&amp;D307,$A$3:$A$500,"&lt;&gt;"&amp;A307)=0)),0))</f>
        <v/>
      </c>
      <c r="Q307">
        <f>IF(B307="","",IFERROR(SUMPRODUCT((LEN(Employees!$A$3:$A$500)&gt;0)*(Employees!$N$3:$N$500=1)*(COUNTIFS($B$3:$B$500,Employees!$A$3:$A$500,$H$3:$H$500,"Approved",$D$3:$D$500,"&lt;="&amp;E307,$E$3:$E$500,"&gt;="&amp;D307,$A$3:$A$500,"&lt;&gt;"&amp;A307)&gt;0)),0))</f>
        <v/>
      </c>
      <c r="R307">
        <f>IF(B307="","",IFERROR(SUMPRODUCT((LEN(Employees!$A$3:$A$500)&gt;0)*(Employees!$O$3:$O$500=1)*(COUNTIFS($B$3:$B$500,Employees!$A$3:$A$500,$H$3:$H$500,"Approved",$D$3:$D$500,"&lt;="&amp;E307,$E$3:$E$500,"&gt;="&amp;D307,$A$3:$A$500,"&lt;&gt;"&amp;A307)&gt;0)),0))</f>
        <v/>
      </c>
      <c r="S307">
        <f>IF(OR(B307="",IFERROR(XLOOKUP(B307,Employees!$A$3:$A$500,Employees!$G$3:$G$500,""),"")=""),"",IFERROR(SUMPRODUCT((LEN(Employees!$A$3:$A$500)&gt;0)*(Employees!$G$3:$G$500=IFERROR(XLOOKUP(B307,Employees!$A$3:$A$500,Employees!$G$3:$G$500,""),""))*(COUNTIFS($B$3:$B$500,Employees!$A$3:$A$500,$H$3:$H$500,"Approved",$D$3:$D$500,"&lt;="&amp;E307,$E$3:$E$500,"&gt;="&amp;D307,$A$3:$A$500,"&lt;&gt;"&amp;A307)&gt;0)),0))</f>
        <v/>
      </c>
    </row>
    <row r="308">
      <c r="C308">
        <f>IFERROR(XLOOKUP(B308,Employees!$A$3:$A$500,Employees!$B$3:$B$500,""),"")</f>
        <v/>
      </c>
      <c r="I308">
        <f>IF(AND(B308&lt;&gt;"",D308&lt;&gt;"",E308&lt;&gt;""),E308-D308+1,"")</f>
        <v/>
      </c>
      <c r="J308">
        <f>IF(OR(B308="",D308="",E308=""),"",IF(OR(L308&lt;'Coverage Rules'!E7,M308&lt;'Coverage Rules'!E8,N308&lt;'Coverage Rules'!C8,O308&lt;'Coverage Rules'!E9,P308&lt;'Coverage Rules'!E10,Q308&gt;='Coverage Rules'!B16,R308&gt;='Coverage Rules'!B17,IF(S308="",FALSE,S308&gt;='Coverage Rules'!D24)),"Denied","OK"))</f>
        <v/>
      </c>
      <c r="L308">
        <f>IF(B308="","",IFERROR(SUMPRODUCT((LEN(Employees!$A$3:$A$500)&gt;0)*(Employees!$T$3:$T$500=1)*(COUNTIFS($B$3:$B$500,Employees!$A$3:$A$500,$H$3:$H$500,"Approved",$D$3:$D$500,"&lt;="&amp;E308,$E$3:$E$500,"&gt;="&amp;D308,$A$3:$A$500,"&lt;&gt;"&amp;A308)=0)),0))</f>
        <v/>
      </c>
      <c r="M308">
        <f>IF(B308="","",IFERROR(SUMPRODUCT((LEN(Employees!$A$3:$A$500)&gt;0)*(Employees!$U$3:$U$500=1)*(COUNTIFS($B$3:$B$500,Employees!$A$3:$A$500,$H$3:$H$500,"Approved",$D$3:$D$500,"&lt;="&amp;E308,$E$3:$E$500,"&gt;="&amp;D308,$A$3:$A$500,"&lt;&gt;"&amp;A308)=0)),0))</f>
        <v/>
      </c>
      <c r="N308">
        <f>IF(B308="","",IFERROR(SUMPRODUCT((LEN(Employees!$A$3:$A$500)&gt;0)*(Employees!$B$3:$B$500="Manager")*(Employees!$U$3:$U$500=1)*(COUNTIFS($B$3:$B$500,Employees!$A$3:$A$500,$H$3:$H$500,"Approved",$D$3:$D$500,"&lt;="&amp;E308,$E$3:$E$500,"&gt;="&amp;D308,$A$3:$A$500,"&lt;&gt;"&amp;A308)=0)),0))</f>
        <v/>
      </c>
      <c r="O308">
        <f>IF(B308="","",IFERROR(SUMPRODUCT((LEN(Employees!$A$3:$A$500)&gt;0)*(Employees!$V$3:$V$500=1)*(COUNTIFS($B$3:$B$500,Employees!$A$3:$A$500,$H$3:$H$500,"Approved",$D$3:$D$500,"&lt;="&amp;E308,$E$3:$E$500,"&gt;="&amp;D308,$A$3:$A$500,"&lt;&gt;"&amp;A308)=0)),0))</f>
        <v/>
      </c>
      <c r="P308">
        <f>IF(B308="","",IFERROR(SUMPRODUCT((LEN(Employees!$A$3:$A$500)&gt;0)*(Employees!$W$3:$W$500=1)*(COUNTIFS($B$3:$B$500,Employees!$A$3:$A$500,$H$3:$H$500,"Approved",$D$3:$D$500,"&lt;="&amp;E308,$E$3:$E$500,"&gt;="&amp;D308,$A$3:$A$500,"&lt;&gt;"&amp;A308)=0)),0))</f>
        <v/>
      </c>
      <c r="Q308">
        <f>IF(B308="","",IFERROR(SUMPRODUCT((LEN(Employees!$A$3:$A$500)&gt;0)*(Employees!$N$3:$N$500=1)*(COUNTIFS($B$3:$B$500,Employees!$A$3:$A$500,$H$3:$H$500,"Approved",$D$3:$D$500,"&lt;="&amp;E308,$E$3:$E$500,"&gt;="&amp;D308,$A$3:$A$500,"&lt;&gt;"&amp;A308)&gt;0)),0))</f>
        <v/>
      </c>
      <c r="R308">
        <f>IF(B308="","",IFERROR(SUMPRODUCT((LEN(Employees!$A$3:$A$500)&gt;0)*(Employees!$O$3:$O$500=1)*(COUNTIFS($B$3:$B$500,Employees!$A$3:$A$500,$H$3:$H$500,"Approved",$D$3:$D$500,"&lt;="&amp;E308,$E$3:$E$500,"&gt;="&amp;D308,$A$3:$A$500,"&lt;&gt;"&amp;A308)&gt;0)),0))</f>
        <v/>
      </c>
      <c r="S308">
        <f>IF(OR(B308="",IFERROR(XLOOKUP(B308,Employees!$A$3:$A$500,Employees!$G$3:$G$500,""),"")=""),"",IFERROR(SUMPRODUCT((LEN(Employees!$A$3:$A$500)&gt;0)*(Employees!$G$3:$G$500=IFERROR(XLOOKUP(B308,Employees!$A$3:$A$500,Employees!$G$3:$G$500,""),""))*(COUNTIFS($B$3:$B$500,Employees!$A$3:$A$500,$H$3:$H$500,"Approved",$D$3:$D$500,"&lt;="&amp;E308,$E$3:$E$500,"&gt;="&amp;D308,$A$3:$A$500,"&lt;&gt;"&amp;A308)&gt;0)),0))</f>
        <v/>
      </c>
    </row>
    <row r="309">
      <c r="C309">
        <f>IFERROR(XLOOKUP(B309,Employees!$A$3:$A$500,Employees!$B$3:$B$500,""),"")</f>
        <v/>
      </c>
      <c r="I309">
        <f>IF(AND(B309&lt;&gt;"",D309&lt;&gt;"",E309&lt;&gt;""),E309-D309+1,"")</f>
        <v/>
      </c>
      <c r="J309">
        <f>IF(OR(B309="",D309="",E309=""),"",IF(OR(L309&lt;'Coverage Rules'!E7,M309&lt;'Coverage Rules'!E8,N309&lt;'Coverage Rules'!C8,O309&lt;'Coverage Rules'!E9,P309&lt;'Coverage Rules'!E10,Q309&gt;='Coverage Rules'!B16,R309&gt;='Coverage Rules'!B17,IF(S309="",FALSE,S309&gt;='Coverage Rules'!D24)),"Denied","OK"))</f>
        <v/>
      </c>
      <c r="L309">
        <f>IF(B309="","",IFERROR(SUMPRODUCT((LEN(Employees!$A$3:$A$500)&gt;0)*(Employees!$T$3:$T$500=1)*(COUNTIFS($B$3:$B$500,Employees!$A$3:$A$500,$H$3:$H$500,"Approved",$D$3:$D$500,"&lt;="&amp;E309,$E$3:$E$500,"&gt;="&amp;D309,$A$3:$A$500,"&lt;&gt;"&amp;A309)=0)),0))</f>
        <v/>
      </c>
      <c r="M309">
        <f>IF(B309="","",IFERROR(SUMPRODUCT((LEN(Employees!$A$3:$A$500)&gt;0)*(Employees!$U$3:$U$500=1)*(COUNTIFS($B$3:$B$500,Employees!$A$3:$A$500,$H$3:$H$500,"Approved",$D$3:$D$500,"&lt;="&amp;E309,$E$3:$E$500,"&gt;="&amp;D309,$A$3:$A$500,"&lt;&gt;"&amp;A309)=0)),0))</f>
        <v/>
      </c>
      <c r="N309">
        <f>IF(B309="","",IFERROR(SUMPRODUCT((LEN(Employees!$A$3:$A$500)&gt;0)*(Employees!$B$3:$B$500="Manager")*(Employees!$U$3:$U$500=1)*(COUNTIFS($B$3:$B$500,Employees!$A$3:$A$500,$H$3:$H$500,"Approved",$D$3:$D$500,"&lt;="&amp;E309,$E$3:$E$500,"&gt;="&amp;D309,$A$3:$A$500,"&lt;&gt;"&amp;A309)=0)),0))</f>
        <v/>
      </c>
      <c r="O309">
        <f>IF(B309="","",IFERROR(SUMPRODUCT((LEN(Employees!$A$3:$A$500)&gt;0)*(Employees!$V$3:$V$500=1)*(COUNTIFS($B$3:$B$500,Employees!$A$3:$A$500,$H$3:$H$500,"Approved",$D$3:$D$500,"&lt;="&amp;E309,$E$3:$E$500,"&gt;="&amp;D309,$A$3:$A$500,"&lt;&gt;"&amp;A309)=0)),0))</f>
        <v/>
      </c>
      <c r="P309">
        <f>IF(B309="","",IFERROR(SUMPRODUCT((LEN(Employees!$A$3:$A$500)&gt;0)*(Employees!$W$3:$W$500=1)*(COUNTIFS($B$3:$B$500,Employees!$A$3:$A$500,$H$3:$H$500,"Approved",$D$3:$D$500,"&lt;="&amp;E309,$E$3:$E$500,"&gt;="&amp;D309,$A$3:$A$500,"&lt;&gt;"&amp;A309)=0)),0))</f>
        <v/>
      </c>
      <c r="Q309">
        <f>IF(B309="","",IFERROR(SUMPRODUCT((LEN(Employees!$A$3:$A$500)&gt;0)*(Employees!$N$3:$N$500=1)*(COUNTIFS($B$3:$B$500,Employees!$A$3:$A$500,$H$3:$H$500,"Approved",$D$3:$D$500,"&lt;="&amp;E309,$E$3:$E$500,"&gt;="&amp;D309,$A$3:$A$500,"&lt;&gt;"&amp;A309)&gt;0)),0))</f>
        <v/>
      </c>
      <c r="R309">
        <f>IF(B309="","",IFERROR(SUMPRODUCT((LEN(Employees!$A$3:$A$500)&gt;0)*(Employees!$O$3:$O$500=1)*(COUNTIFS($B$3:$B$500,Employees!$A$3:$A$500,$H$3:$H$500,"Approved",$D$3:$D$500,"&lt;="&amp;E309,$E$3:$E$500,"&gt;="&amp;D309,$A$3:$A$500,"&lt;&gt;"&amp;A309)&gt;0)),0))</f>
        <v/>
      </c>
      <c r="S309">
        <f>IF(OR(B309="",IFERROR(XLOOKUP(B309,Employees!$A$3:$A$500,Employees!$G$3:$G$500,""),"")=""),"",IFERROR(SUMPRODUCT((LEN(Employees!$A$3:$A$500)&gt;0)*(Employees!$G$3:$G$500=IFERROR(XLOOKUP(B309,Employees!$A$3:$A$500,Employees!$G$3:$G$500,""),""))*(COUNTIFS($B$3:$B$500,Employees!$A$3:$A$500,$H$3:$H$500,"Approved",$D$3:$D$500,"&lt;="&amp;E309,$E$3:$E$500,"&gt;="&amp;D309,$A$3:$A$500,"&lt;&gt;"&amp;A309)&gt;0)),0))</f>
        <v/>
      </c>
    </row>
    <row r="310">
      <c r="C310">
        <f>IFERROR(XLOOKUP(B310,Employees!$A$3:$A$500,Employees!$B$3:$B$500,""),"")</f>
        <v/>
      </c>
      <c r="I310">
        <f>IF(AND(B310&lt;&gt;"",D310&lt;&gt;"",E310&lt;&gt;""),E310-D310+1,"")</f>
        <v/>
      </c>
      <c r="J310">
        <f>IF(OR(B310="",D310="",E310=""),"",IF(OR(L310&lt;'Coverage Rules'!E7,M310&lt;'Coverage Rules'!E8,N310&lt;'Coverage Rules'!C8,O310&lt;'Coverage Rules'!E9,P310&lt;'Coverage Rules'!E10,Q310&gt;='Coverage Rules'!B16,R310&gt;='Coverage Rules'!B17,IF(S310="",FALSE,S310&gt;='Coverage Rules'!D24)),"Denied","OK"))</f>
        <v/>
      </c>
      <c r="L310">
        <f>IF(B310="","",IFERROR(SUMPRODUCT((LEN(Employees!$A$3:$A$500)&gt;0)*(Employees!$T$3:$T$500=1)*(COUNTIFS($B$3:$B$500,Employees!$A$3:$A$500,$H$3:$H$500,"Approved",$D$3:$D$500,"&lt;="&amp;E310,$E$3:$E$500,"&gt;="&amp;D310,$A$3:$A$500,"&lt;&gt;"&amp;A310)=0)),0))</f>
        <v/>
      </c>
      <c r="M310">
        <f>IF(B310="","",IFERROR(SUMPRODUCT((LEN(Employees!$A$3:$A$500)&gt;0)*(Employees!$U$3:$U$500=1)*(COUNTIFS($B$3:$B$500,Employees!$A$3:$A$500,$H$3:$H$500,"Approved",$D$3:$D$500,"&lt;="&amp;E310,$E$3:$E$500,"&gt;="&amp;D310,$A$3:$A$500,"&lt;&gt;"&amp;A310)=0)),0))</f>
        <v/>
      </c>
      <c r="N310">
        <f>IF(B310="","",IFERROR(SUMPRODUCT((LEN(Employees!$A$3:$A$500)&gt;0)*(Employees!$B$3:$B$500="Manager")*(Employees!$U$3:$U$500=1)*(COUNTIFS($B$3:$B$500,Employees!$A$3:$A$500,$H$3:$H$500,"Approved",$D$3:$D$500,"&lt;="&amp;E310,$E$3:$E$500,"&gt;="&amp;D310,$A$3:$A$500,"&lt;&gt;"&amp;A310)=0)),0))</f>
        <v/>
      </c>
      <c r="O310">
        <f>IF(B310="","",IFERROR(SUMPRODUCT((LEN(Employees!$A$3:$A$500)&gt;0)*(Employees!$V$3:$V$500=1)*(COUNTIFS($B$3:$B$500,Employees!$A$3:$A$500,$H$3:$H$500,"Approved",$D$3:$D$500,"&lt;="&amp;E310,$E$3:$E$500,"&gt;="&amp;D310,$A$3:$A$500,"&lt;&gt;"&amp;A310)=0)),0))</f>
        <v/>
      </c>
      <c r="P310">
        <f>IF(B310="","",IFERROR(SUMPRODUCT((LEN(Employees!$A$3:$A$500)&gt;0)*(Employees!$W$3:$W$500=1)*(COUNTIFS($B$3:$B$500,Employees!$A$3:$A$500,$H$3:$H$500,"Approved",$D$3:$D$500,"&lt;="&amp;E310,$E$3:$E$500,"&gt;="&amp;D310,$A$3:$A$500,"&lt;&gt;"&amp;A310)=0)),0))</f>
        <v/>
      </c>
      <c r="Q310">
        <f>IF(B310="","",IFERROR(SUMPRODUCT((LEN(Employees!$A$3:$A$500)&gt;0)*(Employees!$N$3:$N$500=1)*(COUNTIFS($B$3:$B$500,Employees!$A$3:$A$500,$H$3:$H$500,"Approved",$D$3:$D$500,"&lt;="&amp;E310,$E$3:$E$500,"&gt;="&amp;D310,$A$3:$A$500,"&lt;&gt;"&amp;A310)&gt;0)),0))</f>
        <v/>
      </c>
      <c r="R310">
        <f>IF(B310="","",IFERROR(SUMPRODUCT((LEN(Employees!$A$3:$A$500)&gt;0)*(Employees!$O$3:$O$500=1)*(COUNTIFS($B$3:$B$500,Employees!$A$3:$A$500,$H$3:$H$500,"Approved",$D$3:$D$500,"&lt;="&amp;E310,$E$3:$E$500,"&gt;="&amp;D310,$A$3:$A$500,"&lt;&gt;"&amp;A310)&gt;0)),0))</f>
        <v/>
      </c>
      <c r="S310">
        <f>IF(OR(B310="",IFERROR(XLOOKUP(B310,Employees!$A$3:$A$500,Employees!$G$3:$G$500,""),"")=""),"",IFERROR(SUMPRODUCT((LEN(Employees!$A$3:$A$500)&gt;0)*(Employees!$G$3:$G$500=IFERROR(XLOOKUP(B310,Employees!$A$3:$A$500,Employees!$G$3:$G$500,""),""))*(COUNTIFS($B$3:$B$500,Employees!$A$3:$A$500,$H$3:$H$500,"Approved",$D$3:$D$500,"&lt;="&amp;E310,$E$3:$E$500,"&gt;="&amp;D310,$A$3:$A$500,"&lt;&gt;"&amp;A310)&gt;0)),0))</f>
        <v/>
      </c>
    </row>
    <row r="311">
      <c r="C311">
        <f>IFERROR(XLOOKUP(B311,Employees!$A$3:$A$500,Employees!$B$3:$B$500,""),"")</f>
        <v/>
      </c>
      <c r="I311">
        <f>IF(AND(B311&lt;&gt;"",D311&lt;&gt;"",E311&lt;&gt;""),E311-D311+1,"")</f>
        <v/>
      </c>
      <c r="J311">
        <f>IF(OR(B311="",D311="",E311=""),"",IF(OR(L311&lt;'Coverage Rules'!E7,M311&lt;'Coverage Rules'!E8,N311&lt;'Coverage Rules'!C8,O311&lt;'Coverage Rules'!E9,P311&lt;'Coverage Rules'!E10,Q311&gt;='Coverage Rules'!B16,R311&gt;='Coverage Rules'!B17,IF(S311="",FALSE,S311&gt;='Coverage Rules'!D24)),"Denied","OK"))</f>
        <v/>
      </c>
      <c r="L311">
        <f>IF(B311="","",IFERROR(SUMPRODUCT((LEN(Employees!$A$3:$A$500)&gt;0)*(Employees!$T$3:$T$500=1)*(COUNTIFS($B$3:$B$500,Employees!$A$3:$A$500,$H$3:$H$500,"Approved",$D$3:$D$500,"&lt;="&amp;E311,$E$3:$E$500,"&gt;="&amp;D311,$A$3:$A$500,"&lt;&gt;"&amp;A311)=0)),0))</f>
        <v/>
      </c>
      <c r="M311">
        <f>IF(B311="","",IFERROR(SUMPRODUCT((LEN(Employees!$A$3:$A$500)&gt;0)*(Employees!$U$3:$U$500=1)*(COUNTIFS($B$3:$B$500,Employees!$A$3:$A$500,$H$3:$H$500,"Approved",$D$3:$D$500,"&lt;="&amp;E311,$E$3:$E$500,"&gt;="&amp;D311,$A$3:$A$500,"&lt;&gt;"&amp;A311)=0)),0))</f>
        <v/>
      </c>
      <c r="N311">
        <f>IF(B311="","",IFERROR(SUMPRODUCT((LEN(Employees!$A$3:$A$500)&gt;0)*(Employees!$B$3:$B$500="Manager")*(Employees!$U$3:$U$500=1)*(COUNTIFS($B$3:$B$500,Employees!$A$3:$A$500,$H$3:$H$500,"Approved",$D$3:$D$500,"&lt;="&amp;E311,$E$3:$E$500,"&gt;="&amp;D311,$A$3:$A$500,"&lt;&gt;"&amp;A311)=0)),0))</f>
        <v/>
      </c>
      <c r="O311">
        <f>IF(B311="","",IFERROR(SUMPRODUCT((LEN(Employees!$A$3:$A$500)&gt;0)*(Employees!$V$3:$V$500=1)*(COUNTIFS($B$3:$B$500,Employees!$A$3:$A$500,$H$3:$H$500,"Approved",$D$3:$D$500,"&lt;="&amp;E311,$E$3:$E$500,"&gt;="&amp;D311,$A$3:$A$500,"&lt;&gt;"&amp;A311)=0)),0))</f>
        <v/>
      </c>
      <c r="P311">
        <f>IF(B311="","",IFERROR(SUMPRODUCT((LEN(Employees!$A$3:$A$500)&gt;0)*(Employees!$W$3:$W$500=1)*(COUNTIFS($B$3:$B$500,Employees!$A$3:$A$500,$H$3:$H$500,"Approved",$D$3:$D$500,"&lt;="&amp;E311,$E$3:$E$500,"&gt;="&amp;D311,$A$3:$A$500,"&lt;&gt;"&amp;A311)=0)),0))</f>
        <v/>
      </c>
      <c r="Q311">
        <f>IF(B311="","",IFERROR(SUMPRODUCT((LEN(Employees!$A$3:$A$500)&gt;0)*(Employees!$N$3:$N$500=1)*(COUNTIFS($B$3:$B$500,Employees!$A$3:$A$500,$H$3:$H$500,"Approved",$D$3:$D$500,"&lt;="&amp;E311,$E$3:$E$500,"&gt;="&amp;D311,$A$3:$A$500,"&lt;&gt;"&amp;A311)&gt;0)),0))</f>
        <v/>
      </c>
      <c r="R311">
        <f>IF(B311="","",IFERROR(SUMPRODUCT((LEN(Employees!$A$3:$A$500)&gt;0)*(Employees!$O$3:$O$500=1)*(COUNTIFS($B$3:$B$500,Employees!$A$3:$A$500,$H$3:$H$500,"Approved",$D$3:$D$500,"&lt;="&amp;E311,$E$3:$E$500,"&gt;="&amp;D311,$A$3:$A$500,"&lt;&gt;"&amp;A311)&gt;0)),0))</f>
        <v/>
      </c>
      <c r="S311">
        <f>IF(OR(B311="",IFERROR(XLOOKUP(B311,Employees!$A$3:$A$500,Employees!$G$3:$G$500,""),"")=""),"",IFERROR(SUMPRODUCT((LEN(Employees!$A$3:$A$500)&gt;0)*(Employees!$G$3:$G$500=IFERROR(XLOOKUP(B311,Employees!$A$3:$A$500,Employees!$G$3:$G$500,""),""))*(COUNTIFS($B$3:$B$500,Employees!$A$3:$A$500,$H$3:$H$500,"Approved",$D$3:$D$500,"&lt;="&amp;E311,$E$3:$E$500,"&gt;="&amp;D311,$A$3:$A$500,"&lt;&gt;"&amp;A311)&gt;0)),0))</f>
        <v/>
      </c>
    </row>
    <row r="312">
      <c r="C312">
        <f>IFERROR(XLOOKUP(B312,Employees!$A$3:$A$500,Employees!$B$3:$B$500,""),"")</f>
        <v/>
      </c>
      <c r="I312">
        <f>IF(AND(B312&lt;&gt;"",D312&lt;&gt;"",E312&lt;&gt;""),E312-D312+1,"")</f>
        <v/>
      </c>
      <c r="J312">
        <f>IF(OR(B312="",D312="",E312=""),"",IF(OR(L312&lt;'Coverage Rules'!E7,M312&lt;'Coverage Rules'!E8,N312&lt;'Coverage Rules'!C8,O312&lt;'Coverage Rules'!E9,P312&lt;'Coverage Rules'!E10,Q312&gt;='Coverage Rules'!B16,R312&gt;='Coverage Rules'!B17,IF(S312="",FALSE,S312&gt;='Coverage Rules'!D24)),"Denied","OK"))</f>
        <v/>
      </c>
      <c r="L312">
        <f>IF(B312="","",IFERROR(SUMPRODUCT((LEN(Employees!$A$3:$A$500)&gt;0)*(Employees!$T$3:$T$500=1)*(COUNTIFS($B$3:$B$500,Employees!$A$3:$A$500,$H$3:$H$500,"Approved",$D$3:$D$500,"&lt;="&amp;E312,$E$3:$E$500,"&gt;="&amp;D312,$A$3:$A$500,"&lt;&gt;"&amp;A312)=0)),0))</f>
        <v/>
      </c>
      <c r="M312">
        <f>IF(B312="","",IFERROR(SUMPRODUCT((LEN(Employees!$A$3:$A$500)&gt;0)*(Employees!$U$3:$U$500=1)*(COUNTIFS($B$3:$B$500,Employees!$A$3:$A$500,$H$3:$H$500,"Approved",$D$3:$D$500,"&lt;="&amp;E312,$E$3:$E$500,"&gt;="&amp;D312,$A$3:$A$500,"&lt;&gt;"&amp;A312)=0)),0))</f>
        <v/>
      </c>
      <c r="N312">
        <f>IF(B312="","",IFERROR(SUMPRODUCT((LEN(Employees!$A$3:$A$500)&gt;0)*(Employees!$B$3:$B$500="Manager")*(Employees!$U$3:$U$500=1)*(COUNTIFS($B$3:$B$500,Employees!$A$3:$A$500,$H$3:$H$500,"Approved",$D$3:$D$500,"&lt;="&amp;E312,$E$3:$E$500,"&gt;="&amp;D312,$A$3:$A$500,"&lt;&gt;"&amp;A312)=0)),0))</f>
        <v/>
      </c>
      <c r="O312">
        <f>IF(B312="","",IFERROR(SUMPRODUCT((LEN(Employees!$A$3:$A$500)&gt;0)*(Employees!$V$3:$V$500=1)*(COUNTIFS($B$3:$B$500,Employees!$A$3:$A$500,$H$3:$H$500,"Approved",$D$3:$D$500,"&lt;="&amp;E312,$E$3:$E$500,"&gt;="&amp;D312,$A$3:$A$500,"&lt;&gt;"&amp;A312)=0)),0))</f>
        <v/>
      </c>
      <c r="P312">
        <f>IF(B312="","",IFERROR(SUMPRODUCT((LEN(Employees!$A$3:$A$500)&gt;0)*(Employees!$W$3:$W$500=1)*(COUNTIFS($B$3:$B$500,Employees!$A$3:$A$500,$H$3:$H$500,"Approved",$D$3:$D$500,"&lt;="&amp;E312,$E$3:$E$500,"&gt;="&amp;D312,$A$3:$A$500,"&lt;&gt;"&amp;A312)=0)),0))</f>
        <v/>
      </c>
      <c r="Q312">
        <f>IF(B312="","",IFERROR(SUMPRODUCT((LEN(Employees!$A$3:$A$500)&gt;0)*(Employees!$N$3:$N$500=1)*(COUNTIFS($B$3:$B$500,Employees!$A$3:$A$500,$H$3:$H$500,"Approved",$D$3:$D$500,"&lt;="&amp;E312,$E$3:$E$500,"&gt;="&amp;D312,$A$3:$A$500,"&lt;&gt;"&amp;A312)&gt;0)),0))</f>
        <v/>
      </c>
      <c r="R312">
        <f>IF(B312="","",IFERROR(SUMPRODUCT((LEN(Employees!$A$3:$A$500)&gt;0)*(Employees!$O$3:$O$500=1)*(COUNTIFS($B$3:$B$500,Employees!$A$3:$A$500,$H$3:$H$500,"Approved",$D$3:$D$500,"&lt;="&amp;E312,$E$3:$E$500,"&gt;="&amp;D312,$A$3:$A$500,"&lt;&gt;"&amp;A312)&gt;0)),0))</f>
        <v/>
      </c>
      <c r="S312">
        <f>IF(OR(B312="",IFERROR(XLOOKUP(B312,Employees!$A$3:$A$500,Employees!$G$3:$G$500,""),"")=""),"",IFERROR(SUMPRODUCT((LEN(Employees!$A$3:$A$500)&gt;0)*(Employees!$G$3:$G$500=IFERROR(XLOOKUP(B312,Employees!$A$3:$A$500,Employees!$G$3:$G$500,""),""))*(COUNTIFS($B$3:$B$500,Employees!$A$3:$A$500,$H$3:$H$500,"Approved",$D$3:$D$500,"&lt;="&amp;E312,$E$3:$E$500,"&gt;="&amp;D312,$A$3:$A$500,"&lt;&gt;"&amp;A312)&gt;0)),0))</f>
        <v/>
      </c>
    </row>
    <row r="313">
      <c r="C313">
        <f>IFERROR(XLOOKUP(B313,Employees!$A$3:$A$500,Employees!$B$3:$B$500,""),"")</f>
        <v/>
      </c>
      <c r="I313">
        <f>IF(AND(B313&lt;&gt;"",D313&lt;&gt;"",E313&lt;&gt;""),E313-D313+1,"")</f>
        <v/>
      </c>
      <c r="J313">
        <f>IF(OR(B313="",D313="",E313=""),"",IF(OR(L313&lt;'Coverage Rules'!E7,M313&lt;'Coverage Rules'!E8,N313&lt;'Coverage Rules'!C8,O313&lt;'Coverage Rules'!E9,P313&lt;'Coverage Rules'!E10,Q313&gt;='Coverage Rules'!B16,R313&gt;='Coverage Rules'!B17,IF(S313="",FALSE,S313&gt;='Coverage Rules'!D24)),"Denied","OK"))</f>
        <v/>
      </c>
      <c r="L313">
        <f>IF(B313="","",IFERROR(SUMPRODUCT((LEN(Employees!$A$3:$A$500)&gt;0)*(Employees!$T$3:$T$500=1)*(COUNTIFS($B$3:$B$500,Employees!$A$3:$A$500,$H$3:$H$500,"Approved",$D$3:$D$500,"&lt;="&amp;E313,$E$3:$E$500,"&gt;="&amp;D313,$A$3:$A$500,"&lt;&gt;"&amp;A313)=0)),0))</f>
        <v/>
      </c>
      <c r="M313">
        <f>IF(B313="","",IFERROR(SUMPRODUCT((LEN(Employees!$A$3:$A$500)&gt;0)*(Employees!$U$3:$U$500=1)*(COUNTIFS($B$3:$B$500,Employees!$A$3:$A$500,$H$3:$H$500,"Approved",$D$3:$D$500,"&lt;="&amp;E313,$E$3:$E$500,"&gt;="&amp;D313,$A$3:$A$500,"&lt;&gt;"&amp;A313)=0)),0))</f>
        <v/>
      </c>
      <c r="N313">
        <f>IF(B313="","",IFERROR(SUMPRODUCT((LEN(Employees!$A$3:$A$500)&gt;0)*(Employees!$B$3:$B$500="Manager")*(Employees!$U$3:$U$500=1)*(COUNTIFS($B$3:$B$500,Employees!$A$3:$A$500,$H$3:$H$500,"Approved",$D$3:$D$500,"&lt;="&amp;E313,$E$3:$E$500,"&gt;="&amp;D313,$A$3:$A$500,"&lt;&gt;"&amp;A313)=0)),0))</f>
        <v/>
      </c>
      <c r="O313">
        <f>IF(B313="","",IFERROR(SUMPRODUCT((LEN(Employees!$A$3:$A$500)&gt;0)*(Employees!$V$3:$V$500=1)*(COUNTIFS($B$3:$B$500,Employees!$A$3:$A$500,$H$3:$H$500,"Approved",$D$3:$D$500,"&lt;="&amp;E313,$E$3:$E$500,"&gt;="&amp;D313,$A$3:$A$500,"&lt;&gt;"&amp;A313)=0)),0))</f>
        <v/>
      </c>
      <c r="P313">
        <f>IF(B313="","",IFERROR(SUMPRODUCT((LEN(Employees!$A$3:$A$500)&gt;0)*(Employees!$W$3:$W$500=1)*(COUNTIFS($B$3:$B$500,Employees!$A$3:$A$500,$H$3:$H$500,"Approved",$D$3:$D$500,"&lt;="&amp;E313,$E$3:$E$500,"&gt;="&amp;D313,$A$3:$A$500,"&lt;&gt;"&amp;A313)=0)),0))</f>
        <v/>
      </c>
      <c r="Q313">
        <f>IF(B313="","",IFERROR(SUMPRODUCT((LEN(Employees!$A$3:$A$500)&gt;0)*(Employees!$N$3:$N$500=1)*(COUNTIFS($B$3:$B$500,Employees!$A$3:$A$500,$H$3:$H$500,"Approved",$D$3:$D$500,"&lt;="&amp;E313,$E$3:$E$500,"&gt;="&amp;D313,$A$3:$A$500,"&lt;&gt;"&amp;A313)&gt;0)),0))</f>
        <v/>
      </c>
      <c r="R313">
        <f>IF(B313="","",IFERROR(SUMPRODUCT((LEN(Employees!$A$3:$A$500)&gt;0)*(Employees!$O$3:$O$500=1)*(COUNTIFS($B$3:$B$500,Employees!$A$3:$A$500,$H$3:$H$500,"Approved",$D$3:$D$500,"&lt;="&amp;E313,$E$3:$E$500,"&gt;="&amp;D313,$A$3:$A$500,"&lt;&gt;"&amp;A313)&gt;0)),0))</f>
        <v/>
      </c>
      <c r="S313">
        <f>IF(OR(B313="",IFERROR(XLOOKUP(B313,Employees!$A$3:$A$500,Employees!$G$3:$G$500,""),"")=""),"",IFERROR(SUMPRODUCT((LEN(Employees!$A$3:$A$500)&gt;0)*(Employees!$G$3:$G$500=IFERROR(XLOOKUP(B313,Employees!$A$3:$A$500,Employees!$G$3:$G$500,""),""))*(COUNTIFS($B$3:$B$500,Employees!$A$3:$A$500,$H$3:$H$500,"Approved",$D$3:$D$500,"&lt;="&amp;E313,$E$3:$E$500,"&gt;="&amp;D313,$A$3:$A$500,"&lt;&gt;"&amp;A313)&gt;0)),0))</f>
        <v/>
      </c>
    </row>
    <row r="314">
      <c r="C314">
        <f>IFERROR(XLOOKUP(B314,Employees!$A$3:$A$500,Employees!$B$3:$B$500,""),"")</f>
        <v/>
      </c>
      <c r="I314">
        <f>IF(AND(B314&lt;&gt;"",D314&lt;&gt;"",E314&lt;&gt;""),E314-D314+1,"")</f>
        <v/>
      </c>
      <c r="J314">
        <f>IF(OR(B314="",D314="",E314=""),"",IF(OR(L314&lt;'Coverage Rules'!E7,M314&lt;'Coverage Rules'!E8,N314&lt;'Coverage Rules'!C8,O314&lt;'Coverage Rules'!E9,P314&lt;'Coverage Rules'!E10,Q314&gt;='Coverage Rules'!B16,R314&gt;='Coverage Rules'!B17,IF(S314="",FALSE,S314&gt;='Coverage Rules'!D24)),"Denied","OK"))</f>
        <v/>
      </c>
      <c r="L314">
        <f>IF(B314="","",IFERROR(SUMPRODUCT((LEN(Employees!$A$3:$A$500)&gt;0)*(Employees!$T$3:$T$500=1)*(COUNTIFS($B$3:$B$500,Employees!$A$3:$A$500,$H$3:$H$500,"Approved",$D$3:$D$500,"&lt;="&amp;E314,$E$3:$E$500,"&gt;="&amp;D314,$A$3:$A$500,"&lt;&gt;"&amp;A314)=0)),0))</f>
        <v/>
      </c>
      <c r="M314">
        <f>IF(B314="","",IFERROR(SUMPRODUCT((LEN(Employees!$A$3:$A$500)&gt;0)*(Employees!$U$3:$U$500=1)*(COUNTIFS($B$3:$B$500,Employees!$A$3:$A$500,$H$3:$H$500,"Approved",$D$3:$D$500,"&lt;="&amp;E314,$E$3:$E$500,"&gt;="&amp;D314,$A$3:$A$500,"&lt;&gt;"&amp;A314)=0)),0))</f>
        <v/>
      </c>
      <c r="N314">
        <f>IF(B314="","",IFERROR(SUMPRODUCT((LEN(Employees!$A$3:$A$500)&gt;0)*(Employees!$B$3:$B$500="Manager")*(Employees!$U$3:$U$500=1)*(COUNTIFS($B$3:$B$500,Employees!$A$3:$A$500,$H$3:$H$500,"Approved",$D$3:$D$500,"&lt;="&amp;E314,$E$3:$E$500,"&gt;="&amp;D314,$A$3:$A$500,"&lt;&gt;"&amp;A314)=0)),0))</f>
        <v/>
      </c>
      <c r="O314">
        <f>IF(B314="","",IFERROR(SUMPRODUCT((LEN(Employees!$A$3:$A$500)&gt;0)*(Employees!$V$3:$V$500=1)*(COUNTIFS($B$3:$B$500,Employees!$A$3:$A$500,$H$3:$H$500,"Approved",$D$3:$D$500,"&lt;="&amp;E314,$E$3:$E$500,"&gt;="&amp;D314,$A$3:$A$500,"&lt;&gt;"&amp;A314)=0)),0))</f>
        <v/>
      </c>
      <c r="P314">
        <f>IF(B314="","",IFERROR(SUMPRODUCT((LEN(Employees!$A$3:$A$500)&gt;0)*(Employees!$W$3:$W$500=1)*(COUNTIFS($B$3:$B$500,Employees!$A$3:$A$500,$H$3:$H$500,"Approved",$D$3:$D$500,"&lt;="&amp;E314,$E$3:$E$500,"&gt;="&amp;D314,$A$3:$A$500,"&lt;&gt;"&amp;A314)=0)),0))</f>
        <v/>
      </c>
      <c r="Q314">
        <f>IF(B314="","",IFERROR(SUMPRODUCT((LEN(Employees!$A$3:$A$500)&gt;0)*(Employees!$N$3:$N$500=1)*(COUNTIFS($B$3:$B$500,Employees!$A$3:$A$500,$H$3:$H$500,"Approved",$D$3:$D$500,"&lt;="&amp;E314,$E$3:$E$500,"&gt;="&amp;D314,$A$3:$A$500,"&lt;&gt;"&amp;A314)&gt;0)),0))</f>
        <v/>
      </c>
      <c r="R314">
        <f>IF(B314="","",IFERROR(SUMPRODUCT((LEN(Employees!$A$3:$A$500)&gt;0)*(Employees!$O$3:$O$500=1)*(COUNTIFS($B$3:$B$500,Employees!$A$3:$A$500,$H$3:$H$500,"Approved",$D$3:$D$500,"&lt;="&amp;E314,$E$3:$E$500,"&gt;="&amp;D314,$A$3:$A$500,"&lt;&gt;"&amp;A314)&gt;0)),0))</f>
        <v/>
      </c>
      <c r="S314">
        <f>IF(OR(B314="",IFERROR(XLOOKUP(B314,Employees!$A$3:$A$500,Employees!$G$3:$G$500,""),"")=""),"",IFERROR(SUMPRODUCT((LEN(Employees!$A$3:$A$500)&gt;0)*(Employees!$G$3:$G$500=IFERROR(XLOOKUP(B314,Employees!$A$3:$A$500,Employees!$G$3:$G$500,""),""))*(COUNTIFS($B$3:$B$500,Employees!$A$3:$A$500,$H$3:$H$500,"Approved",$D$3:$D$500,"&lt;="&amp;E314,$E$3:$E$500,"&gt;="&amp;D314,$A$3:$A$500,"&lt;&gt;"&amp;A314)&gt;0)),0))</f>
        <v/>
      </c>
    </row>
    <row r="315">
      <c r="C315">
        <f>IFERROR(XLOOKUP(B315,Employees!$A$3:$A$500,Employees!$B$3:$B$500,""),"")</f>
        <v/>
      </c>
      <c r="I315">
        <f>IF(AND(B315&lt;&gt;"",D315&lt;&gt;"",E315&lt;&gt;""),E315-D315+1,"")</f>
        <v/>
      </c>
      <c r="J315">
        <f>IF(OR(B315="",D315="",E315=""),"",IF(OR(L315&lt;'Coverage Rules'!E7,M315&lt;'Coverage Rules'!E8,N315&lt;'Coverage Rules'!C8,O315&lt;'Coverage Rules'!E9,P315&lt;'Coverage Rules'!E10,Q315&gt;='Coverage Rules'!B16,R315&gt;='Coverage Rules'!B17,IF(S315="",FALSE,S315&gt;='Coverage Rules'!D24)),"Denied","OK"))</f>
        <v/>
      </c>
      <c r="L315">
        <f>IF(B315="","",IFERROR(SUMPRODUCT((LEN(Employees!$A$3:$A$500)&gt;0)*(Employees!$T$3:$T$500=1)*(COUNTIFS($B$3:$B$500,Employees!$A$3:$A$500,$H$3:$H$500,"Approved",$D$3:$D$500,"&lt;="&amp;E315,$E$3:$E$500,"&gt;="&amp;D315,$A$3:$A$500,"&lt;&gt;"&amp;A315)=0)),0))</f>
        <v/>
      </c>
      <c r="M315">
        <f>IF(B315="","",IFERROR(SUMPRODUCT((LEN(Employees!$A$3:$A$500)&gt;0)*(Employees!$U$3:$U$500=1)*(COUNTIFS($B$3:$B$500,Employees!$A$3:$A$500,$H$3:$H$500,"Approved",$D$3:$D$500,"&lt;="&amp;E315,$E$3:$E$500,"&gt;="&amp;D315,$A$3:$A$500,"&lt;&gt;"&amp;A315)=0)),0))</f>
        <v/>
      </c>
      <c r="N315">
        <f>IF(B315="","",IFERROR(SUMPRODUCT((LEN(Employees!$A$3:$A$500)&gt;0)*(Employees!$B$3:$B$500="Manager")*(Employees!$U$3:$U$500=1)*(COUNTIFS($B$3:$B$500,Employees!$A$3:$A$500,$H$3:$H$500,"Approved",$D$3:$D$500,"&lt;="&amp;E315,$E$3:$E$500,"&gt;="&amp;D315,$A$3:$A$500,"&lt;&gt;"&amp;A315)=0)),0))</f>
        <v/>
      </c>
      <c r="O315">
        <f>IF(B315="","",IFERROR(SUMPRODUCT((LEN(Employees!$A$3:$A$500)&gt;0)*(Employees!$V$3:$V$500=1)*(COUNTIFS($B$3:$B$500,Employees!$A$3:$A$500,$H$3:$H$500,"Approved",$D$3:$D$500,"&lt;="&amp;E315,$E$3:$E$500,"&gt;="&amp;D315,$A$3:$A$500,"&lt;&gt;"&amp;A315)=0)),0))</f>
        <v/>
      </c>
      <c r="P315">
        <f>IF(B315="","",IFERROR(SUMPRODUCT((LEN(Employees!$A$3:$A$500)&gt;0)*(Employees!$W$3:$W$500=1)*(COUNTIFS($B$3:$B$500,Employees!$A$3:$A$500,$H$3:$H$500,"Approved",$D$3:$D$500,"&lt;="&amp;E315,$E$3:$E$500,"&gt;="&amp;D315,$A$3:$A$500,"&lt;&gt;"&amp;A315)=0)),0))</f>
        <v/>
      </c>
      <c r="Q315">
        <f>IF(B315="","",IFERROR(SUMPRODUCT((LEN(Employees!$A$3:$A$500)&gt;0)*(Employees!$N$3:$N$500=1)*(COUNTIFS($B$3:$B$500,Employees!$A$3:$A$500,$H$3:$H$500,"Approved",$D$3:$D$500,"&lt;="&amp;E315,$E$3:$E$500,"&gt;="&amp;D315,$A$3:$A$500,"&lt;&gt;"&amp;A315)&gt;0)),0))</f>
        <v/>
      </c>
      <c r="R315">
        <f>IF(B315="","",IFERROR(SUMPRODUCT((LEN(Employees!$A$3:$A$500)&gt;0)*(Employees!$O$3:$O$500=1)*(COUNTIFS($B$3:$B$500,Employees!$A$3:$A$500,$H$3:$H$500,"Approved",$D$3:$D$500,"&lt;="&amp;E315,$E$3:$E$500,"&gt;="&amp;D315,$A$3:$A$500,"&lt;&gt;"&amp;A315)&gt;0)),0))</f>
        <v/>
      </c>
      <c r="S315">
        <f>IF(OR(B315="",IFERROR(XLOOKUP(B315,Employees!$A$3:$A$500,Employees!$G$3:$G$500,""),"")=""),"",IFERROR(SUMPRODUCT((LEN(Employees!$A$3:$A$500)&gt;0)*(Employees!$G$3:$G$500=IFERROR(XLOOKUP(B315,Employees!$A$3:$A$500,Employees!$G$3:$G$500,""),""))*(COUNTIFS($B$3:$B$500,Employees!$A$3:$A$500,$H$3:$H$500,"Approved",$D$3:$D$500,"&lt;="&amp;E315,$E$3:$E$500,"&gt;="&amp;D315,$A$3:$A$500,"&lt;&gt;"&amp;A315)&gt;0)),0))</f>
        <v/>
      </c>
    </row>
    <row r="316">
      <c r="C316">
        <f>IFERROR(XLOOKUP(B316,Employees!$A$3:$A$500,Employees!$B$3:$B$500,""),"")</f>
        <v/>
      </c>
      <c r="I316">
        <f>IF(AND(B316&lt;&gt;"",D316&lt;&gt;"",E316&lt;&gt;""),E316-D316+1,"")</f>
        <v/>
      </c>
      <c r="J316">
        <f>IF(OR(B316="",D316="",E316=""),"",IF(OR(L316&lt;'Coverage Rules'!E7,M316&lt;'Coverage Rules'!E8,N316&lt;'Coverage Rules'!C8,O316&lt;'Coverage Rules'!E9,P316&lt;'Coverage Rules'!E10,Q316&gt;='Coverage Rules'!B16,R316&gt;='Coverage Rules'!B17,IF(S316="",FALSE,S316&gt;='Coverage Rules'!D24)),"Denied","OK"))</f>
        <v/>
      </c>
      <c r="L316">
        <f>IF(B316="","",IFERROR(SUMPRODUCT((LEN(Employees!$A$3:$A$500)&gt;0)*(Employees!$T$3:$T$500=1)*(COUNTIFS($B$3:$B$500,Employees!$A$3:$A$500,$H$3:$H$500,"Approved",$D$3:$D$500,"&lt;="&amp;E316,$E$3:$E$500,"&gt;="&amp;D316,$A$3:$A$500,"&lt;&gt;"&amp;A316)=0)),0))</f>
        <v/>
      </c>
      <c r="M316">
        <f>IF(B316="","",IFERROR(SUMPRODUCT((LEN(Employees!$A$3:$A$500)&gt;0)*(Employees!$U$3:$U$500=1)*(COUNTIFS($B$3:$B$500,Employees!$A$3:$A$500,$H$3:$H$500,"Approved",$D$3:$D$500,"&lt;="&amp;E316,$E$3:$E$500,"&gt;="&amp;D316,$A$3:$A$500,"&lt;&gt;"&amp;A316)=0)),0))</f>
        <v/>
      </c>
      <c r="N316">
        <f>IF(B316="","",IFERROR(SUMPRODUCT((LEN(Employees!$A$3:$A$500)&gt;0)*(Employees!$B$3:$B$500="Manager")*(Employees!$U$3:$U$500=1)*(COUNTIFS($B$3:$B$500,Employees!$A$3:$A$500,$H$3:$H$500,"Approved",$D$3:$D$500,"&lt;="&amp;E316,$E$3:$E$500,"&gt;="&amp;D316,$A$3:$A$500,"&lt;&gt;"&amp;A316)=0)),0))</f>
        <v/>
      </c>
      <c r="O316">
        <f>IF(B316="","",IFERROR(SUMPRODUCT((LEN(Employees!$A$3:$A$500)&gt;0)*(Employees!$V$3:$V$500=1)*(COUNTIFS($B$3:$B$500,Employees!$A$3:$A$500,$H$3:$H$500,"Approved",$D$3:$D$500,"&lt;="&amp;E316,$E$3:$E$500,"&gt;="&amp;D316,$A$3:$A$500,"&lt;&gt;"&amp;A316)=0)),0))</f>
        <v/>
      </c>
      <c r="P316">
        <f>IF(B316="","",IFERROR(SUMPRODUCT((LEN(Employees!$A$3:$A$500)&gt;0)*(Employees!$W$3:$W$500=1)*(COUNTIFS($B$3:$B$500,Employees!$A$3:$A$500,$H$3:$H$500,"Approved",$D$3:$D$500,"&lt;="&amp;E316,$E$3:$E$500,"&gt;="&amp;D316,$A$3:$A$500,"&lt;&gt;"&amp;A316)=0)),0))</f>
        <v/>
      </c>
      <c r="Q316">
        <f>IF(B316="","",IFERROR(SUMPRODUCT((LEN(Employees!$A$3:$A$500)&gt;0)*(Employees!$N$3:$N$500=1)*(COUNTIFS($B$3:$B$500,Employees!$A$3:$A$500,$H$3:$H$500,"Approved",$D$3:$D$500,"&lt;="&amp;E316,$E$3:$E$500,"&gt;="&amp;D316,$A$3:$A$500,"&lt;&gt;"&amp;A316)&gt;0)),0))</f>
        <v/>
      </c>
      <c r="R316">
        <f>IF(B316="","",IFERROR(SUMPRODUCT((LEN(Employees!$A$3:$A$500)&gt;0)*(Employees!$O$3:$O$500=1)*(COUNTIFS($B$3:$B$500,Employees!$A$3:$A$500,$H$3:$H$500,"Approved",$D$3:$D$500,"&lt;="&amp;E316,$E$3:$E$500,"&gt;="&amp;D316,$A$3:$A$500,"&lt;&gt;"&amp;A316)&gt;0)),0))</f>
        <v/>
      </c>
      <c r="S316">
        <f>IF(OR(B316="",IFERROR(XLOOKUP(B316,Employees!$A$3:$A$500,Employees!$G$3:$G$500,""),"")=""),"",IFERROR(SUMPRODUCT((LEN(Employees!$A$3:$A$500)&gt;0)*(Employees!$G$3:$G$500=IFERROR(XLOOKUP(B316,Employees!$A$3:$A$500,Employees!$G$3:$G$500,""),""))*(COUNTIFS($B$3:$B$500,Employees!$A$3:$A$500,$H$3:$H$500,"Approved",$D$3:$D$500,"&lt;="&amp;E316,$E$3:$E$500,"&gt;="&amp;D316,$A$3:$A$500,"&lt;&gt;"&amp;A316)&gt;0)),0))</f>
        <v/>
      </c>
    </row>
    <row r="317">
      <c r="C317">
        <f>IFERROR(XLOOKUP(B317,Employees!$A$3:$A$500,Employees!$B$3:$B$500,""),"")</f>
        <v/>
      </c>
      <c r="I317">
        <f>IF(AND(B317&lt;&gt;"",D317&lt;&gt;"",E317&lt;&gt;""),E317-D317+1,"")</f>
        <v/>
      </c>
      <c r="J317">
        <f>IF(OR(B317="",D317="",E317=""),"",IF(OR(L317&lt;'Coverage Rules'!E7,M317&lt;'Coverage Rules'!E8,N317&lt;'Coverage Rules'!C8,O317&lt;'Coverage Rules'!E9,P317&lt;'Coverage Rules'!E10,Q317&gt;='Coverage Rules'!B16,R317&gt;='Coverage Rules'!B17,IF(S317="",FALSE,S317&gt;='Coverage Rules'!D24)),"Denied","OK"))</f>
        <v/>
      </c>
      <c r="L317">
        <f>IF(B317="","",IFERROR(SUMPRODUCT((LEN(Employees!$A$3:$A$500)&gt;0)*(Employees!$T$3:$T$500=1)*(COUNTIFS($B$3:$B$500,Employees!$A$3:$A$500,$H$3:$H$500,"Approved",$D$3:$D$500,"&lt;="&amp;E317,$E$3:$E$500,"&gt;="&amp;D317,$A$3:$A$500,"&lt;&gt;"&amp;A317)=0)),0))</f>
        <v/>
      </c>
      <c r="M317">
        <f>IF(B317="","",IFERROR(SUMPRODUCT((LEN(Employees!$A$3:$A$500)&gt;0)*(Employees!$U$3:$U$500=1)*(COUNTIFS($B$3:$B$500,Employees!$A$3:$A$500,$H$3:$H$500,"Approved",$D$3:$D$500,"&lt;="&amp;E317,$E$3:$E$500,"&gt;="&amp;D317,$A$3:$A$500,"&lt;&gt;"&amp;A317)=0)),0))</f>
        <v/>
      </c>
      <c r="N317">
        <f>IF(B317="","",IFERROR(SUMPRODUCT((LEN(Employees!$A$3:$A$500)&gt;0)*(Employees!$B$3:$B$500="Manager")*(Employees!$U$3:$U$500=1)*(COUNTIFS($B$3:$B$500,Employees!$A$3:$A$500,$H$3:$H$500,"Approved",$D$3:$D$500,"&lt;="&amp;E317,$E$3:$E$500,"&gt;="&amp;D317,$A$3:$A$500,"&lt;&gt;"&amp;A317)=0)),0))</f>
        <v/>
      </c>
      <c r="O317">
        <f>IF(B317="","",IFERROR(SUMPRODUCT((LEN(Employees!$A$3:$A$500)&gt;0)*(Employees!$V$3:$V$500=1)*(COUNTIFS($B$3:$B$500,Employees!$A$3:$A$500,$H$3:$H$500,"Approved",$D$3:$D$500,"&lt;="&amp;E317,$E$3:$E$500,"&gt;="&amp;D317,$A$3:$A$500,"&lt;&gt;"&amp;A317)=0)),0))</f>
        <v/>
      </c>
      <c r="P317">
        <f>IF(B317="","",IFERROR(SUMPRODUCT((LEN(Employees!$A$3:$A$500)&gt;0)*(Employees!$W$3:$W$500=1)*(COUNTIFS($B$3:$B$500,Employees!$A$3:$A$500,$H$3:$H$500,"Approved",$D$3:$D$500,"&lt;="&amp;E317,$E$3:$E$500,"&gt;="&amp;D317,$A$3:$A$500,"&lt;&gt;"&amp;A317)=0)),0))</f>
        <v/>
      </c>
      <c r="Q317">
        <f>IF(B317="","",IFERROR(SUMPRODUCT((LEN(Employees!$A$3:$A$500)&gt;0)*(Employees!$N$3:$N$500=1)*(COUNTIFS($B$3:$B$500,Employees!$A$3:$A$500,$H$3:$H$500,"Approved",$D$3:$D$500,"&lt;="&amp;E317,$E$3:$E$500,"&gt;="&amp;D317,$A$3:$A$500,"&lt;&gt;"&amp;A317)&gt;0)),0))</f>
        <v/>
      </c>
      <c r="R317">
        <f>IF(B317="","",IFERROR(SUMPRODUCT((LEN(Employees!$A$3:$A$500)&gt;0)*(Employees!$O$3:$O$500=1)*(COUNTIFS($B$3:$B$500,Employees!$A$3:$A$500,$H$3:$H$500,"Approved",$D$3:$D$500,"&lt;="&amp;E317,$E$3:$E$500,"&gt;="&amp;D317,$A$3:$A$500,"&lt;&gt;"&amp;A317)&gt;0)),0))</f>
        <v/>
      </c>
      <c r="S317">
        <f>IF(OR(B317="",IFERROR(XLOOKUP(B317,Employees!$A$3:$A$500,Employees!$G$3:$G$500,""),"")=""),"",IFERROR(SUMPRODUCT((LEN(Employees!$A$3:$A$500)&gt;0)*(Employees!$G$3:$G$500=IFERROR(XLOOKUP(B317,Employees!$A$3:$A$500,Employees!$G$3:$G$500,""),""))*(COUNTIFS($B$3:$B$500,Employees!$A$3:$A$500,$H$3:$H$500,"Approved",$D$3:$D$500,"&lt;="&amp;E317,$E$3:$E$500,"&gt;="&amp;D317,$A$3:$A$500,"&lt;&gt;"&amp;A317)&gt;0)),0))</f>
        <v/>
      </c>
    </row>
    <row r="318">
      <c r="C318">
        <f>IFERROR(XLOOKUP(B318,Employees!$A$3:$A$500,Employees!$B$3:$B$500,""),"")</f>
        <v/>
      </c>
      <c r="I318">
        <f>IF(AND(B318&lt;&gt;"",D318&lt;&gt;"",E318&lt;&gt;""),E318-D318+1,"")</f>
        <v/>
      </c>
      <c r="J318">
        <f>IF(OR(B318="",D318="",E318=""),"",IF(OR(L318&lt;'Coverage Rules'!E7,M318&lt;'Coverage Rules'!E8,N318&lt;'Coverage Rules'!C8,O318&lt;'Coverage Rules'!E9,P318&lt;'Coverage Rules'!E10,Q318&gt;='Coverage Rules'!B16,R318&gt;='Coverage Rules'!B17,IF(S318="",FALSE,S318&gt;='Coverage Rules'!D24)),"Denied","OK"))</f>
        <v/>
      </c>
      <c r="L318">
        <f>IF(B318="","",IFERROR(SUMPRODUCT((LEN(Employees!$A$3:$A$500)&gt;0)*(Employees!$T$3:$T$500=1)*(COUNTIFS($B$3:$B$500,Employees!$A$3:$A$500,$H$3:$H$500,"Approved",$D$3:$D$500,"&lt;="&amp;E318,$E$3:$E$500,"&gt;="&amp;D318,$A$3:$A$500,"&lt;&gt;"&amp;A318)=0)),0))</f>
        <v/>
      </c>
      <c r="M318">
        <f>IF(B318="","",IFERROR(SUMPRODUCT((LEN(Employees!$A$3:$A$500)&gt;0)*(Employees!$U$3:$U$500=1)*(COUNTIFS($B$3:$B$500,Employees!$A$3:$A$500,$H$3:$H$500,"Approved",$D$3:$D$500,"&lt;="&amp;E318,$E$3:$E$500,"&gt;="&amp;D318,$A$3:$A$500,"&lt;&gt;"&amp;A318)=0)),0))</f>
        <v/>
      </c>
      <c r="N318">
        <f>IF(B318="","",IFERROR(SUMPRODUCT((LEN(Employees!$A$3:$A$500)&gt;0)*(Employees!$B$3:$B$500="Manager")*(Employees!$U$3:$U$500=1)*(COUNTIFS($B$3:$B$500,Employees!$A$3:$A$500,$H$3:$H$500,"Approved",$D$3:$D$500,"&lt;="&amp;E318,$E$3:$E$500,"&gt;="&amp;D318,$A$3:$A$500,"&lt;&gt;"&amp;A318)=0)),0))</f>
        <v/>
      </c>
      <c r="O318">
        <f>IF(B318="","",IFERROR(SUMPRODUCT((LEN(Employees!$A$3:$A$500)&gt;0)*(Employees!$V$3:$V$500=1)*(COUNTIFS($B$3:$B$500,Employees!$A$3:$A$500,$H$3:$H$500,"Approved",$D$3:$D$500,"&lt;="&amp;E318,$E$3:$E$500,"&gt;="&amp;D318,$A$3:$A$500,"&lt;&gt;"&amp;A318)=0)),0))</f>
        <v/>
      </c>
      <c r="P318">
        <f>IF(B318="","",IFERROR(SUMPRODUCT((LEN(Employees!$A$3:$A$500)&gt;0)*(Employees!$W$3:$W$500=1)*(COUNTIFS($B$3:$B$500,Employees!$A$3:$A$500,$H$3:$H$500,"Approved",$D$3:$D$500,"&lt;="&amp;E318,$E$3:$E$500,"&gt;="&amp;D318,$A$3:$A$500,"&lt;&gt;"&amp;A318)=0)),0))</f>
        <v/>
      </c>
      <c r="Q318">
        <f>IF(B318="","",IFERROR(SUMPRODUCT((LEN(Employees!$A$3:$A$500)&gt;0)*(Employees!$N$3:$N$500=1)*(COUNTIFS($B$3:$B$500,Employees!$A$3:$A$500,$H$3:$H$500,"Approved",$D$3:$D$500,"&lt;="&amp;E318,$E$3:$E$500,"&gt;="&amp;D318,$A$3:$A$500,"&lt;&gt;"&amp;A318)&gt;0)),0))</f>
        <v/>
      </c>
      <c r="R318">
        <f>IF(B318="","",IFERROR(SUMPRODUCT((LEN(Employees!$A$3:$A$500)&gt;0)*(Employees!$O$3:$O$500=1)*(COUNTIFS($B$3:$B$500,Employees!$A$3:$A$500,$H$3:$H$500,"Approved",$D$3:$D$500,"&lt;="&amp;E318,$E$3:$E$500,"&gt;="&amp;D318,$A$3:$A$500,"&lt;&gt;"&amp;A318)&gt;0)),0))</f>
        <v/>
      </c>
      <c r="S318">
        <f>IF(OR(B318="",IFERROR(XLOOKUP(B318,Employees!$A$3:$A$500,Employees!$G$3:$G$500,""),"")=""),"",IFERROR(SUMPRODUCT((LEN(Employees!$A$3:$A$500)&gt;0)*(Employees!$G$3:$G$500=IFERROR(XLOOKUP(B318,Employees!$A$3:$A$500,Employees!$G$3:$G$500,""),""))*(COUNTIFS($B$3:$B$500,Employees!$A$3:$A$500,$H$3:$H$500,"Approved",$D$3:$D$500,"&lt;="&amp;E318,$E$3:$E$500,"&gt;="&amp;D318,$A$3:$A$500,"&lt;&gt;"&amp;A318)&gt;0)),0))</f>
        <v/>
      </c>
    </row>
    <row r="319">
      <c r="C319">
        <f>IFERROR(XLOOKUP(B319,Employees!$A$3:$A$500,Employees!$B$3:$B$500,""),"")</f>
        <v/>
      </c>
      <c r="I319">
        <f>IF(AND(B319&lt;&gt;"",D319&lt;&gt;"",E319&lt;&gt;""),E319-D319+1,"")</f>
        <v/>
      </c>
      <c r="J319">
        <f>IF(OR(B319="",D319="",E319=""),"",IF(OR(L319&lt;'Coverage Rules'!E7,M319&lt;'Coverage Rules'!E8,N319&lt;'Coverage Rules'!C8,O319&lt;'Coverage Rules'!E9,P319&lt;'Coverage Rules'!E10,Q319&gt;='Coverage Rules'!B16,R319&gt;='Coverage Rules'!B17,IF(S319="",FALSE,S319&gt;='Coverage Rules'!D24)),"Denied","OK"))</f>
        <v/>
      </c>
      <c r="L319">
        <f>IF(B319="","",IFERROR(SUMPRODUCT((LEN(Employees!$A$3:$A$500)&gt;0)*(Employees!$T$3:$T$500=1)*(COUNTIFS($B$3:$B$500,Employees!$A$3:$A$500,$H$3:$H$500,"Approved",$D$3:$D$500,"&lt;="&amp;E319,$E$3:$E$500,"&gt;="&amp;D319,$A$3:$A$500,"&lt;&gt;"&amp;A319)=0)),0))</f>
        <v/>
      </c>
      <c r="M319">
        <f>IF(B319="","",IFERROR(SUMPRODUCT((LEN(Employees!$A$3:$A$500)&gt;0)*(Employees!$U$3:$U$500=1)*(COUNTIFS($B$3:$B$500,Employees!$A$3:$A$500,$H$3:$H$500,"Approved",$D$3:$D$500,"&lt;="&amp;E319,$E$3:$E$500,"&gt;="&amp;D319,$A$3:$A$500,"&lt;&gt;"&amp;A319)=0)),0))</f>
        <v/>
      </c>
      <c r="N319">
        <f>IF(B319="","",IFERROR(SUMPRODUCT((LEN(Employees!$A$3:$A$500)&gt;0)*(Employees!$B$3:$B$500="Manager")*(Employees!$U$3:$U$500=1)*(COUNTIFS($B$3:$B$500,Employees!$A$3:$A$500,$H$3:$H$500,"Approved",$D$3:$D$500,"&lt;="&amp;E319,$E$3:$E$500,"&gt;="&amp;D319,$A$3:$A$500,"&lt;&gt;"&amp;A319)=0)),0))</f>
        <v/>
      </c>
      <c r="O319">
        <f>IF(B319="","",IFERROR(SUMPRODUCT((LEN(Employees!$A$3:$A$500)&gt;0)*(Employees!$V$3:$V$500=1)*(COUNTIFS($B$3:$B$500,Employees!$A$3:$A$500,$H$3:$H$500,"Approved",$D$3:$D$500,"&lt;="&amp;E319,$E$3:$E$500,"&gt;="&amp;D319,$A$3:$A$500,"&lt;&gt;"&amp;A319)=0)),0))</f>
        <v/>
      </c>
      <c r="P319">
        <f>IF(B319="","",IFERROR(SUMPRODUCT((LEN(Employees!$A$3:$A$500)&gt;0)*(Employees!$W$3:$W$500=1)*(COUNTIFS($B$3:$B$500,Employees!$A$3:$A$500,$H$3:$H$500,"Approved",$D$3:$D$500,"&lt;="&amp;E319,$E$3:$E$500,"&gt;="&amp;D319,$A$3:$A$500,"&lt;&gt;"&amp;A319)=0)),0))</f>
        <v/>
      </c>
      <c r="Q319">
        <f>IF(B319="","",IFERROR(SUMPRODUCT((LEN(Employees!$A$3:$A$500)&gt;0)*(Employees!$N$3:$N$500=1)*(COUNTIFS($B$3:$B$500,Employees!$A$3:$A$500,$H$3:$H$500,"Approved",$D$3:$D$500,"&lt;="&amp;E319,$E$3:$E$500,"&gt;="&amp;D319,$A$3:$A$500,"&lt;&gt;"&amp;A319)&gt;0)),0))</f>
        <v/>
      </c>
      <c r="R319">
        <f>IF(B319="","",IFERROR(SUMPRODUCT((LEN(Employees!$A$3:$A$500)&gt;0)*(Employees!$O$3:$O$500=1)*(COUNTIFS($B$3:$B$500,Employees!$A$3:$A$500,$H$3:$H$500,"Approved",$D$3:$D$500,"&lt;="&amp;E319,$E$3:$E$500,"&gt;="&amp;D319,$A$3:$A$500,"&lt;&gt;"&amp;A319)&gt;0)),0))</f>
        <v/>
      </c>
      <c r="S319">
        <f>IF(OR(B319="",IFERROR(XLOOKUP(B319,Employees!$A$3:$A$500,Employees!$G$3:$G$500,""),"")=""),"",IFERROR(SUMPRODUCT((LEN(Employees!$A$3:$A$500)&gt;0)*(Employees!$G$3:$G$500=IFERROR(XLOOKUP(B319,Employees!$A$3:$A$500,Employees!$G$3:$G$500,""),""))*(COUNTIFS($B$3:$B$500,Employees!$A$3:$A$500,$H$3:$H$500,"Approved",$D$3:$D$500,"&lt;="&amp;E319,$E$3:$E$500,"&gt;="&amp;D319,$A$3:$A$500,"&lt;&gt;"&amp;A319)&gt;0)),0))</f>
        <v/>
      </c>
    </row>
    <row r="320">
      <c r="C320">
        <f>IFERROR(XLOOKUP(B320,Employees!$A$3:$A$500,Employees!$B$3:$B$500,""),"")</f>
        <v/>
      </c>
      <c r="I320">
        <f>IF(AND(B320&lt;&gt;"",D320&lt;&gt;"",E320&lt;&gt;""),E320-D320+1,"")</f>
        <v/>
      </c>
      <c r="J320">
        <f>IF(OR(B320="",D320="",E320=""),"",IF(OR(L320&lt;'Coverage Rules'!E7,M320&lt;'Coverage Rules'!E8,N320&lt;'Coverage Rules'!C8,O320&lt;'Coverage Rules'!E9,P320&lt;'Coverage Rules'!E10,Q320&gt;='Coverage Rules'!B16,R320&gt;='Coverage Rules'!B17,IF(S320="",FALSE,S320&gt;='Coverage Rules'!D24)),"Denied","OK"))</f>
        <v/>
      </c>
      <c r="L320">
        <f>IF(B320="","",IFERROR(SUMPRODUCT((LEN(Employees!$A$3:$A$500)&gt;0)*(Employees!$T$3:$T$500=1)*(COUNTIFS($B$3:$B$500,Employees!$A$3:$A$500,$H$3:$H$500,"Approved",$D$3:$D$500,"&lt;="&amp;E320,$E$3:$E$500,"&gt;="&amp;D320,$A$3:$A$500,"&lt;&gt;"&amp;A320)=0)),0))</f>
        <v/>
      </c>
      <c r="M320">
        <f>IF(B320="","",IFERROR(SUMPRODUCT((LEN(Employees!$A$3:$A$500)&gt;0)*(Employees!$U$3:$U$500=1)*(COUNTIFS($B$3:$B$500,Employees!$A$3:$A$500,$H$3:$H$500,"Approved",$D$3:$D$500,"&lt;="&amp;E320,$E$3:$E$500,"&gt;="&amp;D320,$A$3:$A$500,"&lt;&gt;"&amp;A320)=0)),0))</f>
        <v/>
      </c>
      <c r="N320">
        <f>IF(B320="","",IFERROR(SUMPRODUCT((LEN(Employees!$A$3:$A$500)&gt;0)*(Employees!$B$3:$B$500="Manager")*(Employees!$U$3:$U$500=1)*(COUNTIFS($B$3:$B$500,Employees!$A$3:$A$500,$H$3:$H$500,"Approved",$D$3:$D$500,"&lt;="&amp;E320,$E$3:$E$500,"&gt;="&amp;D320,$A$3:$A$500,"&lt;&gt;"&amp;A320)=0)),0))</f>
        <v/>
      </c>
      <c r="O320">
        <f>IF(B320="","",IFERROR(SUMPRODUCT((LEN(Employees!$A$3:$A$500)&gt;0)*(Employees!$V$3:$V$500=1)*(COUNTIFS($B$3:$B$500,Employees!$A$3:$A$500,$H$3:$H$500,"Approved",$D$3:$D$500,"&lt;="&amp;E320,$E$3:$E$500,"&gt;="&amp;D320,$A$3:$A$500,"&lt;&gt;"&amp;A320)=0)),0))</f>
        <v/>
      </c>
      <c r="P320">
        <f>IF(B320="","",IFERROR(SUMPRODUCT((LEN(Employees!$A$3:$A$500)&gt;0)*(Employees!$W$3:$W$500=1)*(COUNTIFS($B$3:$B$500,Employees!$A$3:$A$500,$H$3:$H$500,"Approved",$D$3:$D$500,"&lt;="&amp;E320,$E$3:$E$500,"&gt;="&amp;D320,$A$3:$A$500,"&lt;&gt;"&amp;A320)=0)),0))</f>
        <v/>
      </c>
      <c r="Q320">
        <f>IF(B320="","",IFERROR(SUMPRODUCT((LEN(Employees!$A$3:$A$500)&gt;0)*(Employees!$N$3:$N$500=1)*(COUNTIFS($B$3:$B$500,Employees!$A$3:$A$500,$H$3:$H$500,"Approved",$D$3:$D$500,"&lt;="&amp;E320,$E$3:$E$500,"&gt;="&amp;D320,$A$3:$A$500,"&lt;&gt;"&amp;A320)&gt;0)),0))</f>
        <v/>
      </c>
      <c r="R320">
        <f>IF(B320="","",IFERROR(SUMPRODUCT((LEN(Employees!$A$3:$A$500)&gt;0)*(Employees!$O$3:$O$500=1)*(COUNTIFS($B$3:$B$500,Employees!$A$3:$A$500,$H$3:$H$500,"Approved",$D$3:$D$500,"&lt;="&amp;E320,$E$3:$E$500,"&gt;="&amp;D320,$A$3:$A$500,"&lt;&gt;"&amp;A320)&gt;0)),0))</f>
        <v/>
      </c>
      <c r="S320">
        <f>IF(OR(B320="",IFERROR(XLOOKUP(B320,Employees!$A$3:$A$500,Employees!$G$3:$G$500,""),"")=""),"",IFERROR(SUMPRODUCT((LEN(Employees!$A$3:$A$500)&gt;0)*(Employees!$G$3:$G$500=IFERROR(XLOOKUP(B320,Employees!$A$3:$A$500,Employees!$G$3:$G$500,""),""))*(COUNTIFS($B$3:$B$500,Employees!$A$3:$A$500,$H$3:$H$500,"Approved",$D$3:$D$500,"&lt;="&amp;E320,$E$3:$E$500,"&gt;="&amp;D320,$A$3:$A$500,"&lt;&gt;"&amp;A320)&gt;0)),0))</f>
        <v/>
      </c>
    </row>
    <row r="321">
      <c r="C321">
        <f>IFERROR(XLOOKUP(B321,Employees!$A$3:$A$500,Employees!$B$3:$B$500,""),"")</f>
        <v/>
      </c>
      <c r="I321">
        <f>IF(AND(B321&lt;&gt;"",D321&lt;&gt;"",E321&lt;&gt;""),E321-D321+1,"")</f>
        <v/>
      </c>
      <c r="J321">
        <f>IF(OR(B321="",D321="",E321=""),"",IF(OR(L321&lt;'Coverage Rules'!E7,M321&lt;'Coverage Rules'!E8,N321&lt;'Coverage Rules'!C8,O321&lt;'Coverage Rules'!E9,P321&lt;'Coverage Rules'!E10,Q321&gt;='Coverage Rules'!B16,R321&gt;='Coverage Rules'!B17,IF(S321="",FALSE,S321&gt;='Coverage Rules'!D24)),"Denied","OK"))</f>
        <v/>
      </c>
      <c r="L321">
        <f>IF(B321="","",IFERROR(SUMPRODUCT((LEN(Employees!$A$3:$A$500)&gt;0)*(Employees!$T$3:$T$500=1)*(COUNTIFS($B$3:$B$500,Employees!$A$3:$A$500,$H$3:$H$500,"Approved",$D$3:$D$500,"&lt;="&amp;E321,$E$3:$E$500,"&gt;="&amp;D321,$A$3:$A$500,"&lt;&gt;"&amp;A321)=0)),0))</f>
        <v/>
      </c>
      <c r="M321">
        <f>IF(B321="","",IFERROR(SUMPRODUCT((LEN(Employees!$A$3:$A$500)&gt;0)*(Employees!$U$3:$U$500=1)*(COUNTIFS($B$3:$B$500,Employees!$A$3:$A$500,$H$3:$H$500,"Approved",$D$3:$D$500,"&lt;="&amp;E321,$E$3:$E$500,"&gt;="&amp;D321,$A$3:$A$500,"&lt;&gt;"&amp;A321)=0)),0))</f>
        <v/>
      </c>
      <c r="N321">
        <f>IF(B321="","",IFERROR(SUMPRODUCT((LEN(Employees!$A$3:$A$500)&gt;0)*(Employees!$B$3:$B$500="Manager")*(Employees!$U$3:$U$500=1)*(COUNTIFS($B$3:$B$500,Employees!$A$3:$A$500,$H$3:$H$500,"Approved",$D$3:$D$500,"&lt;="&amp;E321,$E$3:$E$500,"&gt;="&amp;D321,$A$3:$A$500,"&lt;&gt;"&amp;A321)=0)),0))</f>
        <v/>
      </c>
      <c r="O321">
        <f>IF(B321="","",IFERROR(SUMPRODUCT((LEN(Employees!$A$3:$A$500)&gt;0)*(Employees!$V$3:$V$500=1)*(COUNTIFS($B$3:$B$500,Employees!$A$3:$A$500,$H$3:$H$500,"Approved",$D$3:$D$500,"&lt;="&amp;E321,$E$3:$E$500,"&gt;="&amp;D321,$A$3:$A$500,"&lt;&gt;"&amp;A321)=0)),0))</f>
        <v/>
      </c>
      <c r="P321">
        <f>IF(B321="","",IFERROR(SUMPRODUCT((LEN(Employees!$A$3:$A$500)&gt;0)*(Employees!$W$3:$W$500=1)*(COUNTIFS($B$3:$B$500,Employees!$A$3:$A$500,$H$3:$H$500,"Approved",$D$3:$D$500,"&lt;="&amp;E321,$E$3:$E$500,"&gt;="&amp;D321,$A$3:$A$500,"&lt;&gt;"&amp;A321)=0)),0))</f>
        <v/>
      </c>
      <c r="Q321">
        <f>IF(B321="","",IFERROR(SUMPRODUCT((LEN(Employees!$A$3:$A$500)&gt;0)*(Employees!$N$3:$N$500=1)*(COUNTIFS($B$3:$B$500,Employees!$A$3:$A$500,$H$3:$H$500,"Approved",$D$3:$D$500,"&lt;="&amp;E321,$E$3:$E$500,"&gt;="&amp;D321,$A$3:$A$500,"&lt;&gt;"&amp;A321)&gt;0)),0))</f>
        <v/>
      </c>
      <c r="R321">
        <f>IF(B321="","",IFERROR(SUMPRODUCT((LEN(Employees!$A$3:$A$500)&gt;0)*(Employees!$O$3:$O$500=1)*(COUNTIFS($B$3:$B$500,Employees!$A$3:$A$500,$H$3:$H$500,"Approved",$D$3:$D$500,"&lt;="&amp;E321,$E$3:$E$500,"&gt;="&amp;D321,$A$3:$A$500,"&lt;&gt;"&amp;A321)&gt;0)),0))</f>
        <v/>
      </c>
      <c r="S321">
        <f>IF(OR(B321="",IFERROR(XLOOKUP(B321,Employees!$A$3:$A$500,Employees!$G$3:$G$500,""),"")=""),"",IFERROR(SUMPRODUCT((LEN(Employees!$A$3:$A$500)&gt;0)*(Employees!$G$3:$G$500=IFERROR(XLOOKUP(B321,Employees!$A$3:$A$500,Employees!$G$3:$G$500,""),""))*(COUNTIFS($B$3:$B$500,Employees!$A$3:$A$500,$H$3:$H$500,"Approved",$D$3:$D$500,"&lt;="&amp;E321,$E$3:$E$500,"&gt;="&amp;D321,$A$3:$A$500,"&lt;&gt;"&amp;A321)&gt;0)),0))</f>
        <v/>
      </c>
    </row>
    <row r="322">
      <c r="C322">
        <f>IFERROR(XLOOKUP(B322,Employees!$A$3:$A$500,Employees!$B$3:$B$500,""),"")</f>
        <v/>
      </c>
      <c r="I322">
        <f>IF(AND(B322&lt;&gt;"",D322&lt;&gt;"",E322&lt;&gt;""),E322-D322+1,"")</f>
        <v/>
      </c>
      <c r="J322">
        <f>IF(OR(B322="",D322="",E322=""),"",IF(OR(L322&lt;'Coverage Rules'!E7,M322&lt;'Coverage Rules'!E8,N322&lt;'Coverage Rules'!C8,O322&lt;'Coverage Rules'!E9,P322&lt;'Coverage Rules'!E10,Q322&gt;='Coverage Rules'!B16,R322&gt;='Coverage Rules'!B17,IF(S322="",FALSE,S322&gt;='Coverage Rules'!D24)),"Denied","OK"))</f>
        <v/>
      </c>
      <c r="L322">
        <f>IF(B322="","",IFERROR(SUMPRODUCT((LEN(Employees!$A$3:$A$500)&gt;0)*(Employees!$T$3:$T$500=1)*(COUNTIFS($B$3:$B$500,Employees!$A$3:$A$500,$H$3:$H$500,"Approved",$D$3:$D$500,"&lt;="&amp;E322,$E$3:$E$500,"&gt;="&amp;D322,$A$3:$A$500,"&lt;&gt;"&amp;A322)=0)),0))</f>
        <v/>
      </c>
      <c r="M322">
        <f>IF(B322="","",IFERROR(SUMPRODUCT((LEN(Employees!$A$3:$A$500)&gt;0)*(Employees!$U$3:$U$500=1)*(COUNTIFS($B$3:$B$500,Employees!$A$3:$A$500,$H$3:$H$500,"Approved",$D$3:$D$500,"&lt;="&amp;E322,$E$3:$E$500,"&gt;="&amp;D322,$A$3:$A$500,"&lt;&gt;"&amp;A322)=0)),0))</f>
        <v/>
      </c>
      <c r="N322">
        <f>IF(B322="","",IFERROR(SUMPRODUCT((LEN(Employees!$A$3:$A$500)&gt;0)*(Employees!$B$3:$B$500="Manager")*(Employees!$U$3:$U$500=1)*(COUNTIFS($B$3:$B$500,Employees!$A$3:$A$500,$H$3:$H$500,"Approved",$D$3:$D$500,"&lt;="&amp;E322,$E$3:$E$500,"&gt;="&amp;D322,$A$3:$A$500,"&lt;&gt;"&amp;A322)=0)),0))</f>
        <v/>
      </c>
      <c r="O322">
        <f>IF(B322="","",IFERROR(SUMPRODUCT((LEN(Employees!$A$3:$A$500)&gt;0)*(Employees!$V$3:$V$500=1)*(COUNTIFS($B$3:$B$500,Employees!$A$3:$A$500,$H$3:$H$500,"Approved",$D$3:$D$500,"&lt;="&amp;E322,$E$3:$E$500,"&gt;="&amp;D322,$A$3:$A$500,"&lt;&gt;"&amp;A322)=0)),0))</f>
        <v/>
      </c>
      <c r="P322">
        <f>IF(B322="","",IFERROR(SUMPRODUCT((LEN(Employees!$A$3:$A$500)&gt;0)*(Employees!$W$3:$W$500=1)*(COUNTIFS($B$3:$B$500,Employees!$A$3:$A$500,$H$3:$H$500,"Approved",$D$3:$D$500,"&lt;="&amp;E322,$E$3:$E$500,"&gt;="&amp;D322,$A$3:$A$500,"&lt;&gt;"&amp;A322)=0)),0))</f>
        <v/>
      </c>
      <c r="Q322">
        <f>IF(B322="","",IFERROR(SUMPRODUCT((LEN(Employees!$A$3:$A$500)&gt;0)*(Employees!$N$3:$N$500=1)*(COUNTIFS($B$3:$B$500,Employees!$A$3:$A$500,$H$3:$H$500,"Approved",$D$3:$D$500,"&lt;="&amp;E322,$E$3:$E$500,"&gt;="&amp;D322,$A$3:$A$500,"&lt;&gt;"&amp;A322)&gt;0)),0))</f>
        <v/>
      </c>
      <c r="R322">
        <f>IF(B322="","",IFERROR(SUMPRODUCT((LEN(Employees!$A$3:$A$500)&gt;0)*(Employees!$O$3:$O$500=1)*(COUNTIFS($B$3:$B$500,Employees!$A$3:$A$500,$H$3:$H$500,"Approved",$D$3:$D$500,"&lt;="&amp;E322,$E$3:$E$500,"&gt;="&amp;D322,$A$3:$A$500,"&lt;&gt;"&amp;A322)&gt;0)),0))</f>
        <v/>
      </c>
      <c r="S322">
        <f>IF(OR(B322="",IFERROR(XLOOKUP(B322,Employees!$A$3:$A$500,Employees!$G$3:$G$500,""),"")=""),"",IFERROR(SUMPRODUCT((LEN(Employees!$A$3:$A$500)&gt;0)*(Employees!$G$3:$G$500=IFERROR(XLOOKUP(B322,Employees!$A$3:$A$500,Employees!$G$3:$G$500,""),""))*(COUNTIFS($B$3:$B$500,Employees!$A$3:$A$500,$H$3:$H$500,"Approved",$D$3:$D$500,"&lt;="&amp;E322,$E$3:$E$500,"&gt;="&amp;D322,$A$3:$A$500,"&lt;&gt;"&amp;A322)&gt;0)),0))</f>
        <v/>
      </c>
    </row>
    <row r="323">
      <c r="C323">
        <f>IFERROR(XLOOKUP(B323,Employees!$A$3:$A$500,Employees!$B$3:$B$500,""),"")</f>
        <v/>
      </c>
      <c r="I323">
        <f>IF(AND(B323&lt;&gt;"",D323&lt;&gt;"",E323&lt;&gt;""),E323-D323+1,"")</f>
        <v/>
      </c>
      <c r="J323">
        <f>IF(OR(B323="",D323="",E323=""),"",IF(OR(L323&lt;'Coverage Rules'!E7,M323&lt;'Coverage Rules'!E8,N323&lt;'Coverage Rules'!C8,O323&lt;'Coverage Rules'!E9,P323&lt;'Coverage Rules'!E10,Q323&gt;='Coverage Rules'!B16,R323&gt;='Coverage Rules'!B17,IF(S323="",FALSE,S323&gt;='Coverage Rules'!D24)),"Denied","OK"))</f>
        <v/>
      </c>
      <c r="L323">
        <f>IF(B323="","",IFERROR(SUMPRODUCT((LEN(Employees!$A$3:$A$500)&gt;0)*(Employees!$T$3:$T$500=1)*(COUNTIFS($B$3:$B$500,Employees!$A$3:$A$500,$H$3:$H$500,"Approved",$D$3:$D$500,"&lt;="&amp;E323,$E$3:$E$500,"&gt;="&amp;D323,$A$3:$A$500,"&lt;&gt;"&amp;A323)=0)),0))</f>
        <v/>
      </c>
      <c r="M323">
        <f>IF(B323="","",IFERROR(SUMPRODUCT((LEN(Employees!$A$3:$A$500)&gt;0)*(Employees!$U$3:$U$500=1)*(COUNTIFS($B$3:$B$500,Employees!$A$3:$A$500,$H$3:$H$500,"Approved",$D$3:$D$500,"&lt;="&amp;E323,$E$3:$E$500,"&gt;="&amp;D323,$A$3:$A$500,"&lt;&gt;"&amp;A323)=0)),0))</f>
        <v/>
      </c>
      <c r="N323">
        <f>IF(B323="","",IFERROR(SUMPRODUCT((LEN(Employees!$A$3:$A$500)&gt;0)*(Employees!$B$3:$B$500="Manager")*(Employees!$U$3:$U$500=1)*(COUNTIFS($B$3:$B$500,Employees!$A$3:$A$500,$H$3:$H$500,"Approved",$D$3:$D$500,"&lt;="&amp;E323,$E$3:$E$500,"&gt;="&amp;D323,$A$3:$A$500,"&lt;&gt;"&amp;A323)=0)),0))</f>
        <v/>
      </c>
      <c r="O323">
        <f>IF(B323="","",IFERROR(SUMPRODUCT((LEN(Employees!$A$3:$A$500)&gt;0)*(Employees!$V$3:$V$500=1)*(COUNTIFS($B$3:$B$500,Employees!$A$3:$A$500,$H$3:$H$500,"Approved",$D$3:$D$500,"&lt;="&amp;E323,$E$3:$E$500,"&gt;="&amp;D323,$A$3:$A$500,"&lt;&gt;"&amp;A323)=0)),0))</f>
        <v/>
      </c>
      <c r="P323">
        <f>IF(B323="","",IFERROR(SUMPRODUCT((LEN(Employees!$A$3:$A$500)&gt;0)*(Employees!$W$3:$W$500=1)*(COUNTIFS($B$3:$B$500,Employees!$A$3:$A$500,$H$3:$H$500,"Approved",$D$3:$D$500,"&lt;="&amp;E323,$E$3:$E$500,"&gt;="&amp;D323,$A$3:$A$500,"&lt;&gt;"&amp;A323)=0)),0))</f>
        <v/>
      </c>
      <c r="Q323">
        <f>IF(B323="","",IFERROR(SUMPRODUCT((LEN(Employees!$A$3:$A$500)&gt;0)*(Employees!$N$3:$N$500=1)*(COUNTIFS($B$3:$B$500,Employees!$A$3:$A$500,$H$3:$H$500,"Approved",$D$3:$D$500,"&lt;="&amp;E323,$E$3:$E$500,"&gt;="&amp;D323,$A$3:$A$500,"&lt;&gt;"&amp;A323)&gt;0)),0))</f>
        <v/>
      </c>
      <c r="R323">
        <f>IF(B323="","",IFERROR(SUMPRODUCT((LEN(Employees!$A$3:$A$500)&gt;0)*(Employees!$O$3:$O$500=1)*(COUNTIFS($B$3:$B$500,Employees!$A$3:$A$500,$H$3:$H$500,"Approved",$D$3:$D$500,"&lt;="&amp;E323,$E$3:$E$500,"&gt;="&amp;D323,$A$3:$A$500,"&lt;&gt;"&amp;A323)&gt;0)),0))</f>
        <v/>
      </c>
      <c r="S323">
        <f>IF(OR(B323="",IFERROR(XLOOKUP(B323,Employees!$A$3:$A$500,Employees!$G$3:$G$500,""),"")=""),"",IFERROR(SUMPRODUCT((LEN(Employees!$A$3:$A$500)&gt;0)*(Employees!$G$3:$G$500=IFERROR(XLOOKUP(B323,Employees!$A$3:$A$500,Employees!$G$3:$G$500,""),""))*(COUNTIFS($B$3:$B$500,Employees!$A$3:$A$500,$H$3:$H$500,"Approved",$D$3:$D$500,"&lt;="&amp;E323,$E$3:$E$500,"&gt;="&amp;D323,$A$3:$A$500,"&lt;&gt;"&amp;A323)&gt;0)),0))</f>
        <v/>
      </c>
    </row>
    <row r="324">
      <c r="C324">
        <f>IFERROR(XLOOKUP(B324,Employees!$A$3:$A$500,Employees!$B$3:$B$500,""),"")</f>
        <v/>
      </c>
      <c r="I324">
        <f>IF(AND(B324&lt;&gt;"",D324&lt;&gt;"",E324&lt;&gt;""),E324-D324+1,"")</f>
        <v/>
      </c>
      <c r="J324">
        <f>IF(OR(B324="",D324="",E324=""),"",IF(OR(L324&lt;'Coverage Rules'!E7,M324&lt;'Coverage Rules'!E8,N324&lt;'Coverage Rules'!C8,O324&lt;'Coverage Rules'!E9,P324&lt;'Coverage Rules'!E10,Q324&gt;='Coverage Rules'!B16,R324&gt;='Coverage Rules'!B17,IF(S324="",FALSE,S324&gt;='Coverage Rules'!D24)),"Denied","OK"))</f>
        <v/>
      </c>
      <c r="L324">
        <f>IF(B324="","",IFERROR(SUMPRODUCT((LEN(Employees!$A$3:$A$500)&gt;0)*(Employees!$T$3:$T$500=1)*(COUNTIFS($B$3:$B$500,Employees!$A$3:$A$500,$H$3:$H$500,"Approved",$D$3:$D$500,"&lt;="&amp;E324,$E$3:$E$500,"&gt;="&amp;D324,$A$3:$A$500,"&lt;&gt;"&amp;A324)=0)),0))</f>
        <v/>
      </c>
      <c r="M324">
        <f>IF(B324="","",IFERROR(SUMPRODUCT((LEN(Employees!$A$3:$A$500)&gt;0)*(Employees!$U$3:$U$500=1)*(COUNTIFS($B$3:$B$500,Employees!$A$3:$A$500,$H$3:$H$500,"Approved",$D$3:$D$500,"&lt;="&amp;E324,$E$3:$E$500,"&gt;="&amp;D324,$A$3:$A$500,"&lt;&gt;"&amp;A324)=0)),0))</f>
        <v/>
      </c>
      <c r="N324">
        <f>IF(B324="","",IFERROR(SUMPRODUCT((LEN(Employees!$A$3:$A$500)&gt;0)*(Employees!$B$3:$B$500="Manager")*(Employees!$U$3:$U$500=1)*(COUNTIFS($B$3:$B$500,Employees!$A$3:$A$500,$H$3:$H$500,"Approved",$D$3:$D$500,"&lt;="&amp;E324,$E$3:$E$500,"&gt;="&amp;D324,$A$3:$A$500,"&lt;&gt;"&amp;A324)=0)),0))</f>
        <v/>
      </c>
      <c r="O324">
        <f>IF(B324="","",IFERROR(SUMPRODUCT((LEN(Employees!$A$3:$A$500)&gt;0)*(Employees!$V$3:$V$500=1)*(COUNTIFS($B$3:$B$500,Employees!$A$3:$A$500,$H$3:$H$500,"Approved",$D$3:$D$500,"&lt;="&amp;E324,$E$3:$E$500,"&gt;="&amp;D324,$A$3:$A$500,"&lt;&gt;"&amp;A324)=0)),0))</f>
        <v/>
      </c>
      <c r="P324">
        <f>IF(B324="","",IFERROR(SUMPRODUCT((LEN(Employees!$A$3:$A$500)&gt;0)*(Employees!$W$3:$W$500=1)*(COUNTIFS($B$3:$B$500,Employees!$A$3:$A$500,$H$3:$H$500,"Approved",$D$3:$D$500,"&lt;="&amp;E324,$E$3:$E$500,"&gt;="&amp;D324,$A$3:$A$500,"&lt;&gt;"&amp;A324)=0)),0))</f>
        <v/>
      </c>
      <c r="Q324">
        <f>IF(B324="","",IFERROR(SUMPRODUCT((LEN(Employees!$A$3:$A$500)&gt;0)*(Employees!$N$3:$N$500=1)*(COUNTIFS($B$3:$B$500,Employees!$A$3:$A$500,$H$3:$H$500,"Approved",$D$3:$D$500,"&lt;="&amp;E324,$E$3:$E$500,"&gt;="&amp;D324,$A$3:$A$500,"&lt;&gt;"&amp;A324)&gt;0)),0))</f>
        <v/>
      </c>
      <c r="R324">
        <f>IF(B324="","",IFERROR(SUMPRODUCT((LEN(Employees!$A$3:$A$500)&gt;0)*(Employees!$O$3:$O$500=1)*(COUNTIFS($B$3:$B$500,Employees!$A$3:$A$500,$H$3:$H$500,"Approved",$D$3:$D$500,"&lt;="&amp;E324,$E$3:$E$500,"&gt;="&amp;D324,$A$3:$A$500,"&lt;&gt;"&amp;A324)&gt;0)),0))</f>
        <v/>
      </c>
      <c r="S324">
        <f>IF(OR(B324="",IFERROR(XLOOKUP(B324,Employees!$A$3:$A$500,Employees!$G$3:$G$500,""),"")=""),"",IFERROR(SUMPRODUCT((LEN(Employees!$A$3:$A$500)&gt;0)*(Employees!$G$3:$G$500=IFERROR(XLOOKUP(B324,Employees!$A$3:$A$500,Employees!$G$3:$G$500,""),""))*(COUNTIFS($B$3:$B$500,Employees!$A$3:$A$500,$H$3:$H$500,"Approved",$D$3:$D$500,"&lt;="&amp;E324,$E$3:$E$500,"&gt;="&amp;D324,$A$3:$A$500,"&lt;&gt;"&amp;A324)&gt;0)),0))</f>
        <v/>
      </c>
    </row>
    <row r="325">
      <c r="C325">
        <f>IFERROR(XLOOKUP(B325,Employees!$A$3:$A$500,Employees!$B$3:$B$500,""),"")</f>
        <v/>
      </c>
      <c r="I325">
        <f>IF(AND(B325&lt;&gt;"",D325&lt;&gt;"",E325&lt;&gt;""),E325-D325+1,"")</f>
        <v/>
      </c>
      <c r="J325">
        <f>IF(OR(B325="",D325="",E325=""),"",IF(OR(L325&lt;'Coverage Rules'!E7,M325&lt;'Coverage Rules'!E8,N325&lt;'Coverage Rules'!C8,O325&lt;'Coverage Rules'!E9,P325&lt;'Coverage Rules'!E10,Q325&gt;='Coverage Rules'!B16,R325&gt;='Coverage Rules'!B17,IF(S325="",FALSE,S325&gt;='Coverage Rules'!D24)),"Denied","OK"))</f>
        <v/>
      </c>
      <c r="L325">
        <f>IF(B325="","",IFERROR(SUMPRODUCT((LEN(Employees!$A$3:$A$500)&gt;0)*(Employees!$T$3:$T$500=1)*(COUNTIFS($B$3:$B$500,Employees!$A$3:$A$500,$H$3:$H$500,"Approved",$D$3:$D$500,"&lt;="&amp;E325,$E$3:$E$500,"&gt;="&amp;D325,$A$3:$A$500,"&lt;&gt;"&amp;A325)=0)),0))</f>
        <v/>
      </c>
      <c r="M325">
        <f>IF(B325="","",IFERROR(SUMPRODUCT((LEN(Employees!$A$3:$A$500)&gt;0)*(Employees!$U$3:$U$500=1)*(COUNTIFS($B$3:$B$500,Employees!$A$3:$A$500,$H$3:$H$500,"Approved",$D$3:$D$500,"&lt;="&amp;E325,$E$3:$E$500,"&gt;="&amp;D325,$A$3:$A$500,"&lt;&gt;"&amp;A325)=0)),0))</f>
        <v/>
      </c>
      <c r="N325">
        <f>IF(B325="","",IFERROR(SUMPRODUCT((LEN(Employees!$A$3:$A$500)&gt;0)*(Employees!$B$3:$B$500="Manager")*(Employees!$U$3:$U$500=1)*(COUNTIFS($B$3:$B$500,Employees!$A$3:$A$500,$H$3:$H$500,"Approved",$D$3:$D$500,"&lt;="&amp;E325,$E$3:$E$500,"&gt;="&amp;D325,$A$3:$A$500,"&lt;&gt;"&amp;A325)=0)),0))</f>
        <v/>
      </c>
      <c r="O325">
        <f>IF(B325="","",IFERROR(SUMPRODUCT((LEN(Employees!$A$3:$A$500)&gt;0)*(Employees!$V$3:$V$500=1)*(COUNTIFS($B$3:$B$500,Employees!$A$3:$A$500,$H$3:$H$500,"Approved",$D$3:$D$500,"&lt;="&amp;E325,$E$3:$E$500,"&gt;="&amp;D325,$A$3:$A$500,"&lt;&gt;"&amp;A325)=0)),0))</f>
        <v/>
      </c>
      <c r="P325">
        <f>IF(B325="","",IFERROR(SUMPRODUCT((LEN(Employees!$A$3:$A$500)&gt;0)*(Employees!$W$3:$W$500=1)*(COUNTIFS($B$3:$B$500,Employees!$A$3:$A$500,$H$3:$H$500,"Approved",$D$3:$D$500,"&lt;="&amp;E325,$E$3:$E$500,"&gt;="&amp;D325,$A$3:$A$500,"&lt;&gt;"&amp;A325)=0)),0))</f>
        <v/>
      </c>
      <c r="Q325">
        <f>IF(B325="","",IFERROR(SUMPRODUCT((LEN(Employees!$A$3:$A$500)&gt;0)*(Employees!$N$3:$N$500=1)*(COUNTIFS($B$3:$B$500,Employees!$A$3:$A$500,$H$3:$H$500,"Approved",$D$3:$D$500,"&lt;="&amp;E325,$E$3:$E$500,"&gt;="&amp;D325,$A$3:$A$500,"&lt;&gt;"&amp;A325)&gt;0)),0))</f>
        <v/>
      </c>
      <c r="R325">
        <f>IF(B325="","",IFERROR(SUMPRODUCT((LEN(Employees!$A$3:$A$500)&gt;0)*(Employees!$O$3:$O$500=1)*(COUNTIFS($B$3:$B$500,Employees!$A$3:$A$500,$H$3:$H$500,"Approved",$D$3:$D$500,"&lt;="&amp;E325,$E$3:$E$500,"&gt;="&amp;D325,$A$3:$A$500,"&lt;&gt;"&amp;A325)&gt;0)),0))</f>
        <v/>
      </c>
      <c r="S325">
        <f>IF(OR(B325="",IFERROR(XLOOKUP(B325,Employees!$A$3:$A$500,Employees!$G$3:$G$500,""),"")=""),"",IFERROR(SUMPRODUCT((LEN(Employees!$A$3:$A$500)&gt;0)*(Employees!$G$3:$G$500=IFERROR(XLOOKUP(B325,Employees!$A$3:$A$500,Employees!$G$3:$G$500,""),""))*(COUNTIFS($B$3:$B$500,Employees!$A$3:$A$500,$H$3:$H$500,"Approved",$D$3:$D$500,"&lt;="&amp;E325,$E$3:$E$500,"&gt;="&amp;D325,$A$3:$A$500,"&lt;&gt;"&amp;A325)&gt;0)),0))</f>
        <v/>
      </c>
    </row>
    <row r="326">
      <c r="C326">
        <f>IFERROR(XLOOKUP(B326,Employees!$A$3:$A$500,Employees!$B$3:$B$500,""),"")</f>
        <v/>
      </c>
      <c r="I326">
        <f>IF(AND(B326&lt;&gt;"",D326&lt;&gt;"",E326&lt;&gt;""),E326-D326+1,"")</f>
        <v/>
      </c>
      <c r="J326">
        <f>IF(OR(B326="",D326="",E326=""),"",IF(OR(L326&lt;'Coverage Rules'!E7,M326&lt;'Coverage Rules'!E8,N326&lt;'Coverage Rules'!C8,O326&lt;'Coverage Rules'!E9,P326&lt;'Coverage Rules'!E10,Q326&gt;='Coverage Rules'!B16,R326&gt;='Coverage Rules'!B17,IF(S326="",FALSE,S326&gt;='Coverage Rules'!D24)),"Denied","OK"))</f>
        <v/>
      </c>
      <c r="L326">
        <f>IF(B326="","",IFERROR(SUMPRODUCT((LEN(Employees!$A$3:$A$500)&gt;0)*(Employees!$T$3:$T$500=1)*(COUNTIFS($B$3:$B$500,Employees!$A$3:$A$500,$H$3:$H$500,"Approved",$D$3:$D$500,"&lt;="&amp;E326,$E$3:$E$500,"&gt;="&amp;D326,$A$3:$A$500,"&lt;&gt;"&amp;A326)=0)),0))</f>
        <v/>
      </c>
      <c r="M326">
        <f>IF(B326="","",IFERROR(SUMPRODUCT((LEN(Employees!$A$3:$A$500)&gt;0)*(Employees!$U$3:$U$500=1)*(COUNTIFS($B$3:$B$500,Employees!$A$3:$A$500,$H$3:$H$500,"Approved",$D$3:$D$500,"&lt;="&amp;E326,$E$3:$E$500,"&gt;="&amp;D326,$A$3:$A$500,"&lt;&gt;"&amp;A326)=0)),0))</f>
        <v/>
      </c>
      <c r="N326">
        <f>IF(B326="","",IFERROR(SUMPRODUCT((LEN(Employees!$A$3:$A$500)&gt;0)*(Employees!$B$3:$B$500="Manager")*(Employees!$U$3:$U$500=1)*(COUNTIFS($B$3:$B$500,Employees!$A$3:$A$500,$H$3:$H$500,"Approved",$D$3:$D$500,"&lt;="&amp;E326,$E$3:$E$500,"&gt;="&amp;D326,$A$3:$A$500,"&lt;&gt;"&amp;A326)=0)),0))</f>
        <v/>
      </c>
      <c r="O326">
        <f>IF(B326="","",IFERROR(SUMPRODUCT((LEN(Employees!$A$3:$A$500)&gt;0)*(Employees!$V$3:$V$500=1)*(COUNTIFS($B$3:$B$500,Employees!$A$3:$A$500,$H$3:$H$500,"Approved",$D$3:$D$500,"&lt;="&amp;E326,$E$3:$E$500,"&gt;="&amp;D326,$A$3:$A$500,"&lt;&gt;"&amp;A326)=0)),0))</f>
        <v/>
      </c>
      <c r="P326">
        <f>IF(B326="","",IFERROR(SUMPRODUCT((LEN(Employees!$A$3:$A$500)&gt;0)*(Employees!$W$3:$W$500=1)*(COUNTIFS($B$3:$B$500,Employees!$A$3:$A$500,$H$3:$H$500,"Approved",$D$3:$D$500,"&lt;="&amp;E326,$E$3:$E$500,"&gt;="&amp;D326,$A$3:$A$500,"&lt;&gt;"&amp;A326)=0)),0))</f>
        <v/>
      </c>
      <c r="Q326">
        <f>IF(B326="","",IFERROR(SUMPRODUCT((LEN(Employees!$A$3:$A$500)&gt;0)*(Employees!$N$3:$N$500=1)*(COUNTIFS($B$3:$B$500,Employees!$A$3:$A$500,$H$3:$H$500,"Approved",$D$3:$D$500,"&lt;="&amp;E326,$E$3:$E$500,"&gt;="&amp;D326,$A$3:$A$500,"&lt;&gt;"&amp;A326)&gt;0)),0))</f>
        <v/>
      </c>
      <c r="R326">
        <f>IF(B326="","",IFERROR(SUMPRODUCT((LEN(Employees!$A$3:$A$500)&gt;0)*(Employees!$O$3:$O$500=1)*(COUNTIFS($B$3:$B$500,Employees!$A$3:$A$500,$H$3:$H$500,"Approved",$D$3:$D$500,"&lt;="&amp;E326,$E$3:$E$500,"&gt;="&amp;D326,$A$3:$A$500,"&lt;&gt;"&amp;A326)&gt;0)),0))</f>
        <v/>
      </c>
      <c r="S326">
        <f>IF(OR(B326="",IFERROR(XLOOKUP(B326,Employees!$A$3:$A$500,Employees!$G$3:$G$500,""),"")=""),"",IFERROR(SUMPRODUCT((LEN(Employees!$A$3:$A$500)&gt;0)*(Employees!$G$3:$G$500=IFERROR(XLOOKUP(B326,Employees!$A$3:$A$500,Employees!$G$3:$G$500,""),""))*(COUNTIFS($B$3:$B$500,Employees!$A$3:$A$500,$H$3:$H$500,"Approved",$D$3:$D$500,"&lt;="&amp;E326,$E$3:$E$500,"&gt;="&amp;D326,$A$3:$A$500,"&lt;&gt;"&amp;A326)&gt;0)),0))</f>
        <v/>
      </c>
    </row>
    <row r="327">
      <c r="C327">
        <f>IFERROR(XLOOKUP(B327,Employees!$A$3:$A$500,Employees!$B$3:$B$500,""),"")</f>
        <v/>
      </c>
      <c r="I327">
        <f>IF(AND(B327&lt;&gt;"",D327&lt;&gt;"",E327&lt;&gt;""),E327-D327+1,"")</f>
        <v/>
      </c>
      <c r="J327">
        <f>IF(OR(B327="",D327="",E327=""),"",IF(OR(L327&lt;'Coverage Rules'!E7,M327&lt;'Coverage Rules'!E8,N327&lt;'Coverage Rules'!C8,O327&lt;'Coverage Rules'!E9,P327&lt;'Coverage Rules'!E10,Q327&gt;='Coverage Rules'!B16,R327&gt;='Coverage Rules'!B17,IF(S327="",FALSE,S327&gt;='Coverage Rules'!D24)),"Denied","OK"))</f>
        <v/>
      </c>
      <c r="L327">
        <f>IF(B327="","",IFERROR(SUMPRODUCT((LEN(Employees!$A$3:$A$500)&gt;0)*(Employees!$T$3:$T$500=1)*(COUNTIFS($B$3:$B$500,Employees!$A$3:$A$500,$H$3:$H$500,"Approved",$D$3:$D$500,"&lt;="&amp;E327,$E$3:$E$500,"&gt;="&amp;D327,$A$3:$A$500,"&lt;&gt;"&amp;A327)=0)),0))</f>
        <v/>
      </c>
      <c r="M327">
        <f>IF(B327="","",IFERROR(SUMPRODUCT((LEN(Employees!$A$3:$A$500)&gt;0)*(Employees!$U$3:$U$500=1)*(COUNTIFS($B$3:$B$500,Employees!$A$3:$A$500,$H$3:$H$500,"Approved",$D$3:$D$500,"&lt;="&amp;E327,$E$3:$E$500,"&gt;="&amp;D327,$A$3:$A$500,"&lt;&gt;"&amp;A327)=0)),0))</f>
        <v/>
      </c>
      <c r="N327">
        <f>IF(B327="","",IFERROR(SUMPRODUCT((LEN(Employees!$A$3:$A$500)&gt;0)*(Employees!$B$3:$B$500="Manager")*(Employees!$U$3:$U$500=1)*(COUNTIFS($B$3:$B$500,Employees!$A$3:$A$500,$H$3:$H$500,"Approved",$D$3:$D$500,"&lt;="&amp;E327,$E$3:$E$500,"&gt;="&amp;D327,$A$3:$A$500,"&lt;&gt;"&amp;A327)=0)),0))</f>
        <v/>
      </c>
      <c r="O327">
        <f>IF(B327="","",IFERROR(SUMPRODUCT((LEN(Employees!$A$3:$A$500)&gt;0)*(Employees!$V$3:$V$500=1)*(COUNTIFS($B$3:$B$500,Employees!$A$3:$A$500,$H$3:$H$500,"Approved",$D$3:$D$500,"&lt;="&amp;E327,$E$3:$E$500,"&gt;="&amp;D327,$A$3:$A$500,"&lt;&gt;"&amp;A327)=0)),0))</f>
        <v/>
      </c>
      <c r="P327">
        <f>IF(B327="","",IFERROR(SUMPRODUCT((LEN(Employees!$A$3:$A$500)&gt;0)*(Employees!$W$3:$W$500=1)*(COUNTIFS($B$3:$B$500,Employees!$A$3:$A$500,$H$3:$H$500,"Approved",$D$3:$D$500,"&lt;="&amp;E327,$E$3:$E$500,"&gt;="&amp;D327,$A$3:$A$500,"&lt;&gt;"&amp;A327)=0)),0))</f>
        <v/>
      </c>
      <c r="Q327">
        <f>IF(B327="","",IFERROR(SUMPRODUCT((LEN(Employees!$A$3:$A$500)&gt;0)*(Employees!$N$3:$N$500=1)*(COUNTIFS($B$3:$B$500,Employees!$A$3:$A$500,$H$3:$H$500,"Approved",$D$3:$D$500,"&lt;="&amp;E327,$E$3:$E$500,"&gt;="&amp;D327,$A$3:$A$500,"&lt;&gt;"&amp;A327)&gt;0)),0))</f>
        <v/>
      </c>
      <c r="R327">
        <f>IF(B327="","",IFERROR(SUMPRODUCT((LEN(Employees!$A$3:$A$500)&gt;0)*(Employees!$O$3:$O$500=1)*(COUNTIFS($B$3:$B$500,Employees!$A$3:$A$500,$H$3:$H$500,"Approved",$D$3:$D$500,"&lt;="&amp;E327,$E$3:$E$500,"&gt;="&amp;D327,$A$3:$A$500,"&lt;&gt;"&amp;A327)&gt;0)),0))</f>
        <v/>
      </c>
      <c r="S327">
        <f>IF(OR(B327="",IFERROR(XLOOKUP(B327,Employees!$A$3:$A$500,Employees!$G$3:$G$500,""),"")=""),"",IFERROR(SUMPRODUCT((LEN(Employees!$A$3:$A$500)&gt;0)*(Employees!$G$3:$G$500=IFERROR(XLOOKUP(B327,Employees!$A$3:$A$500,Employees!$G$3:$G$500,""),""))*(COUNTIFS($B$3:$B$500,Employees!$A$3:$A$500,$H$3:$H$500,"Approved",$D$3:$D$500,"&lt;="&amp;E327,$E$3:$E$500,"&gt;="&amp;D327,$A$3:$A$500,"&lt;&gt;"&amp;A327)&gt;0)),0))</f>
        <v/>
      </c>
    </row>
    <row r="328">
      <c r="C328">
        <f>IFERROR(XLOOKUP(B328,Employees!$A$3:$A$500,Employees!$B$3:$B$500,""),"")</f>
        <v/>
      </c>
      <c r="I328">
        <f>IF(AND(B328&lt;&gt;"",D328&lt;&gt;"",E328&lt;&gt;""),E328-D328+1,"")</f>
        <v/>
      </c>
      <c r="J328">
        <f>IF(OR(B328="",D328="",E328=""),"",IF(OR(L328&lt;'Coverage Rules'!E7,M328&lt;'Coverage Rules'!E8,N328&lt;'Coverage Rules'!C8,O328&lt;'Coverage Rules'!E9,P328&lt;'Coverage Rules'!E10,Q328&gt;='Coverage Rules'!B16,R328&gt;='Coverage Rules'!B17,IF(S328="",FALSE,S328&gt;='Coverage Rules'!D24)),"Denied","OK"))</f>
        <v/>
      </c>
      <c r="L328">
        <f>IF(B328="","",IFERROR(SUMPRODUCT((LEN(Employees!$A$3:$A$500)&gt;0)*(Employees!$T$3:$T$500=1)*(COUNTIFS($B$3:$B$500,Employees!$A$3:$A$500,$H$3:$H$500,"Approved",$D$3:$D$500,"&lt;="&amp;E328,$E$3:$E$500,"&gt;="&amp;D328,$A$3:$A$500,"&lt;&gt;"&amp;A328)=0)),0))</f>
        <v/>
      </c>
      <c r="M328">
        <f>IF(B328="","",IFERROR(SUMPRODUCT((LEN(Employees!$A$3:$A$500)&gt;0)*(Employees!$U$3:$U$500=1)*(COUNTIFS($B$3:$B$500,Employees!$A$3:$A$500,$H$3:$H$500,"Approved",$D$3:$D$500,"&lt;="&amp;E328,$E$3:$E$500,"&gt;="&amp;D328,$A$3:$A$500,"&lt;&gt;"&amp;A328)=0)),0))</f>
        <v/>
      </c>
      <c r="N328">
        <f>IF(B328="","",IFERROR(SUMPRODUCT((LEN(Employees!$A$3:$A$500)&gt;0)*(Employees!$B$3:$B$500="Manager")*(Employees!$U$3:$U$500=1)*(COUNTIFS($B$3:$B$500,Employees!$A$3:$A$500,$H$3:$H$500,"Approved",$D$3:$D$500,"&lt;="&amp;E328,$E$3:$E$500,"&gt;="&amp;D328,$A$3:$A$500,"&lt;&gt;"&amp;A328)=0)),0))</f>
        <v/>
      </c>
      <c r="O328">
        <f>IF(B328="","",IFERROR(SUMPRODUCT((LEN(Employees!$A$3:$A$500)&gt;0)*(Employees!$V$3:$V$500=1)*(COUNTIFS($B$3:$B$500,Employees!$A$3:$A$500,$H$3:$H$500,"Approved",$D$3:$D$500,"&lt;="&amp;E328,$E$3:$E$500,"&gt;="&amp;D328,$A$3:$A$500,"&lt;&gt;"&amp;A328)=0)),0))</f>
        <v/>
      </c>
      <c r="P328">
        <f>IF(B328="","",IFERROR(SUMPRODUCT((LEN(Employees!$A$3:$A$500)&gt;0)*(Employees!$W$3:$W$500=1)*(COUNTIFS($B$3:$B$500,Employees!$A$3:$A$500,$H$3:$H$500,"Approved",$D$3:$D$500,"&lt;="&amp;E328,$E$3:$E$500,"&gt;="&amp;D328,$A$3:$A$500,"&lt;&gt;"&amp;A328)=0)),0))</f>
        <v/>
      </c>
      <c r="Q328">
        <f>IF(B328="","",IFERROR(SUMPRODUCT((LEN(Employees!$A$3:$A$500)&gt;0)*(Employees!$N$3:$N$500=1)*(COUNTIFS($B$3:$B$500,Employees!$A$3:$A$500,$H$3:$H$500,"Approved",$D$3:$D$500,"&lt;="&amp;E328,$E$3:$E$500,"&gt;="&amp;D328,$A$3:$A$500,"&lt;&gt;"&amp;A328)&gt;0)),0))</f>
        <v/>
      </c>
      <c r="R328">
        <f>IF(B328="","",IFERROR(SUMPRODUCT((LEN(Employees!$A$3:$A$500)&gt;0)*(Employees!$O$3:$O$500=1)*(COUNTIFS($B$3:$B$500,Employees!$A$3:$A$500,$H$3:$H$500,"Approved",$D$3:$D$500,"&lt;="&amp;E328,$E$3:$E$500,"&gt;="&amp;D328,$A$3:$A$500,"&lt;&gt;"&amp;A328)&gt;0)),0))</f>
        <v/>
      </c>
      <c r="S328">
        <f>IF(OR(B328="",IFERROR(XLOOKUP(B328,Employees!$A$3:$A$500,Employees!$G$3:$G$500,""),"")=""),"",IFERROR(SUMPRODUCT((LEN(Employees!$A$3:$A$500)&gt;0)*(Employees!$G$3:$G$500=IFERROR(XLOOKUP(B328,Employees!$A$3:$A$500,Employees!$G$3:$G$500,""),""))*(COUNTIFS($B$3:$B$500,Employees!$A$3:$A$500,$H$3:$H$500,"Approved",$D$3:$D$500,"&lt;="&amp;E328,$E$3:$E$500,"&gt;="&amp;D328,$A$3:$A$500,"&lt;&gt;"&amp;A328)&gt;0)),0))</f>
        <v/>
      </c>
    </row>
    <row r="329">
      <c r="C329">
        <f>IFERROR(XLOOKUP(B329,Employees!$A$3:$A$500,Employees!$B$3:$B$500,""),"")</f>
        <v/>
      </c>
      <c r="I329">
        <f>IF(AND(B329&lt;&gt;"",D329&lt;&gt;"",E329&lt;&gt;""),E329-D329+1,"")</f>
        <v/>
      </c>
      <c r="J329">
        <f>IF(OR(B329="",D329="",E329=""),"",IF(OR(L329&lt;'Coverage Rules'!E7,M329&lt;'Coverage Rules'!E8,N329&lt;'Coverage Rules'!C8,O329&lt;'Coverage Rules'!E9,P329&lt;'Coverage Rules'!E10,Q329&gt;='Coverage Rules'!B16,R329&gt;='Coverage Rules'!B17,IF(S329="",FALSE,S329&gt;='Coverage Rules'!D24)),"Denied","OK"))</f>
        <v/>
      </c>
      <c r="L329">
        <f>IF(B329="","",IFERROR(SUMPRODUCT((LEN(Employees!$A$3:$A$500)&gt;0)*(Employees!$T$3:$T$500=1)*(COUNTIFS($B$3:$B$500,Employees!$A$3:$A$500,$H$3:$H$500,"Approved",$D$3:$D$500,"&lt;="&amp;E329,$E$3:$E$500,"&gt;="&amp;D329,$A$3:$A$500,"&lt;&gt;"&amp;A329)=0)),0))</f>
        <v/>
      </c>
      <c r="M329">
        <f>IF(B329="","",IFERROR(SUMPRODUCT((LEN(Employees!$A$3:$A$500)&gt;0)*(Employees!$U$3:$U$500=1)*(COUNTIFS($B$3:$B$500,Employees!$A$3:$A$500,$H$3:$H$500,"Approved",$D$3:$D$500,"&lt;="&amp;E329,$E$3:$E$500,"&gt;="&amp;D329,$A$3:$A$500,"&lt;&gt;"&amp;A329)=0)),0))</f>
        <v/>
      </c>
      <c r="N329">
        <f>IF(B329="","",IFERROR(SUMPRODUCT((LEN(Employees!$A$3:$A$500)&gt;0)*(Employees!$B$3:$B$500="Manager")*(Employees!$U$3:$U$500=1)*(COUNTIFS($B$3:$B$500,Employees!$A$3:$A$500,$H$3:$H$500,"Approved",$D$3:$D$500,"&lt;="&amp;E329,$E$3:$E$500,"&gt;="&amp;D329,$A$3:$A$500,"&lt;&gt;"&amp;A329)=0)),0))</f>
        <v/>
      </c>
      <c r="O329">
        <f>IF(B329="","",IFERROR(SUMPRODUCT((LEN(Employees!$A$3:$A$500)&gt;0)*(Employees!$V$3:$V$500=1)*(COUNTIFS($B$3:$B$500,Employees!$A$3:$A$500,$H$3:$H$500,"Approved",$D$3:$D$500,"&lt;="&amp;E329,$E$3:$E$500,"&gt;="&amp;D329,$A$3:$A$500,"&lt;&gt;"&amp;A329)=0)),0))</f>
        <v/>
      </c>
      <c r="P329">
        <f>IF(B329="","",IFERROR(SUMPRODUCT((LEN(Employees!$A$3:$A$500)&gt;0)*(Employees!$W$3:$W$500=1)*(COUNTIFS($B$3:$B$500,Employees!$A$3:$A$500,$H$3:$H$500,"Approved",$D$3:$D$500,"&lt;="&amp;E329,$E$3:$E$500,"&gt;="&amp;D329,$A$3:$A$500,"&lt;&gt;"&amp;A329)=0)),0))</f>
        <v/>
      </c>
      <c r="Q329">
        <f>IF(B329="","",IFERROR(SUMPRODUCT((LEN(Employees!$A$3:$A$500)&gt;0)*(Employees!$N$3:$N$500=1)*(COUNTIFS($B$3:$B$500,Employees!$A$3:$A$500,$H$3:$H$500,"Approved",$D$3:$D$500,"&lt;="&amp;E329,$E$3:$E$500,"&gt;="&amp;D329,$A$3:$A$500,"&lt;&gt;"&amp;A329)&gt;0)),0))</f>
        <v/>
      </c>
      <c r="R329">
        <f>IF(B329="","",IFERROR(SUMPRODUCT((LEN(Employees!$A$3:$A$500)&gt;0)*(Employees!$O$3:$O$500=1)*(COUNTIFS($B$3:$B$500,Employees!$A$3:$A$500,$H$3:$H$500,"Approved",$D$3:$D$500,"&lt;="&amp;E329,$E$3:$E$500,"&gt;="&amp;D329,$A$3:$A$500,"&lt;&gt;"&amp;A329)&gt;0)),0))</f>
        <v/>
      </c>
      <c r="S329">
        <f>IF(OR(B329="",IFERROR(XLOOKUP(B329,Employees!$A$3:$A$500,Employees!$G$3:$G$500,""),"")=""),"",IFERROR(SUMPRODUCT((LEN(Employees!$A$3:$A$500)&gt;0)*(Employees!$G$3:$G$500=IFERROR(XLOOKUP(B329,Employees!$A$3:$A$500,Employees!$G$3:$G$500,""),""))*(COUNTIFS($B$3:$B$500,Employees!$A$3:$A$500,$H$3:$H$500,"Approved",$D$3:$D$500,"&lt;="&amp;E329,$E$3:$E$500,"&gt;="&amp;D329,$A$3:$A$500,"&lt;&gt;"&amp;A329)&gt;0)),0))</f>
        <v/>
      </c>
    </row>
    <row r="330">
      <c r="C330">
        <f>IFERROR(XLOOKUP(B330,Employees!$A$3:$A$500,Employees!$B$3:$B$500,""),"")</f>
        <v/>
      </c>
      <c r="I330">
        <f>IF(AND(B330&lt;&gt;"",D330&lt;&gt;"",E330&lt;&gt;""),E330-D330+1,"")</f>
        <v/>
      </c>
      <c r="J330">
        <f>IF(OR(B330="",D330="",E330=""),"",IF(OR(L330&lt;'Coverage Rules'!E7,M330&lt;'Coverage Rules'!E8,N330&lt;'Coverage Rules'!C8,O330&lt;'Coverage Rules'!E9,P330&lt;'Coverage Rules'!E10,Q330&gt;='Coverage Rules'!B16,R330&gt;='Coverage Rules'!B17,IF(S330="",FALSE,S330&gt;='Coverage Rules'!D24)),"Denied","OK"))</f>
        <v/>
      </c>
      <c r="L330">
        <f>IF(B330="","",IFERROR(SUMPRODUCT((LEN(Employees!$A$3:$A$500)&gt;0)*(Employees!$T$3:$T$500=1)*(COUNTIFS($B$3:$B$500,Employees!$A$3:$A$500,$H$3:$H$500,"Approved",$D$3:$D$500,"&lt;="&amp;E330,$E$3:$E$500,"&gt;="&amp;D330,$A$3:$A$500,"&lt;&gt;"&amp;A330)=0)),0))</f>
        <v/>
      </c>
      <c r="M330">
        <f>IF(B330="","",IFERROR(SUMPRODUCT((LEN(Employees!$A$3:$A$500)&gt;0)*(Employees!$U$3:$U$500=1)*(COUNTIFS($B$3:$B$500,Employees!$A$3:$A$500,$H$3:$H$500,"Approved",$D$3:$D$500,"&lt;="&amp;E330,$E$3:$E$500,"&gt;="&amp;D330,$A$3:$A$500,"&lt;&gt;"&amp;A330)=0)),0))</f>
        <v/>
      </c>
      <c r="N330">
        <f>IF(B330="","",IFERROR(SUMPRODUCT((LEN(Employees!$A$3:$A$500)&gt;0)*(Employees!$B$3:$B$500="Manager")*(Employees!$U$3:$U$500=1)*(COUNTIFS($B$3:$B$500,Employees!$A$3:$A$500,$H$3:$H$500,"Approved",$D$3:$D$500,"&lt;="&amp;E330,$E$3:$E$500,"&gt;="&amp;D330,$A$3:$A$500,"&lt;&gt;"&amp;A330)=0)),0))</f>
        <v/>
      </c>
      <c r="O330">
        <f>IF(B330="","",IFERROR(SUMPRODUCT((LEN(Employees!$A$3:$A$500)&gt;0)*(Employees!$V$3:$V$500=1)*(COUNTIFS($B$3:$B$500,Employees!$A$3:$A$500,$H$3:$H$500,"Approved",$D$3:$D$500,"&lt;="&amp;E330,$E$3:$E$500,"&gt;="&amp;D330,$A$3:$A$500,"&lt;&gt;"&amp;A330)=0)),0))</f>
        <v/>
      </c>
      <c r="P330">
        <f>IF(B330="","",IFERROR(SUMPRODUCT((LEN(Employees!$A$3:$A$500)&gt;0)*(Employees!$W$3:$W$500=1)*(COUNTIFS($B$3:$B$500,Employees!$A$3:$A$500,$H$3:$H$500,"Approved",$D$3:$D$500,"&lt;="&amp;E330,$E$3:$E$500,"&gt;="&amp;D330,$A$3:$A$500,"&lt;&gt;"&amp;A330)=0)),0))</f>
        <v/>
      </c>
      <c r="Q330">
        <f>IF(B330="","",IFERROR(SUMPRODUCT((LEN(Employees!$A$3:$A$500)&gt;0)*(Employees!$N$3:$N$500=1)*(COUNTIFS($B$3:$B$500,Employees!$A$3:$A$500,$H$3:$H$500,"Approved",$D$3:$D$500,"&lt;="&amp;E330,$E$3:$E$500,"&gt;="&amp;D330,$A$3:$A$500,"&lt;&gt;"&amp;A330)&gt;0)),0))</f>
        <v/>
      </c>
      <c r="R330">
        <f>IF(B330="","",IFERROR(SUMPRODUCT((LEN(Employees!$A$3:$A$500)&gt;0)*(Employees!$O$3:$O$500=1)*(COUNTIFS($B$3:$B$500,Employees!$A$3:$A$500,$H$3:$H$500,"Approved",$D$3:$D$500,"&lt;="&amp;E330,$E$3:$E$500,"&gt;="&amp;D330,$A$3:$A$500,"&lt;&gt;"&amp;A330)&gt;0)),0))</f>
        <v/>
      </c>
      <c r="S330">
        <f>IF(OR(B330="",IFERROR(XLOOKUP(B330,Employees!$A$3:$A$500,Employees!$G$3:$G$500,""),"")=""),"",IFERROR(SUMPRODUCT((LEN(Employees!$A$3:$A$500)&gt;0)*(Employees!$G$3:$G$500=IFERROR(XLOOKUP(B330,Employees!$A$3:$A$500,Employees!$G$3:$G$500,""),""))*(COUNTIFS($B$3:$B$500,Employees!$A$3:$A$500,$H$3:$H$500,"Approved",$D$3:$D$500,"&lt;="&amp;E330,$E$3:$E$500,"&gt;="&amp;D330,$A$3:$A$500,"&lt;&gt;"&amp;A330)&gt;0)),0))</f>
        <v/>
      </c>
    </row>
    <row r="331">
      <c r="C331">
        <f>IFERROR(XLOOKUP(B331,Employees!$A$3:$A$500,Employees!$B$3:$B$500,""),"")</f>
        <v/>
      </c>
      <c r="I331">
        <f>IF(AND(B331&lt;&gt;"",D331&lt;&gt;"",E331&lt;&gt;""),E331-D331+1,"")</f>
        <v/>
      </c>
      <c r="J331">
        <f>IF(OR(B331="",D331="",E331=""),"",IF(OR(L331&lt;'Coverage Rules'!E7,M331&lt;'Coverage Rules'!E8,N331&lt;'Coverage Rules'!C8,O331&lt;'Coverage Rules'!E9,P331&lt;'Coverage Rules'!E10,Q331&gt;='Coverage Rules'!B16,R331&gt;='Coverage Rules'!B17,IF(S331="",FALSE,S331&gt;='Coverage Rules'!D24)),"Denied","OK"))</f>
        <v/>
      </c>
      <c r="L331">
        <f>IF(B331="","",IFERROR(SUMPRODUCT((LEN(Employees!$A$3:$A$500)&gt;0)*(Employees!$T$3:$T$500=1)*(COUNTIFS($B$3:$B$500,Employees!$A$3:$A$500,$H$3:$H$500,"Approved",$D$3:$D$500,"&lt;="&amp;E331,$E$3:$E$500,"&gt;="&amp;D331,$A$3:$A$500,"&lt;&gt;"&amp;A331)=0)),0))</f>
        <v/>
      </c>
      <c r="M331">
        <f>IF(B331="","",IFERROR(SUMPRODUCT((LEN(Employees!$A$3:$A$500)&gt;0)*(Employees!$U$3:$U$500=1)*(COUNTIFS($B$3:$B$500,Employees!$A$3:$A$500,$H$3:$H$500,"Approved",$D$3:$D$500,"&lt;="&amp;E331,$E$3:$E$500,"&gt;="&amp;D331,$A$3:$A$500,"&lt;&gt;"&amp;A331)=0)),0))</f>
        <v/>
      </c>
      <c r="N331">
        <f>IF(B331="","",IFERROR(SUMPRODUCT((LEN(Employees!$A$3:$A$500)&gt;0)*(Employees!$B$3:$B$500="Manager")*(Employees!$U$3:$U$500=1)*(COUNTIFS($B$3:$B$500,Employees!$A$3:$A$500,$H$3:$H$500,"Approved",$D$3:$D$500,"&lt;="&amp;E331,$E$3:$E$500,"&gt;="&amp;D331,$A$3:$A$500,"&lt;&gt;"&amp;A331)=0)),0))</f>
        <v/>
      </c>
      <c r="O331">
        <f>IF(B331="","",IFERROR(SUMPRODUCT((LEN(Employees!$A$3:$A$500)&gt;0)*(Employees!$V$3:$V$500=1)*(COUNTIFS($B$3:$B$500,Employees!$A$3:$A$500,$H$3:$H$500,"Approved",$D$3:$D$500,"&lt;="&amp;E331,$E$3:$E$500,"&gt;="&amp;D331,$A$3:$A$500,"&lt;&gt;"&amp;A331)=0)),0))</f>
        <v/>
      </c>
      <c r="P331">
        <f>IF(B331="","",IFERROR(SUMPRODUCT((LEN(Employees!$A$3:$A$500)&gt;0)*(Employees!$W$3:$W$500=1)*(COUNTIFS($B$3:$B$500,Employees!$A$3:$A$500,$H$3:$H$500,"Approved",$D$3:$D$500,"&lt;="&amp;E331,$E$3:$E$500,"&gt;="&amp;D331,$A$3:$A$500,"&lt;&gt;"&amp;A331)=0)),0))</f>
        <v/>
      </c>
      <c r="Q331">
        <f>IF(B331="","",IFERROR(SUMPRODUCT((LEN(Employees!$A$3:$A$500)&gt;0)*(Employees!$N$3:$N$500=1)*(COUNTIFS($B$3:$B$500,Employees!$A$3:$A$500,$H$3:$H$500,"Approved",$D$3:$D$500,"&lt;="&amp;E331,$E$3:$E$500,"&gt;="&amp;D331,$A$3:$A$500,"&lt;&gt;"&amp;A331)&gt;0)),0))</f>
        <v/>
      </c>
      <c r="R331">
        <f>IF(B331="","",IFERROR(SUMPRODUCT((LEN(Employees!$A$3:$A$500)&gt;0)*(Employees!$O$3:$O$500=1)*(COUNTIFS($B$3:$B$500,Employees!$A$3:$A$500,$H$3:$H$500,"Approved",$D$3:$D$500,"&lt;="&amp;E331,$E$3:$E$500,"&gt;="&amp;D331,$A$3:$A$500,"&lt;&gt;"&amp;A331)&gt;0)),0))</f>
        <v/>
      </c>
      <c r="S331">
        <f>IF(OR(B331="",IFERROR(XLOOKUP(B331,Employees!$A$3:$A$500,Employees!$G$3:$G$500,""),"")=""),"",IFERROR(SUMPRODUCT((LEN(Employees!$A$3:$A$500)&gt;0)*(Employees!$G$3:$G$500=IFERROR(XLOOKUP(B331,Employees!$A$3:$A$500,Employees!$G$3:$G$500,""),""))*(COUNTIFS($B$3:$B$500,Employees!$A$3:$A$500,$H$3:$H$500,"Approved",$D$3:$D$500,"&lt;="&amp;E331,$E$3:$E$500,"&gt;="&amp;D331,$A$3:$A$500,"&lt;&gt;"&amp;A331)&gt;0)),0))</f>
        <v/>
      </c>
    </row>
    <row r="332">
      <c r="C332">
        <f>IFERROR(XLOOKUP(B332,Employees!$A$3:$A$500,Employees!$B$3:$B$500,""),"")</f>
        <v/>
      </c>
      <c r="I332">
        <f>IF(AND(B332&lt;&gt;"",D332&lt;&gt;"",E332&lt;&gt;""),E332-D332+1,"")</f>
        <v/>
      </c>
      <c r="J332">
        <f>IF(OR(B332="",D332="",E332=""),"",IF(OR(L332&lt;'Coverage Rules'!E7,M332&lt;'Coverage Rules'!E8,N332&lt;'Coverage Rules'!C8,O332&lt;'Coverage Rules'!E9,P332&lt;'Coverage Rules'!E10,Q332&gt;='Coverage Rules'!B16,R332&gt;='Coverage Rules'!B17,IF(S332="",FALSE,S332&gt;='Coverage Rules'!D24)),"Denied","OK"))</f>
        <v/>
      </c>
      <c r="L332">
        <f>IF(B332="","",IFERROR(SUMPRODUCT((LEN(Employees!$A$3:$A$500)&gt;0)*(Employees!$T$3:$T$500=1)*(COUNTIFS($B$3:$B$500,Employees!$A$3:$A$500,$H$3:$H$500,"Approved",$D$3:$D$500,"&lt;="&amp;E332,$E$3:$E$500,"&gt;="&amp;D332,$A$3:$A$500,"&lt;&gt;"&amp;A332)=0)),0))</f>
        <v/>
      </c>
      <c r="M332">
        <f>IF(B332="","",IFERROR(SUMPRODUCT((LEN(Employees!$A$3:$A$500)&gt;0)*(Employees!$U$3:$U$500=1)*(COUNTIFS($B$3:$B$500,Employees!$A$3:$A$500,$H$3:$H$500,"Approved",$D$3:$D$500,"&lt;="&amp;E332,$E$3:$E$500,"&gt;="&amp;D332,$A$3:$A$500,"&lt;&gt;"&amp;A332)=0)),0))</f>
        <v/>
      </c>
      <c r="N332">
        <f>IF(B332="","",IFERROR(SUMPRODUCT((LEN(Employees!$A$3:$A$500)&gt;0)*(Employees!$B$3:$B$500="Manager")*(Employees!$U$3:$U$500=1)*(COUNTIFS($B$3:$B$500,Employees!$A$3:$A$500,$H$3:$H$500,"Approved",$D$3:$D$500,"&lt;="&amp;E332,$E$3:$E$500,"&gt;="&amp;D332,$A$3:$A$500,"&lt;&gt;"&amp;A332)=0)),0))</f>
        <v/>
      </c>
      <c r="O332">
        <f>IF(B332="","",IFERROR(SUMPRODUCT((LEN(Employees!$A$3:$A$500)&gt;0)*(Employees!$V$3:$V$500=1)*(COUNTIFS($B$3:$B$500,Employees!$A$3:$A$500,$H$3:$H$500,"Approved",$D$3:$D$500,"&lt;="&amp;E332,$E$3:$E$500,"&gt;="&amp;D332,$A$3:$A$500,"&lt;&gt;"&amp;A332)=0)),0))</f>
        <v/>
      </c>
      <c r="P332">
        <f>IF(B332="","",IFERROR(SUMPRODUCT((LEN(Employees!$A$3:$A$500)&gt;0)*(Employees!$W$3:$W$500=1)*(COUNTIFS($B$3:$B$500,Employees!$A$3:$A$500,$H$3:$H$500,"Approved",$D$3:$D$500,"&lt;="&amp;E332,$E$3:$E$500,"&gt;="&amp;D332,$A$3:$A$500,"&lt;&gt;"&amp;A332)=0)),0))</f>
        <v/>
      </c>
      <c r="Q332">
        <f>IF(B332="","",IFERROR(SUMPRODUCT((LEN(Employees!$A$3:$A$500)&gt;0)*(Employees!$N$3:$N$500=1)*(COUNTIFS($B$3:$B$500,Employees!$A$3:$A$500,$H$3:$H$500,"Approved",$D$3:$D$500,"&lt;="&amp;E332,$E$3:$E$500,"&gt;="&amp;D332,$A$3:$A$500,"&lt;&gt;"&amp;A332)&gt;0)),0))</f>
        <v/>
      </c>
      <c r="R332">
        <f>IF(B332="","",IFERROR(SUMPRODUCT((LEN(Employees!$A$3:$A$500)&gt;0)*(Employees!$O$3:$O$500=1)*(COUNTIFS($B$3:$B$500,Employees!$A$3:$A$500,$H$3:$H$500,"Approved",$D$3:$D$500,"&lt;="&amp;E332,$E$3:$E$500,"&gt;="&amp;D332,$A$3:$A$500,"&lt;&gt;"&amp;A332)&gt;0)),0))</f>
        <v/>
      </c>
      <c r="S332">
        <f>IF(OR(B332="",IFERROR(XLOOKUP(B332,Employees!$A$3:$A$500,Employees!$G$3:$G$500,""),"")=""),"",IFERROR(SUMPRODUCT((LEN(Employees!$A$3:$A$500)&gt;0)*(Employees!$G$3:$G$500=IFERROR(XLOOKUP(B332,Employees!$A$3:$A$500,Employees!$G$3:$G$500,""),""))*(COUNTIFS($B$3:$B$500,Employees!$A$3:$A$500,$H$3:$H$500,"Approved",$D$3:$D$500,"&lt;="&amp;E332,$E$3:$E$500,"&gt;="&amp;D332,$A$3:$A$500,"&lt;&gt;"&amp;A332)&gt;0)),0))</f>
        <v/>
      </c>
    </row>
    <row r="333">
      <c r="C333">
        <f>IFERROR(XLOOKUP(B333,Employees!$A$3:$A$500,Employees!$B$3:$B$500,""),"")</f>
        <v/>
      </c>
      <c r="I333">
        <f>IF(AND(B333&lt;&gt;"",D333&lt;&gt;"",E333&lt;&gt;""),E333-D333+1,"")</f>
        <v/>
      </c>
      <c r="J333">
        <f>IF(OR(B333="",D333="",E333=""),"",IF(OR(L333&lt;'Coverage Rules'!E7,M333&lt;'Coverage Rules'!E8,N333&lt;'Coverage Rules'!C8,O333&lt;'Coverage Rules'!E9,P333&lt;'Coverage Rules'!E10,Q333&gt;='Coverage Rules'!B16,R333&gt;='Coverage Rules'!B17,IF(S333="",FALSE,S333&gt;='Coverage Rules'!D24)),"Denied","OK"))</f>
        <v/>
      </c>
      <c r="L333">
        <f>IF(B333="","",IFERROR(SUMPRODUCT((LEN(Employees!$A$3:$A$500)&gt;0)*(Employees!$T$3:$T$500=1)*(COUNTIFS($B$3:$B$500,Employees!$A$3:$A$500,$H$3:$H$500,"Approved",$D$3:$D$500,"&lt;="&amp;E333,$E$3:$E$500,"&gt;="&amp;D333,$A$3:$A$500,"&lt;&gt;"&amp;A333)=0)),0))</f>
        <v/>
      </c>
      <c r="M333">
        <f>IF(B333="","",IFERROR(SUMPRODUCT((LEN(Employees!$A$3:$A$500)&gt;0)*(Employees!$U$3:$U$500=1)*(COUNTIFS($B$3:$B$500,Employees!$A$3:$A$500,$H$3:$H$500,"Approved",$D$3:$D$500,"&lt;="&amp;E333,$E$3:$E$500,"&gt;="&amp;D333,$A$3:$A$500,"&lt;&gt;"&amp;A333)=0)),0))</f>
        <v/>
      </c>
      <c r="N333">
        <f>IF(B333="","",IFERROR(SUMPRODUCT((LEN(Employees!$A$3:$A$500)&gt;0)*(Employees!$B$3:$B$500="Manager")*(Employees!$U$3:$U$500=1)*(COUNTIFS($B$3:$B$500,Employees!$A$3:$A$500,$H$3:$H$500,"Approved",$D$3:$D$500,"&lt;="&amp;E333,$E$3:$E$500,"&gt;="&amp;D333,$A$3:$A$500,"&lt;&gt;"&amp;A333)=0)),0))</f>
        <v/>
      </c>
      <c r="O333">
        <f>IF(B333="","",IFERROR(SUMPRODUCT((LEN(Employees!$A$3:$A$500)&gt;0)*(Employees!$V$3:$V$500=1)*(COUNTIFS($B$3:$B$500,Employees!$A$3:$A$500,$H$3:$H$500,"Approved",$D$3:$D$500,"&lt;="&amp;E333,$E$3:$E$500,"&gt;="&amp;D333,$A$3:$A$500,"&lt;&gt;"&amp;A333)=0)),0))</f>
        <v/>
      </c>
      <c r="P333">
        <f>IF(B333="","",IFERROR(SUMPRODUCT((LEN(Employees!$A$3:$A$500)&gt;0)*(Employees!$W$3:$W$500=1)*(COUNTIFS($B$3:$B$500,Employees!$A$3:$A$500,$H$3:$H$500,"Approved",$D$3:$D$500,"&lt;="&amp;E333,$E$3:$E$500,"&gt;="&amp;D333,$A$3:$A$500,"&lt;&gt;"&amp;A333)=0)),0))</f>
        <v/>
      </c>
      <c r="Q333">
        <f>IF(B333="","",IFERROR(SUMPRODUCT((LEN(Employees!$A$3:$A$500)&gt;0)*(Employees!$N$3:$N$500=1)*(COUNTIFS($B$3:$B$500,Employees!$A$3:$A$500,$H$3:$H$500,"Approved",$D$3:$D$500,"&lt;="&amp;E333,$E$3:$E$500,"&gt;="&amp;D333,$A$3:$A$500,"&lt;&gt;"&amp;A333)&gt;0)),0))</f>
        <v/>
      </c>
      <c r="R333">
        <f>IF(B333="","",IFERROR(SUMPRODUCT((LEN(Employees!$A$3:$A$500)&gt;0)*(Employees!$O$3:$O$500=1)*(COUNTIFS($B$3:$B$500,Employees!$A$3:$A$500,$H$3:$H$500,"Approved",$D$3:$D$500,"&lt;="&amp;E333,$E$3:$E$500,"&gt;="&amp;D333,$A$3:$A$500,"&lt;&gt;"&amp;A333)&gt;0)),0))</f>
        <v/>
      </c>
      <c r="S333">
        <f>IF(OR(B333="",IFERROR(XLOOKUP(B333,Employees!$A$3:$A$500,Employees!$G$3:$G$500,""),"")=""),"",IFERROR(SUMPRODUCT((LEN(Employees!$A$3:$A$500)&gt;0)*(Employees!$G$3:$G$500=IFERROR(XLOOKUP(B333,Employees!$A$3:$A$500,Employees!$G$3:$G$500,""),""))*(COUNTIFS($B$3:$B$500,Employees!$A$3:$A$500,$H$3:$H$500,"Approved",$D$3:$D$500,"&lt;="&amp;E333,$E$3:$E$500,"&gt;="&amp;D333,$A$3:$A$500,"&lt;&gt;"&amp;A333)&gt;0)),0))</f>
        <v/>
      </c>
    </row>
    <row r="334">
      <c r="C334">
        <f>IFERROR(XLOOKUP(B334,Employees!$A$3:$A$500,Employees!$B$3:$B$500,""),"")</f>
        <v/>
      </c>
      <c r="I334">
        <f>IF(AND(B334&lt;&gt;"",D334&lt;&gt;"",E334&lt;&gt;""),E334-D334+1,"")</f>
        <v/>
      </c>
      <c r="J334">
        <f>IF(OR(B334="",D334="",E334=""),"",IF(OR(L334&lt;'Coverage Rules'!E7,M334&lt;'Coverage Rules'!E8,N334&lt;'Coverage Rules'!C8,O334&lt;'Coverage Rules'!E9,P334&lt;'Coverage Rules'!E10,Q334&gt;='Coverage Rules'!B16,R334&gt;='Coverage Rules'!B17,IF(S334="",FALSE,S334&gt;='Coverage Rules'!D24)),"Denied","OK"))</f>
        <v/>
      </c>
      <c r="L334">
        <f>IF(B334="","",IFERROR(SUMPRODUCT((LEN(Employees!$A$3:$A$500)&gt;0)*(Employees!$T$3:$T$500=1)*(COUNTIFS($B$3:$B$500,Employees!$A$3:$A$500,$H$3:$H$500,"Approved",$D$3:$D$500,"&lt;="&amp;E334,$E$3:$E$500,"&gt;="&amp;D334,$A$3:$A$500,"&lt;&gt;"&amp;A334)=0)),0))</f>
        <v/>
      </c>
      <c r="M334">
        <f>IF(B334="","",IFERROR(SUMPRODUCT((LEN(Employees!$A$3:$A$500)&gt;0)*(Employees!$U$3:$U$500=1)*(COUNTIFS($B$3:$B$500,Employees!$A$3:$A$500,$H$3:$H$500,"Approved",$D$3:$D$500,"&lt;="&amp;E334,$E$3:$E$500,"&gt;="&amp;D334,$A$3:$A$500,"&lt;&gt;"&amp;A334)=0)),0))</f>
        <v/>
      </c>
      <c r="N334">
        <f>IF(B334="","",IFERROR(SUMPRODUCT((LEN(Employees!$A$3:$A$500)&gt;0)*(Employees!$B$3:$B$500="Manager")*(Employees!$U$3:$U$500=1)*(COUNTIFS($B$3:$B$500,Employees!$A$3:$A$500,$H$3:$H$500,"Approved",$D$3:$D$500,"&lt;="&amp;E334,$E$3:$E$500,"&gt;="&amp;D334,$A$3:$A$500,"&lt;&gt;"&amp;A334)=0)),0))</f>
        <v/>
      </c>
      <c r="O334">
        <f>IF(B334="","",IFERROR(SUMPRODUCT((LEN(Employees!$A$3:$A$500)&gt;0)*(Employees!$V$3:$V$500=1)*(COUNTIFS($B$3:$B$500,Employees!$A$3:$A$500,$H$3:$H$500,"Approved",$D$3:$D$500,"&lt;="&amp;E334,$E$3:$E$500,"&gt;="&amp;D334,$A$3:$A$500,"&lt;&gt;"&amp;A334)=0)),0))</f>
        <v/>
      </c>
      <c r="P334">
        <f>IF(B334="","",IFERROR(SUMPRODUCT((LEN(Employees!$A$3:$A$500)&gt;0)*(Employees!$W$3:$W$500=1)*(COUNTIFS($B$3:$B$500,Employees!$A$3:$A$500,$H$3:$H$500,"Approved",$D$3:$D$500,"&lt;="&amp;E334,$E$3:$E$500,"&gt;="&amp;D334,$A$3:$A$500,"&lt;&gt;"&amp;A334)=0)),0))</f>
        <v/>
      </c>
      <c r="Q334">
        <f>IF(B334="","",IFERROR(SUMPRODUCT((LEN(Employees!$A$3:$A$500)&gt;0)*(Employees!$N$3:$N$500=1)*(COUNTIFS($B$3:$B$500,Employees!$A$3:$A$500,$H$3:$H$500,"Approved",$D$3:$D$500,"&lt;="&amp;E334,$E$3:$E$500,"&gt;="&amp;D334,$A$3:$A$500,"&lt;&gt;"&amp;A334)&gt;0)),0))</f>
        <v/>
      </c>
      <c r="R334">
        <f>IF(B334="","",IFERROR(SUMPRODUCT((LEN(Employees!$A$3:$A$500)&gt;0)*(Employees!$O$3:$O$500=1)*(COUNTIFS($B$3:$B$500,Employees!$A$3:$A$500,$H$3:$H$500,"Approved",$D$3:$D$500,"&lt;="&amp;E334,$E$3:$E$500,"&gt;="&amp;D334,$A$3:$A$500,"&lt;&gt;"&amp;A334)&gt;0)),0))</f>
        <v/>
      </c>
      <c r="S334">
        <f>IF(OR(B334="",IFERROR(XLOOKUP(B334,Employees!$A$3:$A$500,Employees!$G$3:$G$500,""),"")=""),"",IFERROR(SUMPRODUCT((LEN(Employees!$A$3:$A$500)&gt;0)*(Employees!$G$3:$G$500=IFERROR(XLOOKUP(B334,Employees!$A$3:$A$500,Employees!$G$3:$G$500,""),""))*(COUNTIFS($B$3:$B$500,Employees!$A$3:$A$500,$H$3:$H$500,"Approved",$D$3:$D$500,"&lt;="&amp;E334,$E$3:$E$500,"&gt;="&amp;D334,$A$3:$A$500,"&lt;&gt;"&amp;A334)&gt;0)),0))</f>
        <v/>
      </c>
    </row>
    <row r="335">
      <c r="C335">
        <f>IFERROR(XLOOKUP(B335,Employees!$A$3:$A$500,Employees!$B$3:$B$500,""),"")</f>
        <v/>
      </c>
      <c r="I335">
        <f>IF(AND(B335&lt;&gt;"",D335&lt;&gt;"",E335&lt;&gt;""),E335-D335+1,"")</f>
        <v/>
      </c>
      <c r="J335">
        <f>IF(OR(B335="",D335="",E335=""),"",IF(OR(L335&lt;'Coverage Rules'!E7,M335&lt;'Coverage Rules'!E8,N335&lt;'Coverage Rules'!C8,O335&lt;'Coverage Rules'!E9,P335&lt;'Coverage Rules'!E10,Q335&gt;='Coverage Rules'!B16,R335&gt;='Coverage Rules'!B17,IF(S335="",FALSE,S335&gt;='Coverage Rules'!D24)),"Denied","OK"))</f>
        <v/>
      </c>
      <c r="L335">
        <f>IF(B335="","",IFERROR(SUMPRODUCT((LEN(Employees!$A$3:$A$500)&gt;0)*(Employees!$T$3:$T$500=1)*(COUNTIFS($B$3:$B$500,Employees!$A$3:$A$500,$H$3:$H$500,"Approved",$D$3:$D$500,"&lt;="&amp;E335,$E$3:$E$500,"&gt;="&amp;D335,$A$3:$A$500,"&lt;&gt;"&amp;A335)=0)),0))</f>
        <v/>
      </c>
      <c r="M335">
        <f>IF(B335="","",IFERROR(SUMPRODUCT((LEN(Employees!$A$3:$A$500)&gt;0)*(Employees!$U$3:$U$500=1)*(COUNTIFS($B$3:$B$500,Employees!$A$3:$A$500,$H$3:$H$500,"Approved",$D$3:$D$500,"&lt;="&amp;E335,$E$3:$E$500,"&gt;="&amp;D335,$A$3:$A$500,"&lt;&gt;"&amp;A335)=0)),0))</f>
        <v/>
      </c>
      <c r="N335">
        <f>IF(B335="","",IFERROR(SUMPRODUCT((LEN(Employees!$A$3:$A$500)&gt;0)*(Employees!$B$3:$B$500="Manager")*(Employees!$U$3:$U$500=1)*(COUNTIFS($B$3:$B$500,Employees!$A$3:$A$500,$H$3:$H$500,"Approved",$D$3:$D$500,"&lt;="&amp;E335,$E$3:$E$500,"&gt;="&amp;D335,$A$3:$A$500,"&lt;&gt;"&amp;A335)=0)),0))</f>
        <v/>
      </c>
      <c r="O335">
        <f>IF(B335="","",IFERROR(SUMPRODUCT((LEN(Employees!$A$3:$A$500)&gt;0)*(Employees!$V$3:$V$500=1)*(COUNTIFS($B$3:$B$500,Employees!$A$3:$A$500,$H$3:$H$500,"Approved",$D$3:$D$500,"&lt;="&amp;E335,$E$3:$E$500,"&gt;="&amp;D335,$A$3:$A$500,"&lt;&gt;"&amp;A335)=0)),0))</f>
        <v/>
      </c>
      <c r="P335">
        <f>IF(B335="","",IFERROR(SUMPRODUCT((LEN(Employees!$A$3:$A$500)&gt;0)*(Employees!$W$3:$W$500=1)*(COUNTIFS($B$3:$B$500,Employees!$A$3:$A$500,$H$3:$H$500,"Approved",$D$3:$D$500,"&lt;="&amp;E335,$E$3:$E$500,"&gt;="&amp;D335,$A$3:$A$500,"&lt;&gt;"&amp;A335)=0)),0))</f>
        <v/>
      </c>
      <c r="Q335">
        <f>IF(B335="","",IFERROR(SUMPRODUCT((LEN(Employees!$A$3:$A$500)&gt;0)*(Employees!$N$3:$N$500=1)*(COUNTIFS($B$3:$B$500,Employees!$A$3:$A$500,$H$3:$H$500,"Approved",$D$3:$D$500,"&lt;="&amp;E335,$E$3:$E$500,"&gt;="&amp;D335,$A$3:$A$500,"&lt;&gt;"&amp;A335)&gt;0)),0))</f>
        <v/>
      </c>
      <c r="R335">
        <f>IF(B335="","",IFERROR(SUMPRODUCT((LEN(Employees!$A$3:$A$500)&gt;0)*(Employees!$O$3:$O$500=1)*(COUNTIFS($B$3:$B$500,Employees!$A$3:$A$500,$H$3:$H$500,"Approved",$D$3:$D$500,"&lt;="&amp;E335,$E$3:$E$500,"&gt;="&amp;D335,$A$3:$A$500,"&lt;&gt;"&amp;A335)&gt;0)),0))</f>
        <v/>
      </c>
      <c r="S335">
        <f>IF(OR(B335="",IFERROR(XLOOKUP(B335,Employees!$A$3:$A$500,Employees!$G$3:$G$500,""),"")=""),"",IFERROR(SUMPRODUCT((LEN(Employees!$A$3:$A$500)&gt;0)*(Employees!$G$3:$G$500=IFERROR(XLOOKUP(B335,Employees!$A$3:$A$500,Employees!$G$3:$G$500,""),""))*(COUNTIFS($B$3:$B$500,Employees!$A$3:$A$500,$H$3:$H$500,"Approved",$D$3:$D$500,"&lt;="&amp;E335,$E$3:$E$500,"&gt;="&amp;D335,$A$3:$A$500,"&lt;&gt;"&amp;A335)&gt;0)),0))</f>
        <v/>
      </c>
    </row>
    <row r="336">
      <c r="C336">
        <f>IFERROR(XLOOKUP(B336,Employees!$A$3:$A$500,Employees!$B$3:$B$500,""),"")</f>
        <v/>
      </c>
      <c r="I336">
        <f>IF(AND(B336&lt;&gt;"",D336&lt;&gt;"",E336&lt;&gt;""),E336-D336+1,"")</f>
        <v/>
      </c>
      <c r="J336">
        <f>IF(OR(B336="",D336="",E336=""),"",IF(OR(L336&lt;'Coverage Rules'!E7,M336&lt;'Coverage Rules'!E8,N336&lt;'Coverage Rules'!C8,O336&lt;'Coverage Rules'!E9,P336&lt;'Coverage Rules'!E10,Q336&gt;='Coverage Rules'!B16,R336&gt;='Coverage Rules'!B17,IF(S336="",FALSE,S336&gt;='Coverage Rules'!D24)),"Denied","OK"))</f>
        <v/>
      </c>
      <c r="L336">
        <f>IF(B336="","",IFERROR(SUMPRODUCT((LEN(Employees!$A$3:$A$500)&gt;0)*(Employees!$T$3:$T$500=1)*(COUNTIFS($B$3:$B$500,Employees!$A$3:$A$500,$H$3:$H$500,"Approved",$D$3:$D$500,"&lt;="&amp;E336,$E$3:$E$500,"&gt;="&amp;D336,$A$3:$A$500,"&lt;&gt;"&amp;A336)=0)),0))</f>
        <v/>
      </c>
      <c r="M336">
        <f>IF(B336="","",IFERROR(SUMPRODUCT((LEN(Employees!$A$3:$A$500)&gt;0)*(Employees!$U$3:$U$500=1)*(COUNTIFS($B$3:$B$500,Employees!$A$3:$A$500,$H$3:$H$500,"Approved",$D$3:$D$500,"&lt;="&amp;E336,$E$3:$E$500,"&gt;="&amp;D336,$A$3:$A$500,"&lt;&gt;"&amp;A336)=0)),0))</f>
        <v/>
      </c>
      <c r="N336">
        <f>IF(B336="","",IFERROR(SUMPRODUCT((LEN(Employees!$A$3:$A$500)&gt;0)*(Employees!$B$3:$B$500="Manager")*(Employees!$U$3:$U$500=1)*(COUNTIFS($B$3:$B$500,Employees!$A$3:$A$500,$H$3:$H$500,"Approved",$D$3:$D$500,"&lt;="&amp;E336,$E$3:$E$500,"&gt;="&amp;D336,$A$3:$A$500,"&lt;&gt;"&amp;A336)=0)),0))</f>
        <v/>
      </c>
      <c r="O336">
        <f>IF(B336="","",IFERROR(SUMPRODUCT((LEN(Employees!$A$3:$A$500)&gt;0)*(Employees!$V$3:$V$500=1)*(COUNTIFS($B$3:$B$500,Employees!$A$3:$A$500,$H$3:$H$500,"Approved",$D$3:$D$500,"&lt;="&amp;E336,$E$3:$E$500,"&gt;="&amp;D336,$A$3:$A$500,"&lt;&gt;"&amp;A336)=0)),0))</f>
        <v/>
      </c>
      <c r="P336">
        <f>IF(B336="","",IFERROR(SUMPRODUCT((LEN(Employees!$A$3:$A$500)&gt;0)*(Employees!$W$3:$W$500=1)*(COUNTIFS($B$3:$B$500,Employees!$A$3:$A$500,$H$3:$H$500,"Approved",$D$3:$D$500,"&lt;="&amp;E336,$E$3:$E$500,"&gt;="&amp;D336,$A$3:$A$500,"&lt;&gt;"&amp;A336)=0)),0))</f>
        <v/>
      </c>
      <c r="Q336">
        <f>IF(B336="","",IFERROR(SUMPRODUCT((LEN(Employees!$A$3:$A$500)&gt;0)*(Employees!$N$3:$N$500=1)*(COUNTIFS($B$3:$B$500,Employees!$A$3:$A$500,$H$3:$H$500,"Approved",$D$3:$D$500,"&lt;="&amp;E336,$E$3:$E$500,"&gt;="&amp;D336,$A$3:$A$500,"&lt;&gt;"&amp;A336)&gt;0)),0))</f>
        <v/>
      </c>
      <c r="R336">
        <f>IF(B336="","",IFERROR(SUMPRODUCT((LEN(Employees!$A$3:$A$500)&gt;0)*(Employees!$O$3:$O$500=1)*(COUNTIFS($B$3:$B$500,Employees!$A$3:$A$500,$H$3:$H$500,"Approved",$D$3:$D$500,"&lt;="&amp;E336,$E$3:$E$500,"&gt;="&amp;D336,$A$3:$A$500,"&lt;&gt;"&amp;A336)&gt;0)),0))</f>
        <v/>
      </c>
      <c r="S336">
        <f>IF(OR(B336="",IFERROR(XLOOKUP(B336,Employees!$A$3:$A$500,Employees!$G$3:$G$500,""),"")=""),"",IFERROR(SUMPRODUCT((LEN(Employees!$A$3:$A$500)&gt;0)*(Employees!$G$3:$G$500=IFERROR(XLOOKUP(B336,Employees!$A$3:$A$500,Employees!$G$3:$G$500,""),""))*(COUNTIFS($B$3:$B$500,Employees!$A$3:$A$500,$H$3:$H$500,"Approved",$D$3:$D$500,"&lt;="&amp;E336,$E$3:$E$500,"&gt;="&amp;D336,$A$3:$A$500,"&lt;&gt;"&amp;A336)&gt;0)),0))</f>
        <v/>
      </c>
    </row>
    <row r="337">
      <c r="C337">
        <f>IFERROR(XLOOKUP(B337,Employees!$A$3:$A$500,Employees!$B$3:$B$500,""),"")</f>
        <v/>
      </c>
      <c r="I337">
        <f>IF(AND(B337&lt;&gt;"",D337&lt;&gt;"",E337&lt;&gt;""),E337-D337+1,"")</f>
        <v/>
      </c>
      <c r="J337">
        <f>IF(OR(B337="",D337="",E337=""),"",IF(OR(L337&lt;'Coverage Rules'!E7,M337&lt;'Coverage Rules'!E8,N337&lt;'Coverage Rules'!C8,O337&lt;'Coverage Rules'!E9,P337&lt;'Coverage Rules'!E10,Q337&gt;='Coverage Rules'!B16,R337&gt;='Coverage Rules'!B17,IF(S337="",FALSE,S337&gt;='Coverage Rules'!D24)),"Denied","OK"))</f>
        <v/>
      </c>
      <c r="L337">
        <f>IF(B337="","",IFERROR(SUMPRODUCT((LEN(Employees!$A$3:$A$500)&gt;0)*(Employees!$T$3:$T$500=1)*(COUNTIFS($B$3:$B$500,Employees!$A$3:$A$500,$H$3:$H$500,"Approved",$D$3:$D$500,"&lt;="&amp;E337,$E$3:$E$500,"&gt;="&amp;D337,$A$3:$A$500,"&lt;&gt;"&amp;A337)=0)),0))</f>
        <v/>
      </c>
      <c r="M337">
        <f>IF(B337="","",IFERROR(SUMPRODUCT((LEN(Employees!$A$3:$A$500)&gt;0)*(Employees!$U$3:$U$500=1)*(COUNTIFS($B$3:$B$500,Employees!$A$3:$A$500,$H$3:$H$500,"Approved",$D$3:$D$500,"&lt;="&amp;E337,$E$3:$E$500,"&gt;="&amp;D337,$A$3:$A$500,"&lt;&gt;"&amp;A337)=0)),0))</f>
        <v/>
      </c>
      <c r="N337">
        <f>IF(B337="","",IFERROR(SUMPRODUCT((LEN(Employees!$A$3:$A$500)&gt;0)*(Employees!$B$3:$B$500="Manager")*(Employees!$U$3:$U$500=1)*(COUNTIFS($B$3:$B$500,Employees!$A$3:$A$500,$H$3:$H$500,"Approved",$D$3:$D$500,"&lt;="&amp;E337,$E$3:$E$500,"&gt;="&amp;D337,$A$3:$A$500,"&lt;&gt;"&amp;A337)=0)),0))</f>
        <v/>
      </c>
      <c r="O337">
        <f>IF(B337="","",IFERROR(SUMPRODUCT((LEN(Employees!$A$3:$A$500)&gt;0)*(Employees!$V$3:$V$500=1)*(COUNTIFS($B$3:$B$500,Employees!$A$3:$A$500,$H$3:$H$500,"Approved",$D$3:$D$500,"&lt;="&amp;E337,$E$3:$E$500,"&gt;="&amp;D337,$A$3:$A$500,"&lt;&gt;"&amp;A337)=0)),0))</f>
        <v/>
      </c>
      <c r="P337">
        <f>IF(B337="","",IFERROR(SUMPRODUCT((LEN(Employees!$A$3:$A$500)&gt;0)*(Employees!$W$3:$W$500=1)*(COUNTIFS($B$3:$B$500,Employees!$A$3:$A$500,$H$3:$H$500,"Approved",$D$3:$D$500,"&lt;="&amp;E337,$E$3:$E$500,"&gt;="&amp;D337,$A$3:$A$500,"&lt;&gt;"&amp;A337)=0)),0))</f>
        <v/>
      </c>
      <c r="Q337">
        <f>IF(B337="","",IFERROR(SUMPRODUCT((LEN(Employees!$A$3:$A$500)&gt;0)*(Employees!$N$3:$N$500=1)*(COUNTIFS($B$3:$B$500,Employees!$A$3:$A$500,$H$3:$H$500,"Approved",$D$3:$D$500,"&lt;="&amp;E337,$E$3:$E$500,"&gt;="&amp;D337,$A$3:$A$500,"&lt;&gt;"&amp;A337)&gt;0)),0))</f>
        <v/>
      </c>
      <c r="R337">
        <f>IF(B337="","",IFERROR(SUMPRODUCT((LEN(Employees!$A$3:$A$500)&gt;0)*(Employees!$O$3:$O$500=1)*(COUNTIFS($B$3:$B$500,Employees!$A$3:$A$500,$H$3:$H$500,"Approved",$D$3:$D$500,"&lt;="&amp;E337,$E$3:$E$500,"&gt;="&amp;D337,$A$3:$A$500,"&lt;&gt;"&amp;A337)&gt;0)),0))</f>
        <v/>
      </c>
      <c r="S337">
        <f>IF(OR(B337="",IFERROR(XLOOKUP(B337,Employees!$A$3:$A$500,Employees!$G$3:$G$500,""),"")=""),"",IFERROR(SUMPRODUCT((LEN(Employees!$A$3:$A$500)&gt;0)*(Employees!$G$3:$G$500=IFERROR(XLOOKUP(B337,Employees!$A$3:$A$500,Employees!$G$3:$G$500,""),""))*(COUNTIFS($B$3:$B$500,Employees!$A$3:$A$500,$H$3:$H$500,"Approved",$D$3:$D$500,"&lt;="&amp;E337,$E$3:$E$500,"&gt;="&amp;D337,$A$3:$A$500,"&lt;&gt;"&amp;A337)&gt;0)),0))</f>
        <v/>
      </c>
    </row>
    <row r="338">
      <c r="C338">
        <f>IFERROR(XLOOKUP(B338,Employees!$A$3:$A$500,Employees!$B$3:$B$500,""),"")</f>
        <v/>
      </c>
      <c r="I338">
        <f>IF(AND(B338&lt;&gt;"",D338&lt;&gt;"",E338&lt;&gt;""),E338-D338+1,"")</f>
        <v/>
      </c>
      <c r="J338">
        <f>IF(OR(B338="",D338="",E338=""),"",IF(OR(L338&lt;'Coverage Rules'!E7,M338&lt;'Coverage Rules'!E8,N338&lt;'Coverage Rules'!C8,O338&lt;'Coverage Rules'!E9,P338&lt;'Coverage Rules'!E10,Q338&gt;='Coverage Rules'!B16,R338&gt;='Coverage Rules'!B17,IF(S338="",FALSE,S338&gt;='Coverage Rules'!D24)),"Denied","OK"))</f>
        <v/>
      </c>
      <c r="L338">
        <f>IF(B338="","",IFERROR(SUMPRODUCT((LEN(Employees!$A$3:$A$500)&gt;0)*(Employees!$T$3:$T$500=1)*(COUNTIFS($B$3:$B$500,Employees!$A$3:$A$500,$H$3:$H$500,"Approved",$D$3:$D$500,"&lt;="&amp;E338,$E$3:$E$500,"&gt;="&amp;D338,$A$3:$A$500,"&lt;&gt;"&amp;A338)=0)),0))</f>
        <v/>
      </c>
      <c r="M338">
        <f>IF(B338="","",IFERROR(SUMPRODUCT((LEN(Employees!$A$3:$A$500)&gt;0)*(Employees!$U$3:$U$500=1)*(COUNTIFS($B$3:$B$500,Employees!$A$3:$A$500,$H$3:$H$500,"Approved",$D$3:$D$500,"&lt;="&amp;E338,$E$3:$E$500,"&gt;="&amp;D338,$A$3:$A$500,"&lt;&gt;"&amp;A338)=0)),0))</f>
        <v/>
      </c>
      <c r="N338">
        <f>IF(B338="","",IFERROR(SUMPRODUCT((LEN(Employees!$A$3:$A$500)&gt;0)*(Employees!$B$3:$B$500="Manager")*(Employees!$U$3:$U$500=1)*(COUNTIFS($B$3:$B$500,Employees!$A$3:$A$500,$H$3:$H$500,"Approved",$D$3:$D$500,"&lt;="&amp;E338,$E$3:$E$500,"&gt;="&amp;D338,$A$3:$A$500,"&lt;&gt;"&amp;A338)=0)),0))</f>
        <v/>
      </c>
      <c r="O338">
        <f>IF(B338="","",IFERROR(SUMPRODUCT((LEN(Employees!$A$3:$A$500)&gt;0)*(Employees!$V$3:$V$500=1)*(COUNTIFS($B$3:$B$500,Employees!$A$3:$A$500,$H$3:$H$500,"Approved",$D$3:$D$500,"&lt;="&amp;E338,$E$3:$E$500,"&gt;="&amp;D338,$A$3:$A$500,"&lt;&gt;"&amp;A338)=0)),0))</f>
        <v/>
      </c>
      <c r="P338">
        <f>IF(B338="","",IFERROR(SUMPRODUCT((LEN(Employees!$A$3:$A$500)&gt;0)*(Employees!$W$3:$W$500=1)*(COUNTIFS($B$3:$B$500,Employees!$A$3:$A$500,$H$3:$H$500,"Approved",$D$3:$D$500,"&lt;="&amp;E338,$E$3:$E$500,"&gt;="&amp;D338,$A$3:$A$500,"&lt;&gt;"&amp;A338)=0)),0))</f>
        <v/>
      </c>
      <c r="Q338">
        <f>IF(B338="","",IFERROR(SUMPRODUCT((LEN(Employees!$A$3:$A$500)&gt;0)*(Employees!$N$3:$N$500=1)*(COUNTIFS($B$3:$B$500,Employees!$A$3:$A$500,$H$3:$H$500,"Approved",$D$3:$D$500,"&lt;="&amp;E338,$E$3:$E$500,"&gt;="&amp;D338,$A$3:$A$500,"&lt;&gt;"&amp;A338)&gt;0)),0))</f>
        <v/>
      </c>
      <c r="R338">
        <f>IF(B338="","",IFERROR(SUMPRODUCT((LEN(Employees!$A$3:$A$500)&gt;0)*(Employees!$O$3:$O$500=1)*(COUNTIFS($B$3:$B$500,Employees!$A$3:$A$500,$H$3:$H$500,"Approved",$D$3:$D$500,"&lt;="&amp;E338,$E$3:$E$500,"&gt;="&amp;D338,$A$3:$A$500,"&lt;&gt;"&amp;A338)&gt;0)),0))</f>
        <v/>
      </c>
      <c r="S338">
        <f>IF(OR(B338="",IFERROR(XLOOKUP(B338,Employees!$A$3:$A$500,Employees!$G$3:$G$500,""),"")=""),"",IFERROR(SUMPRODUCT((LEN(Employees!$A$3:$A$500)&gt;0)*(Employees!$G$3:$G$500=IFERROR(XLOOKUP(B338,Employees!$A$3:$A$500,Employees!$G$3:$G$500,""),""))*(COUNTIFS($B$3:$B$500,Employees!$A$3:$A$500,$H$3:$H$500,"Approved",$D$3:$D$500,"&lt;="&amp;E338,$E$3:$E$500,"&gt;="&amp;D338,$A$3:$A$500,"&lt;&gt;"&amp;A338)&gt;0)),0))</f>
        <v/>
      </c>
    </row>
    <row r="339">
      <c r="C339">
        <f>IFERROR(XLOOKUP(B339,Employees!$A$3:$A$500,Employees!$B$3:$B$500,""),"")</f>
        <v/>
      </c>
      <c r="I339">
        <f>IF(AND(B339&lt;&gt;"",D339&lt;&gt;"",E339&lt;&gt;""),E339-D339+1,"")</f>
        <v/>
      </c>
      <c r="J339">
        <f>IF(OR(B339="",D339="",E339=""),"",IF(OR(L339&lt;'Coverage Rules'!E7,M339&lt;'Coverage Rules'!E8,N339&lt;'Coverage Rules'!C8,O339&lt;'Coverage Rules'!E9,P339&lt;'Coverage Rules'!E10,Q339&gt;='Coverage Rules'!B16,R339&gt;='Coverage Rules'!B17,IF(S339="",FALSE,S339&gt;='Coverage Rules'!D24)),"Denied","OK"))</f>
        <v/>
      </c>
      <c r="L339">
        <f>IF(B339="","",IFERROR(SUMPRODUCT((LEN(Employees!$A$3:$A$500)&gt;0)*(Employees!$T$3:$T$500=1)*(COUNTIFS($B$3:$B$500,Employees!$A$3:$A$500,$H$3:$H$500,"Approved",$D$3:$D$500,"&lt;="&amp;E339,$E$3:$E$500,"&gt;="&amp;D339,$A$3:$A$500,"&lt;&gt;"&amp;A339)=0)),0))</f>
        <v/>
      </c>
      <c r="M339">
        <f>IF(B339="","",IFERROR(SUMPRODUCT((LEN(Employees!$A$3:$A$500)&gt;0)*(Employees!$U$3:$U$500=1)*(COUNTIFS($B$3:$B$500,Employees!$A$3:$A$500,$H$3:$H$500,"Approved",$D$3:$D$500,"&lt;="&amp;E339,$E$3:$E$500,"&gt;="&amp;D339,$A$3:$A$500,"&lt;&gt;"&amp;A339)=0)),0))</f>
        <v/>
      </c>
      <c r="N339">
        <f>IF(B339="","",IFERROR(SUMPRODUCT((LEN(Employees!$A$3:$A$500)&gt;0)*(Employees!$B$3:$B$500="Manager")*(Employees!$U$3:$U$500=1)*(COUNTIFS($B$3:$B$500,Employees!$A$3:$A$500,$H$3:$H$500,"Approved",$D$3:$D$500,"&lt;="&amp;E339,$E$3:$E$500,"&gt;="&amp;D339,$A$3:$A$500,"&lt;&gt;"&amp;A339)=0)),0))</f>
        <v/>
      </c>
      <c r="O339">
        <f>IF(B339="","",IFERROR(SUMPRODUCT((LEN(Employees!$A$3:$A$500)&gt;0)*(Employees!$V$3:$V$500=1)*(COUNTIFS($B$3:$B$500,Employees!$A$3:$A$500,$H$3:$H$500,"Approved",$D$3:$D$500,"&lt;="&amp;E339,$E$3:$E$500,"&gt;="&amp;D339,$A$3:$A$500,"&lt;&gt;"&amp;A339)=0)),0))</f>
        <v/>
      </c>
      <c r="P339">
        <f>IF(B339="","",IFERROR(SUMPRODUCT((LEN(Employees!$A$3:$A$500)&gt;0)*(Employees!$W$3:$W$500=1)*(COUNTIFS($B$3:$B$500,Employees!$A$3:$A$500,$H$3:$H$500,"Approved",$D$3:$D$500,"&lt;="&amp;E339,$E$3:$E$500,"&gt;="&amp;D339,$A$3:$A$500,"&lt;&gt;"&amp;A339)=0)),0))</f>
        <v/>
      </c>
      <c r="Q339">
        <f>IF(B339="","",IFERROR(SUMPRODUCT((LEN(Employees!$A$3:$A$500)&gt;0)*(Employees!$N$3:$N$500=1)*(COUNTIFS($B$3:$B$500,Employees!$A$3:$A$500,$H$3:$H$500,"Approved",$D$3:$D$500,"&lt;="&amp;E339,$E$3:$E$500,"&gt;="&amp;D339,$A$3:$A$500,"&lt;&gt;"&amp;A339)&gt;0)),0))</f>
        <v/>
      </c>
      <c r="R339">
        <f>IF(B339="","",IFERROR(SUMPRODUCT((LEN(Employees!$A$3:$A$500)&gt;0)*(Employees!$O$3:$O$500=1)*(COUNTIFS($B$3:$B$500,Employees!$A$3:$A$500,$H$3:$H$500,"Approved",$D$3:$D$500,"&lt;="&amp;E339,$E$3:$E$500,"&gt;="&amp;D339,$A$3:$A$500,"&lt;&gt;"&amp;A339)&gt;0)),0))</f>
        <v/>
      </c>
      <c r="S339">
        <f>IF(OR(B339="",IFERROR(XLOOKUP(B339,Employees!$A$3:$A$500,Employees!$G$3:$G$500,""),"")=""),"",IFERROR(SUMPRODUCT((LEN(Employees!$A$3:$A$500)&gt;0)*(Employees!$G$3:$G$500=IFERROR(XLOOKUP(B339,Employees!$A$3:$A$500,Employees!$G$3:$G$500,""),""))*(COUNTIFS($B$3:$B$500,Employees!$A$3:$A$500,$H$3:$H$500,"Approved",$D$3:$D$500,"&lt;="&amp;E339,$E$3:$E$500,"&gt;="&amp;D339,$A$3:$A$500,"&lt;&gt;"&amp;A339)&gt;0)),0))</f>
        <v/>
      </c>
    </row>
    <row r="340">
      <c r="C340">
        <f>IFERROR(XLOOKUP(B340,Employees!$A$3:$A$500,Employees!$B$3:$B$500,""),"")</f>
        <v/>
      </c>
      <c r="I340">
        <f>IF(AND(B340&lt;&gt;"",D340&lt;&gt;"",E340&lt;&gt;""),E340-D340+1,"")</f>
        <v/>
      </c>
      <c r="J340">
        <f>IF(OR(B340="",D340="",E340=""),"",IF(OR(L340&lt;'Coverage Rules'!E7,M340&lt;'Coverage Rules'!E8,N340&lt;'Coverage Rules'!C8,O340&lt;'Coverage Rules'!E9,P340&lt;'Coverage Rules'!E10,Q340&gt;='Coverage Rules'!B16,R340&gt;='Coverage Rules'!B17,IF(S340="",FALSE,S340&gt;='Coverage Rules'!D24)),"Denied","OK"))</f>
        <v/>
      </c>
      <c r="L340">
        <f>IF(B340="","",IFERROR(SUMPRODUCT((LEN(Employees!$A$3:$A$500)&gt;0)*(Employees!$T$3:$T$500=1)*(COUNTIFS($B$3:$B$500,Employees!$A$3:$A$500,$H$3:$H$500,"Approved",$D$3:$D$500,"&lt;="&amp;E340,$E$3:$E$500,"&gt;="&amp;D340,$A$3:$A$500,"&lt;&gt;"&amp;A340)=0)),0))</f>
        <v/>
      </c>
      <c r="M340">
        <f>IF(B340="","",IFERROR(SUMPRODUCT((LEN(Employees!$A$3:$A$500)&gt;0)*(Employees!$U$3:$U$500=1)*(COUNTIFS($B$3:$B$500,Employees!$A$3:$A$500,$H$3:$H$500,"Approved",$D$3:$D$500,"&lt;="&amp;E340,$E$3:$E$500,"&gt;="&amp;D340,$A$3:$A$500,"&lt;&gt;"&amp;A340)=0)),0))</f>
        <v/>
      </c>
      <c r="N340">
        <f>IF(B340="","",IFERROR(SUMPRODUCT((LEN(Employees!$A$3:$A$500)&gt;0)*(Employees!$B$3:$B$500="Manager")*(Employees!$U$3:$U$500=1)*(COUNTIFS($B$3:$B$500,Employees!$A$3:$A$500,$H$3:$H$500,"Approved",$D$3:$D$500,"&lt;="&amp;E340,$E$3:$E$500,"&gt;="&amp;D340,$A$3:$A$500,"&lt;&gt;"&amp;A340)=0)),0))</f>
        <v/>
      </c>
      <c r="O340">
        <f>IF(B340="","",IFERROR(SUMPRODUCT((LEN(Employees!$A$3:$A$500)&gt;0)*(Employees!$V$3:$V$500=1)*(COUNTIFS($B$3:$B$500,Employees!$A$3:$A$500,$H$3:$H$500,"Approved",$D$3:$D$500,"&lt;="&amp;E340,$E$3:$E$500,"&gt;="&amp;D340,$A$3:$A$500,"&lt;&gt;"&amp;A340)=0)),0))</f>
        <v/>
      </c>
      <c r="P340">
        <f>IF(B340="","",IFERROR(SUMPRODUCT((LEN(Employees!$A$3:$A$500)&gt;0)*(Employees!$W$3:$W$500=1)*(COUNTIFS($B$3:$B$500,Employees!$A$3:$A$500,$H$3:$H$500,"Approved",$D$3:$D$500,"&lt;="&amp;E340,$E$3:$E$500,"&gt;="&amp;D340,$A$3:$A$500,"&lt;&gt;"&amp;A340)=0)),0))</f>
        <v/>
      </c>
      <c r="Q340">
        <f>IF(B340="","",IFERROR(SUMPRODUCT((LEN(Employees!$A$3:$A$500)&gt;0)*(Employees!$N$3:$N$500=1)*(COUNTIFS($B$3:$B$500,Employees!$A$3:$A$500,$H$3:$H$500,"Approved",$D$3:$D$500,"&lt;="&amp;E340,$E$3:$E$500,"&gt;="&amp;D340,$A$3:$A$500,"&lt;&gt;"&amp;A340)&gt;0)),0))</f>
        <v/>
      </c>
      <c r="R340">
        <f>IF(B340="","",IFERROR(SUMPRODUCT((LEN(Employees!$A$3:$A$500)&gt;0)*(Employees!$O$3:$O$500=1)*(COUNTIFS($B$3:$B$500,Employees!$A$3:$A$500,$H$3:$H$500,"Approved",$D$3:$D$500,"&lt;="&amp;E340,$E$3:$E$500,"&gt;="&amp;D340,$A$3:$A$500,"&lt;&gt;"&amp;A340)&gt;0)),0))</f>
        <v/>
      </c>
      <c r="S340">
        <f>IF(OR(B340="",IFERROR(XLOOKUP(B340,Employees!$A$3:$A$500,Employees!$G$3:$G$500,""),"")=""),"",IFERROR(SUMPRODUCT((LEN(Employees!$A$3:$A$500)&gt;0)*(Employees!$G$3:$G$500=IFERROR(XLOOKUP(B340,Employees!$A$3:$A$500,Employees!$G$3:$G$500,""),""))*(COUNTIFS($B$3:$B$500,Employees!$A$3:$A$500,$H$3:$H$500,"Approved",$D$3:$D$500,"&lt;="&amp;E340,$E$3:$E$500,"&gt;="&amp;D340,$A$3:$A$500,"&lt;&gt;"&amp;A340)&gt;0)),0))</f>
        <v/>
      </c>
    </row>
    <row r="341">
      <c r="C341">
        <f>IFERROR(XLOOKUP(B341,Employees!$A$3:$A$500,Employees!$B$3:$B$500,""),"")</f>
        <v/>
      </c>
      <c r="I341">
        <f>IF(AND(B341&lt;&gt;"",D341&lt;&gt;"",E341&lt;&gt;""),E341-D341+1,"")</f>
        <v/>
      </c>
      <c r="J341">
        <f>IF(OR(B341="",D341="",E341=""),"",IF(OR(L341&lt;'Coverage Rules'!E7,M341&lt;'Coverage Rules'!E8,N341&lt;'Coverage Rules'!C8,O341&lt;'Coverage Rules'!E9,P341&lt;'Coverage Rules'!E10,Q341&gt;='Coverage Rules'!B16,R341&gt;='Coverage Rules'!B17,IF(S341="",FALSE,S341&gt;='Coverage Rules'!D24)),"Denied","OK"))</f>
        <v/>
      </c>
      <c r="L341">
        <f>IF(B341="","",IFERROR(SUMPRODUCT((LEN(Employees!$A$3:$A$500)&gt;0)*(Employees!$T$3:$T$500=1)*(COUNTIFS($B$3:$B$500,Employees!$A$3:$A$500,$H$3:$H$500,"Approved",$D$3:$D$500,"&lt;="&amp;E341,$E$3:$E$500,"&gt;="&amp;D341,$A$3:$A$500,"&lt;&gt;"&amp;A341)=0)),0))</f>
        <v/>
      </c>
      <c r="M341">
        <f>IF(B341="","",IFERROR(SUMPRODUCT((LEN(Employees!$A$3:$A$500)&gt;0)*(Employees!$U$3:$U$500=1)*(COUNTIFS($B$3:$B$500,Employees!$A$3:$A$500,$H$3:$H$500,"Approved",$D$3:$D$500,"&lt;="&amp;E341,$E$3:$E$500,"&gt;="&amp;D341,$A$3:$A$500,"&lt;&gt;"&amp;A341)=0)),0))</f>
        <v/>
      </c>
      <c r="N341">
        <f>IF(B341="","",IFERROR(SUMPRODUCT((LEN(Employees!$A$3:$A$500)&gt;0)*(Employees!$B$3:$B$500="Manager")*(Employees!$U$3:$U$500=1)*(COUNTIFS($B$3:$B$500,Employees!$A$3:$A$500,$H$3:$H$500,"Approved",$D$3:$D$500,"&lt;="&amp;E341,$E$3:$E$500,"&gt;="&amp;D341,$A$3:$A$500,"&lt;&gt;"&amp;A341)=0)),0))</f>
        <v/>
      </c>
      <c r="O341">
        <f>IF(B341="","",IFERROR(SUMPRODUCT((LEN(Employees!$A$3:$A$500)&gt;0)*(Employees!$V$3:$V$500=1)*(COUNTIFS($B$3:$B$500,Employees!$A$3:$A$500,$H$3:$H$500,"Approved",$D$3:$D$500,"&lt;="&amp;E341,$E$3:$E$500,"&gt;="&amp;D341,$A$3:$A$500,"&lt;&gt;"&amp;A341)=0)),0))</f>
        <v/>
      </c>
      <c r="P341">
        <f>IF(B341="","",IFERROR(SUMPRODUCT((LEN(Employees!$A$3:$A$500)&gt;0)*(Employees!$W$3:$W$500=1)*(COUNTIFS($B$3:$B$500,Employees!$A$3:$A$500,$H$3:$H$500,"Approved",$D$3:$D$500,"&lt;="&amp;E341,$E$3:$E$500,"&gt;="&amp;D341,$A$3:$A$500,"&lt;&gt;"&amp;A341)=0)),0))</f>
        <v/>
      </c>
      <c r="Q341">
        <f>IF(B341="","",IFERROR(SUMPRODUCT((LEN(Employees!$A$3:$A$500)&gt;0)*(Employees!$N$3:$N$500=1)*(COUNTIFS($B$3:$B$500,Employees!$A$3:$A$500,$H$3:$H$500,"Approved",$D$3:$D$500,"&lt;="&amp;E341,$E$3:$E$500,"&gt;="&amp;D341,$A$3:$A$500,"&lt;&gt;"&amp;A341)&gt;0)),0))</f>
        <v/>
      </c>
      <c r="R341">
        <f>IF(B341="","",IFERROR(SUMPRODUCT((LEN(Employees!$A$3:$A$500)&gt;0)*(Employees!$O$3:$O$500=1)*(COUNTIFS($B$3:$B$500,Employees!$A$3:$A$500,$H$3:$H$500,"Approved",$D$3:$D$500,"&lt;="&amp;E341,$E$3:$E$500,"&gt;="&amp;D341,$A$3:$A$500,"&lt;&gt;"&amp;A341)&gt;0)),0))</f>
        <v/>
      </c>
      <c r="S341">
        <f>IF(OR(B341="",IFERROR(XLOOKUP(B341,Employees!$A$3:$A$500,Employees!$G$3:$G$500,""),"")=""),"",IFERROR(SUMPRODUCT((LEN(Employees!$A$3:$A$500)&gt;0)*(Employees!$G$3:$G$500=IFERROR(XLOOKUP(B341,Employees!$A$3:$A$500,Employees!$G$3:$G$500,""),""))*(COUNTIFS($B$3:$B$500,Employees!$A$3:$A$500,$H$3:$H$500,"Approved",$D$3:$D$500,"&lt;="&amp;E341,$E$3:$E$500,"&gt;="&amp;D341,$A$3:$A$500,"&lt;&gt;"&amp;A341)&gt;0)),0))</f>
        <v/>
      </c>
    </row>
    <row r="342">
      <c r="C342">
        <f>IFERROR(XLOOKUP(B342,Employees!$A$3:$A$500,Employees!$B$3:$B$500,""),"")</f>
        <v/>
      </c>
      <c r="I342">
        <f>IF(AND(B342&lt;&gt;"",D342&lt;&gt;"",E342&lt;&gt;""),E342-D342+1,"")</f>
        <v/>
      </c>
      <c r="J342">
        <f>IF(OR(B342="",D342="",E342=""),"",IF(OR(L342&lt;'Coverage Rules'!E7,M342&lt;'Coverage Rules'!E8,N342&lt;'Coverage Rules'!C8,O342&lt;'Coverage Rules'!E9,P342&lt;'Coverage Rules'!E10,Q342&gt;='Coverage Rules'!B16,R342&gt;='Coverage Rules'!B17,IF(S342="",FALSE,S342&gt;='Coverage Rules'!D24)),"Denied","OK"))</f>
        <v/>
      </c>
      <c r="L342">
        <f>IF(B342="","",IFERROR(SUMPRODUCT((LEN(Employees!$A$3:$A$500)&gt;0)*(Employees!$T$3:$T$500=1)*(COUNTIFS($B$3:$B$500,Employees!$A$3:$A$500,$H$3:$H$500,"Approved",$D$3:$D$500,"&lt;="&amp;E342,$E$3:$E$500,"&gt;="&amp;D342,$A$3:$A$500,"&lt;&gt;"&amp;A342)=0)),0))</f>
        <v/>
      </c>
      <c r="M342">
        <f>IF(B342="","",IFERROR(SUMPRODUCT((LEN(Employees!$A$3:$A$500)&gt;0)*(Employees!$U$3:$U$500=1)*(COUNTIFS($B$3:$B$500,Employees!$A$3:$A$500,$H$3:$H$500,"Approved",$D$3:$D$500,"&lt;="&amp;E342,$E$3:$E$500,"&gt;="&amp;D342,$A$3:$A$500,"&lt;&gt;"&amp;A342)=0)),0))</f>
        <v/>
      </c>
      <c r="N342">
        <f>IF(B342="","",IFERROR(SUMPRODUCT((LEN(Employees!$A$3:$A$500)&gt;0)*(Employees!$B$3:$B$500="Manager")*(Employees!$U$3:$U$500=1)*(COUNTIFS($B$3:$B$500,Employees!$A$3:$A$500,$H$3:$H$500,"Approved",$D$3:$D$500,"&lt;="&amp;E342,$E$3:$E$500,"&gt;="&amp;D342,$A$3:$A$500,"&lt;&gt;"&amp;A342)=0)),0))</f>
        <v/>
      </c>
      <c r="O342">
        <f>IF(B342="","",IFERROR(SUMPRODUCT((LEN(Employees!$A$3:$A$500)&gt;0)*(Employees!$V$3:$V$500=1)*(COUNTIFS($B$3:$B$500,Employees!$A$3:$A$500,$H$3:$H$500,"Approved",$D$3:$D$500,"&lt;="&amp;E342,$E$3:$E$500,"&gt;="&amp;D342,$A$3:$A$500,"&lt;&gt;"&amp;A342)=0)),0))</f>
        <v/>
      </c>
      <c r="P342">
        <f>IF(B342="","",IFERROR(SUMPRODUCT((LEN(Employees!$A$3:$A$500)&gt;0)*(Employees!$W$3:$W$500=1)*(COUNTIFS($B$3:$B$500,Employees!$A$3:$A$500,$H$3:$H$500,"Approved",$D$3:$D$500,"&lt;="&amp;E342,$E$3:$E$500,"&gt;="&amp;D342,$A$3:$A$500,"&lt;&gt;"&amp;A342)=0)),0))</f>
        <v/>
      </c>
      <c r="Q342">
        <f>IF(B342="","",IFERROR(SUMPRODUCT((LEN(Employees!$A$3:$A$500)&gt;0)*(Employees!$N$3:$N$500=1)*(COUNTIFS($B$3:$B$500,Employees!$A$3:$A$500,$H$3:$H$500,"Approved",$D$3:$D$500,"&lt;="&amp;E342,$E$3:$E$500,"&gt;="&amp;D342,$A$3:$A$500,"&lt;&gt;"&amp;A342)&gt;0)),0))</f>
        <v/>
      </c>
      <c r="R342">
        <f>IF(B342="","",IFERROR(SUMPRODUCT((LEN(Employees!$A$3:$A$500)&gt;0)*(Employees!$O$3:$O$500=1)*(COUNTIFS($B$3:$B$500,Employees!$A$3:$A$500,$H$3:$H$500,"Approved",$D$3:$D$500,"&lt;="&amp;E342,$E$3:$E$500,"&gt;="&amp;D342,$A$3:$A$500,"&lt;&gt;"&amp;A342)&gt;0)),0))</f>
        <v/>
      </c>
      <c r="S342">
        <f>IF(OR(B342="",IFERROR(XLOOKUP(B342,Employees!$A$3:$A$500,Employees!$G$3:$G$500,""),"")=""),"",IFERROR(SUMPRODUCT((LEN(Employees!$A$3:$A$500)&gt;0)*(Employees!$G$3:$G$500=IFERROR(XLOOKUP(B342,Employees!$A$3:$A$500,Employees!$G$3:$G$500,""),""))*(COUNTIFS($B$3:$B$500,Employees!$A$3:$A$500,$H$3:$H$500,"Approved",$D$3:$D$500,"&lt;="&amp;E342,$E$3:$E$500,"&gt;="&amp;D342,$A$3:$A$500,"&lt;&gt;"&amp;A342)&gt;0)),0))</f>
        <v/>
      </c>
    </row>
    <row r="343">
      <c r="C343">
        <f>IFERROR(XLOOKUP(B343,Employees!$A$3:$A$500,Employees!$B$3:$B$500,""),"")</f>
        <v/>
      </c>
      <c r="I343">
        <f>IF(AND(B343&lt;&gt;"",D343&lt;&gt;"",E343&lt;&gt;""),E343-D343+1,"")</f>
        <v/>
      </c>
      <c r="J343">
        <f>IF(OR(B343="",D343="",E343=""),"",IF(OR(L343&lt;'Coverage Rules'!E7,M343&lt;'Coverage Rules'!E8,N343&lt;'Coverage Rules'!C8,O343&lt;'Coverage Rules'!E9,P343&lt;'Coverage Rules'!E10,Q343&gt;='Coverage Rules'!B16,R343&gt;='Coverage Rules'!B17,IF(S343="",FALSE,S343&gt;='Coverage Rules'!D24)),"Denied","OK"))</f>
        <v/>
      </c>
      <c r="L343">
        <f>IF(B343="","",IFERROR(SUMPRODUCT((LEN(Employees!$A$3:$A$500)&gt;0)*(Employees!$T$3:$T$500=1)*(COUNTIFS($B$3:$B$500,Employees!$A$3:$A$500,$H$3:$H$500,"Approved",$D$3:$D$500,"&lt;="&amp;E343,$E$3:$E$500,"&gt;="&amp;D343,$A$3:$A$500,"&lt;&gt;"&amp;A343)=0)),0))</f>
        <v/>
      </c>
      <c r="M343">
        <f>IF(B343="","",IFERROR(SUMPRODUCT((LEN(Employees!$A$3:$A$500)&gt;0)*(Employees!$U$3:$U$500=1)*(COUNTIFS($B$3:$B$500,Employees!$A$3:$A$500,$H$3:$H$500,"Approved",$D$3:$D$500,"&lt;="&amp;E343,$E$3:$E$500,"&gt;="&amp;D343,$A$3:$A$500,"&lt;&gt;"&amp;A343)=0)),0))</f>
        <v/>
      </c>
      <c r="N343">
        <f>IF(B343="","",IFERROR(SUMPRODUCT((LEN(Employees!$A$3:$A$500)&gt;0)*(Employees!$B$3:$B$500="Manager")*(Employees!$U$3:$U$500=1)*(COUNTIFS($B$3:$B$500,Employees!$A$3:$A$500,$H$3:$H$500,"Approved",$D$3:$D$500,"&lt;="&amp;E343,$E$3:$E$500,"&gt;="&amp;D343,$A$3:$A$500,"&lt;&gt;"&amp;A343)=0)),0))</f>
        <v/>
      </c>
      <c r="O343">
        <f>IF(B343="","",IFERROR(SUMPRODUCT((LEN(Employees!$A$3:$A$500)&gt;0)*(Employees!$V$3:$V$500=1)*(COUNTIFS($B$3:$B$500,Employees!$A$3:$A$500,$H$3:$H$500,"Approved",$D$3:$D$500,"&lt;="&amp;E343,$E$3:$E$500,"&gt;="&amp;D343,$A$3:$A$500,"&lt;&gt;"&amp;A343)=0)),0))</f>
        <v/>
      </c>
      <c r="P343">
        <f>IF(B343="","",IFERROR(SUMPRODUCT((LEN(Employees!$A$3:$A$500)&gt;0)*(Employees!$W$3:$W$500=1)*(COUNTIFS($B$3:$B$500,Employees!$A$3:$A$500,$H$3:$H$500,"Approved",$D$3:$D$500,"&lt;="&amp;E343,$E$3:$E$500,"&gt;="&amp;D343,$A$3:$A$500,"&lt;&gt;"&amp;A343)=0)),0))</f>
        <v/>
      </c>
      <c r="Q343">
        <f>IF(B343="","",IFERROR(SUMPRODUCT((LEN(Employees!$A$3:$A$500)&gt;0)*(Employees!$N$3:$N$500=1)*(COUNTIFS($B$3:$B$500,Employees!$A$3:$A$500,$H$3:$H$500,"Approved",$D$3:$D$500,"&lt;="&amp;E343,$E$3:$E$500,"&gt;="&amp;D343,$A$3:$A$500,"&lt;&gt;"&amp;A343)&gt;0)),0))</f>
        <v/>
      </c>
      <c r="R343">
        <f>IF(B343="","",IFERROR(SUMPRODUCT((LEN(Employees!$A$3:$A$500)&gt;0)*(Employees!$O$3:$O$500=1)*(COUNTIFS($B$3:$B$500,Employees!$A$3:$A$500,$H$3:$H$500,"Approved",$D$3:$D$500,"&lt;="&amp;E343,$E$3:$E$500,"&gt;="&amp;D343,$A$3:$A$500,"&lt;&gt;"&amp;A343)&gt;0)),0))</f>
        <v/>
      </c>
      <c r="S343">
        <f>IF(OR(B343="",IFERROR(XLOOKUP(B343,Employees!$A$3:$A$500,Employees!$G$3:$G$500,""),"")=""),"",IFERROR(SUMPRODUCT((LEN(Employees!$A$3:$A$500)&gt;0)*(Employees!$G$3:$G$500=IFERROR(XLOOKUP(B343,Employees!$A$3:$A$500,Employees!$G$3:$G$500,""),""))*(COUNTIFS($B$3:$B$500,Employees!$A$3:$A$500,$H$3:$H$500,"Approved",$D$3:$D$500,"&lt;="&amp;E343,$E$3:$E$500,"&gt;="&amp;D343,$A$3:$A$500,"&lt;&gt;"&amp;A343)&gt;0)),0))</f>
        <v/>
      </c>
    </row>
    <row r="344">
      <c r="C344">
        <f>IFERROR(XLOOKUP(B344,Employees!$A$3:$A$500,Employees!$B$3:$B$500,""),"")</f>
        <v/>
      </c>
      <c r="I344">
        <f>IF(AND(B344&lt;&gt;"",D344&lt;&gt;"",E344&lt;&gt;""),E344-D344+1,"")</f>
        <v/>
      </c>
      <c r="J344">
        <f>IF(OR(B344="",D344="",E344=""),"",IF(OR(L344&lt;'Coverage Rules'!E7,M344&lt;'Coverage Rules'!E8,N344&lt;'Coverage Rules'!C8,O344&lt;'Coverage Rules'!E9,P344&lt;'Coverage Rules'!E10,Q344&gt;='Coverage Rules'!B16,R344&gt;='Coverage Rules'!B17,IF(S344="",FALSE,S344&gt;='Coverage Rules'!D24)),"Denied","OK"))</f>
        <v/>
      </c>
      <c r="L344">
        <f>IF(B344="","",IFERROR(SUMPRODUCT((LEN(Employees!$A$3:$A$500)&gt;0)*(Employees!$T$3:$T$500=1)*(COUNTIFS($B$3:$B$500,Employees!$A$3:$A$500,$H$3:$H$500,"Approved",$D$3:$D$500,"&lt;="&amp;E344,$E$3:$E$500,"&gt;="&amp;D344,$A$3:$A$500,"&lt;&gt;"&amp;A344)=0)),0))</f>
        <v/>
      </c>
      <c r="M344">
        <f>IF(B344="","",IFERROR(SUMPRODUCT((LEN(Employees!$A$3:$A$500)&gt;0)*(Employees!$U$3:$U$500=1)*(COUNTIFS($B$3:$B$500,Employees!$A$3:$A$500,$H$3:$H$500,"Approved",$D$3:$D$500,"&lt;="&amp;E344,$E$3:$E$500,"&gt;="&amp;D344,$A$3:$A$500,"&lt;&gt;"&amp;A344)=0)),0))</f>
        <v/>
      </c>
      <c r="N344">
        <f>IF(B344="","",IFERROR(SUMPRODUCT((LEN(Employees!$A$3:$A$500)&gt;0)*(Employees!$B$3:$B$500="Manager")*(Employees!$U$3:$U$500=1)*(COUNTIFS($B$3:$B$500,Employees!$A$3:$A$500,$H$3:$H$500,"Approved",$D$3:$D$500,"&lt;="&amp;E344,$E$3:$E$500,"&gt;="&amp;D344,$A$3:$A$500,"&lt;&gt;"&amp;A344)=0)),0))</f>
        <v/>
      </c>
      <c r="O344">
        <f>IF(B344="","",IFERROR(SUMPRODUCT((LEN(Employees!$A$3:$A$500)&gt;0)*(Employees!$V$3:$V$500=1)*(COUNTIFS($B$3:$B$500,Employees!$A$3:$A$500,$H$3:$H$500,"Approved",$D$3:$D$500,"&lt;="&amp;E344,$E$3:$E$500,"&gt;="&amp;D344,$A$3:$A$500,"&lt;&gt;"&amp;A344)=0)),0))</f>
        <v/>
      </c>
      <c r="P344">
        <f>IF(B344="","",IFERROR(SUMPRODUCT((LEN(Employees!$A$3:$A$500)&gt;0)*(Employees!$W$3:$W$500=1)*(COUNTIFS($B$3:$B$500,Employees!$A$3:$A$500,$H$3:$H$500,"Approved",$D$3:$D$500,"&lt;="&amp;E344,$E$3:$E$500,"&gt;="&amp;D344,$A$3:$A$500,"&lt;&gt;"&amp;A344)=0)),0))</f>
        <v/>
      </c>
      <c r="Q344">
        <f>IF(B344="","",IFERROR(SUMPRODUCT((LEN(Employees!$A$3:$A$500)&gt;0)*(Employees!$N$3:$N$500=1)*(COUNTIFS($B$3:$B$500,Employees!$A$3:$A$500,$H$3:$H$500,"Approved",$D$3:$D$500,"&lt;="&amp;E344,$E$3:$E$500,"&gt;="&amp;D344,$A$3:$A$500,"&lt;&gt;"&amp;A344)&gt;0)),0))</f>
        <v/>
      </c>
      <c r="R344">
        <f>IF(B344="","",IFERROR(SUMPRODUCT((LEN(Employees!$A$3:$A$500)&gt;0)*(Employees!$O$3:$O$500=1)*(COUNTIFS($B$3:$B$500,Employees!$A$3:$A$500,$H$3:$H$500,"Approved",$D$3:$D$500,"&lt;="&amp;E344,$E$3:$E$500,"&gt;="&amp;D344,$A$3:$A$500,"&lt;&gt;"&amp;A344)&gt;0)),0))</f>
        <v/>
      </c>
      <c r="S344">
        <f>IF(OR(B344="",IFERROR(XLOOKUP(B344,Employees!$A$3:$A$500,Employees!$G$3:$G$500,""),"")=""),"",IFERROR(SUMPRODUCT((LEN(Employees!$A$3:$A$500)&gt;0)*(Employees!$G$3:$G$500=IFERROR(XLOOKUP(B344,Employees!$A$3:$A$500,Employees!$G$3:$G$500,""),""))*(COUNTIFS($B$3:$B$500,Employees!$A$3:$A$500,$H$3:$H$500,"Approved",$D$3:$D$500,"&lt;="&amp;E344,$E$3:$E$500,"&gt;="&amp;D344,$A$3:$A$500,"&lt;&gt;"&amp;A344)&gt;0)),0))</f>
        <v/>
      </c>
    </row>
    <row r="345">
      <c r="C345">
        <f>IFERROR(XLOOKUP(B345,Employees!$A$3:$A$500,Employees!$B$3:$B$500,""),"")</f>
        <v/>
      </c>
      <c r="I345">
        <f>IF(AND(B345&lt;&gt;"",D345&lt;&gt;"",E345&lt;&gt;""),E345-D345+1,"")</f>
        <v/>
      </c>
      <c r="J345">
        <f>IF(OR(B345="",D345="",E345=""),"",IF(OR(L345&lt;'Coverage Rules'!E7,M345&lt;'Coverage Rules'!E8,N345&lt;'Coverage Rules'!C8,O345&lt;'Coverage Rules'!E9,P345&lt;'Coverage Rules'!E10,Q345&gt;='Coverage Rules'!B16,R345&gt;='Coverage Rules'!B17,IF(S345="",FALSE,S345&gt;='Coverage Rules'!D24)),"Denied","OK"))</f>
        <v/>
      </c>
      <c r="L345">
        <f>IF(B345="","",IFERROR(SUMPRODUCT((LEN(Employees!$A$3:$A$500)&gt;0)*(Employees!$T$3:$T$500=1)*(COUNTIFS($B$3:$B$500,Employees!$A$3:$A$500,$H$3:$H$500,"Approved",$D$3:$D$500,"&lt;="&amp;E345,$E$3:$E$500,"&gt;="&amp;D345,$A$3:$A$500,"&lt;&gt;"&amp;A345)=0)),0))</f>
        <v/>
      </c>
      <c r="M345">
        <f>IF(B345="","",IFERROR(SUMPRODUCT((LEN(Employees!$A$3:$A$500)&gt;0)*(Employees!$U$3:$U$500=1)*(COUNTIFS($B$3:$B$500,Employees!$A$3:$A$500,$H$3:$H$500,"Approved",$D$3:$D$500,"&lt;="&amp;E345,$E$3:$E$500,"&gt;="&amp;D345,$A$3:$A$500,"&lt;&gt;"&amp;A345)=0)),0))</f>
        <v/>
      </c>
      <c r="N345">
        <f>IF(B345="","",IFERROR(SUMPRODUCT((LEN(Employees!$A$3:$A$500)&gt;0)*(Employees!$B$3:$B$500="Manager")*(Employees!$U$3:$U$500=1)*(COUNTIFS($B$3:$B$500,Employees!$A$3:$A$500,$H$3:$H$500,"Approved",$D$3:$D$500,"&lt;="&amp;E345,$E$3:$E$500,"&gt;="&amp;D345,$A$3:$A$500,"&lt;&gt;"&amp;A345)=0)),0))</f>
        <v/>
      </c>
      <c r="O345">
        <f>IF(B345="","",IFERROR(SUMPRODUCT((LEN(Employees!$A$3:$A$500)&gt;0)*(Employees!$V$3:$V$500=1)*(COUNTIFS($B$3:$B$500,Employees!$A$3:$A$500,$H$3:$H$500,"Approved",$D$3:$D$500,"&lt;="&amp;E345,$E$3:$E$500,"&gt;="&amp;D345,$A$3:$A$500,"&lt;&gt;"&amp;A345)=0)),0))</f>
        <v/>
      </c>
      <c r="P345">
        <f>IF(B345="","",IFERROR(SUMPRODUCT((LEN(Employees!$A$3:$A$500)&gt;0)*(Employees!$W$3:$W$500=1)*(COUNTIFS($B$3:$B$500,Employees!$A$3:$A$500,$H$3:$H$500,"Approved",$D$3:$D$500,"&lt;="&amp;E345,$E$3:$E$500,"&gt;="&amp;D345,$A$3:$A$500,"&lt;&gt;"&amp;A345)=0)),0))</f>
        <v/>
      </c>
      <c r="Q345">
        <f>IF(B345="","",IFERROR(SUMPRODUCT((LEN(Employees!$A$3:$A$500)&gt;0)*(Employees!$N$3:$N$500=1)*(COUNTIFS($B$3:$B$500,Employees!$A$3:$A$500,$H$3:$H$500,"Approved",$D$3:$D$500,"&lt;="&amp;E345,$E$3:$E$500,"&gt;="&amp;D345,$A$3:$A$500,"&lt;&gt;"&amp;A345)&gt;0)),0))</f>
        <v/>
      </c>
      <c r="R345">
        <f>IF(B345="","",IFERROR(SUMPRODUCT((LEN(Employees!$A$3:$A$500)&gt;0)*(Employees!$O$3:$O$500=1)*(COUNTIFS($B$3:$B$500,Employees!$A$3:$A$500,$H$3:$H$500,"Approved",$D$3:$D$500,"&lt;="&amp;E345,$E$3:$E$500,"&gt;="&amp;D345,$A$3:$A$500,"&lt;&gt;"&amp;A345)&gt;0)),0))</f>
        <v/>
      </c>
      <c r="S345">
        <f>IF(OR(B345="",IFERROR(XLOOKUP(B345,Employees!$A$3:$A$500,Employees!$G$3:$G$500,""),"")=""),"",IFERROR(SUMPRODUCT((LEN(Employees!$A$3:$A$500)&gt;0)*(Employees!$G$3:$G$500=IFERROR(XLOOKUP(B345,Employees!$A$3:$A$500,Employees!$G$3:$G$500,""),""))*(COUNTIFS($B$3:$B$500,Employees!$A$3:$A$500,$H$3:$H$500,"Approved",$D$3:$D$500,"&lt;="&amp;E345,$E$3:$E$500,"&gt;="&amp;D345,$A$3:$A$500,"&lt;&gt;"&amp;A345)&gt;0)),0))</f>
        <v/>
      </c>
    </row>
    <row r="346">
      <c r="C346">
        <f>IFERROR(XLOOKUP(B346,Employees!$A$3:$A$500,Employees!$B$3:$B$500,""),"")</f>
        <v/>
      </c>
      <c r="I346">
        <f>IF(AND(B346&lt;&gt;"",D346&lt;&gt;"",E346&lt;&gt;""),E346-D346+1,"")</f>
        <v/>
      </c>
      <c r="J346">
        <f>IF(OR(B346="",D346="",E346=""),"",IF(OR(L346&lt;'Coverage Rules'!E7,M346&lt;'Coverage Rules'!E8,N346&lt;'Coverage Rules'!C8,O346&lt;'Coverage Rules'!E9,P346&lt;'Coverage Rules'!E10,Q346&gt;='Coverage Rules'!B16,R346&gt;='Coverage Rules'!B17,IF(S346="",FALSE,S346&gt;='Coverage Rules'!D24)),"Denied","OK"))</f>
        <v/>
      </c>
      <c r="L346">
        <f>IF(B346="","",IFERROR(SUMPRODUCT((LEN(Employees!$A$3:$A$500)&gt;0)*(Employees!$T$3:$T$500=1)*(COUNTIFS($B$3:$B$500,Employees!$A$3:$A$500,$H$3:$H$500,"Approved",$D$3:$D$500,"&lt;="&amp;E346,$E$3:$E$500,"&gt;="&amp;D346,$A$3:$A$500,"&lt;&gt;"&amp;A346)=0)),0))</f>
        <v/>
      </c>
      <c r="M346">
        <f>IF(B346="","",IFERROR(SUMPRODUCT((LEN(Employees!$A$3:$A$500)&gt;0)*(Employees!$U$3:$U$500=1)*(COUNTIFS($B$3:$B$500,Employees!$A$3:$A$500,$H$3:$H$500,"Approved",$D$3:$D$500,"&lt;="&amp;E346,$E$3:$E$500,"&gt;="&amp;D346,$A$3:$A$500,"&lt;&gt;"&amp;A346)=0)),0))</f>
        <v/>
      </c>
      <c r="N346">
        <f>IF(B346="","",IFERROR(SUMPRODUCT((LEN(Employees!$A$3:$A$500)&gt;0)*(Employees!$B$3:$B$500="Manager")*(Employees!$U$3:$U$500=1)*(COUNTIFS($B$3:$B$500,Employees!$A$3:$A$500,$H$3:$H$500,"Approved",$D$3:$D$500,"&lt;="&amp;E346,$E$3:$E$500,"&gt;="&amp;D346,$A$3:$A$500,"&lt;&gt;"&amp;A346)=0)),0))</f>
        <v/>
      </c>
      <c r="O346">
        <f>IF(B346="","",IFERROR(SUMPRODUCT((LEN(Employees!$A$3:$A$500)&gt;0)*(Employees!$V$3:$V$500=1)*(COUNTIFS($B$3:$B$500,Employees!$A$3:$A$500,$H$3:$H$500,"Approved",$D$3:$D$500,"&lt;="&amp;E346,$E$3:$E$500,"&gt;="&amp;D346,$A$3:$A$500,"&lt;&gt;"&amp;A346)=0)),0))</f>
        <v/>
      </c>
      <c r="P346">
        <f>IF(B346="","",IFERROR(SUMPRODUCT((LEN(Employees!$A$3:$A$500)&gt;0)*(Employees!$W$3:$W$500=1)*(COUNTIFS($B$3:$B$500,Employees!$A$3:$A$500,$H$3:$H$500,"Approved",$D$3:$D$500,"&lt;="&amp;E346,$E$3:$E$500,"&gt;="&amp;D346,$A$3:$A$500,"&lt;&gt;"&amp;A346)=0)),0))</f>
        <v/>
      </c>
      <c r="Q346">
        <f>IF(B346="","",IFERROR(SUMPRODUCT((LEN(Employees!$A$3:$A$500)&gt;0)*(Employees!$N$3:$N$500=1)*(COUNTIFS($B$3:$B$500,Employees!$A$3:$A$500,$H$3:$H$500,"Approved",$D$3:$D$500,"&lt;="&amp;E346,$E$3:$E$500,"&gt;="&amp;D346,$A$3:$A$500,"&lt;&gt;"&amp;A346)&gt;0)),0))</f>
        <v/>
      </c>
      <c r="R346">
        <f>IF(B346="","",IFERROR(SUMPRODUCT((LEN(Employees!$A$3:$A$500)&gt;0)*(Employees!$O$3:$O$500=1)*(COUNTIFS($B$3:$B$500,Employees!$A$3:$A$500,$H$3:$H$500,"Approved",$D$3:$D$500,"&lt;="&amp;E346,$E$3:$E$500,"&gt;="&amp;D346,$A$3:$A$500,"&lt;&gt;"&amp;A346)&gt;0)),0))</f>
        <v/>
      </c>
      <c r="S346">
        <f>IF(OR(B346="",IFERROR(XLOOKUP(B346,Employees!$A$3:$A$500,Employees!$G$3:$G$500,""),"")=""),"",IFERROR(SUMPRODUCT((LEN(Employees!$A$3:$A$500)&gt;0)*(Employees!$G$3:$G$500=IFERROR(XLOOKUP(B346,Employees!$A$3:$A$500,Employees!$G$3:$G$500,""),""))*(COUNTIFS($B$3:$B$500,Employees!$A$3:$A$500,$H$3:$H$500,"Approved",$D$3:$D$500,"&lt;="&amp;E346,$E$3:$E$500,"&gt;="&amp;D346,$A$3:$A$500,"&lt;&gt;"&amp;A346)&gt;0)),0))</f>
        <v/>
      </c>
    </row>
    <row r="347">
      <c r="C347">
        <f>IFERROR(XLOOKUP(B347,Employees!$A$3:$A$500,Employees!$B$3:$B$500,""),"")</f>
        <v/>
      </c>
      <c r="I347">
        <f>IF(AND(B347&lt;&gt;"",D347&lt;&gt;"",E347&lt;&gt;""),E347-D347+1,"")</f>
        <v/>
      </c>
      <c r="J347">
        <f>IF(OR(B347="",D347="",E347=""),"",IF(OR(L347&lt;'Coverage Rules'!E7,M347&lt;'Coverage Rules'!E8,N347&lt;'Coverage Rules'!C8,O347&lt;'Coverage Rules'!E9,P347&lt;'Coverage Rules'!E10,Q347&gt;='Coverage Rules'!B16,R347&gt;='Coverage Rules'!B17,IF(S347="",FALSE,S347&gt;='Coverage Rules'!D24)),"Denied","OK"))</f>
        <v/>
      </c>
      <c r="L347">
        <f>IF(B347="","",IFERROR(SUMPRODUCT((LEN(Employees!$A$3:$A$500)&gt;0)*(Employees!$T$3:$T$500=1)*(COUNTIFS($B$3:$B$500,Employees!$A$3:$A$500,$H$3:$H$500,"Approved",$D$3:$D$500,"&lt;="&amp;E347,$E$3:$E$500,"&gt;="&amp;D347,$A$3:$A$500,"&lt;&gt;"&amp;A347)=0)),0))</f>
        <v/>
      </c>
      <c r="M347">
        <f>IF(B347="","",IFERROR(SUMPRODUCT((LEN(Employees!$A$3:$A$500)&gt;0)*(Employees!$U$3:$U$500=1)*(COUNTIFS($B$3:$B$500,Employees!$A$3:$A$500,$H$3:$H$500,"Approved",$D$3:$D$500,"&lt;="&amp;E347,$E$3:$E$500,"&gt;="&amp;D347,$A$3:$A$500,"&lt;&gt;"&amp;A347)=0)),0))</f>
        <v/>
      </c>
      <c r="N347">
        <f>IF(B347="","",IFERROR(SUMPRODUCT((LEN(Employees!$A$3:$A$500)&gt;0)*(Employees!$B$3:$B$500="Manager")*(Employees!$U$3:$U$500=1)*(COUNTIFS($B$3:$B$500,Employees!$A$3:$A$500,$H$3:$H$500,"Approved",$D$3:$D$500,"&lt;="&amp;E347,$E$3:$E$500,"&gt;="&amp;D347,$A$3:$A$500,"&lt;&gt;"&amp;A347)=0)),0))</f>
        <v/>
      </c>
      <c r="O347">
        <f>IF(B347="","",IFERROR(SUMPRODUCT((LEN(Employees!$A$3:$A$500)&gt;0)*(Employees!$V$3:$V$500=1)*(COUNTIFS($B$3:$B$500,Employees!$A$3:$A$500,$H$3:$H$500,"Approved",$D$3:$D$500,"&lt;="&amp;E347,$E$3:$E$500,"&gt;="&amp;D347,$A$3:$A$500,"&lt;&gt;"&amp;A347)=0)),0))</f>
        <v/>
      </c>
      <c r="P347">
        <f>IF(B347="","",IFERROR(SUMPRODUCT((LEN(Employees!$A$3:$A$500)&gt;0)*(Employees!$W$3:$W$500=1)*(COUNTIFS($B$3:$B$500,Employees!$A$3:$A$500,$H$3:$H$500,"Approved",$D$3:$D$500,"&lt;="&amp;E347,$E$3:$E$500,"&gt;="&amp;D347,$A$3:$A$500,"&lt;&gt;"&amp;A347)=0)),0))</f>
        <v/>
      </c>
      <c r="Q347">
        <f>IF(B347="","",IFERROR(SUMPRODUCT((LEN(Employees!$A$3:$A$500)&gt;0)*(Employees!$N$3:$N$500=1)*(COUNTIFS($B$3:$B$500,Employees!$A$3:$A$500,$H$3:$H$500,"Approved",$D$3:$D$500,"&lt;="&amp;E347,$E$3:$E$500,"&gt;="&amp;D347,$A$3:$A$500,"&lt;&gt;"&amp;A347)&gt;0)),0))</f>
        <v/>
      </c>
      <c r="R347">
        <f>IF(B347="","",IFERROR(SUMPRODUCT((LEN(Employees!$A$3:$A$500)&gt;0)*(Employees!$O$3:$O$500=1)*(COUNTIFS($B$3:$B$500,Employees!$A$3:$A$500,$H$3:$H$500,"Approved",$D$3:$D$500,"&lt;="&amp;E347,$E$3:$E$500,"&gt;="&amp;D347,$A$3:$A$500,"&lt;&gt;"&amp;A347)&gt;0)),0))</f>
        <v/>
      </c>
      <c r="S347">
        <f>IF(OR(B347="",IFERROR(XLOOKUP(B347,Employees!$A$3:$A$500,Employees!$G$3:$G$500,""),"")=""),"",IFERROR(SUMPRODUCT((LEN(Employees!$A$3:$A$500)&gt;0)*(Employees!$G$3:$G$500=IFERROR(XLOOKUP(B347,Employees!$A$3:$A$500,Employees!$G$3:$G$500,""),""))*(COUNTIFS($B$3:$B$500,Employees!$A$3:$A$500,$H$3:$H$500,"Approved",$D$3:$D$500,"&lt;="&amp;E347,$E$3:$E$500,"&gt;="&amp;D347,$A$3:$A$500,"&lt;&gt;"&amp;A347)&gt;0)),0))</f>
        <v/>
      </c>
    </row>
    <row r="348">
      <c r="C348">
        <f>IFERROR(XLOOKUP(B348,Employees!$A$3:$A$500,Employees!$B$3:$B$500,""),"")</f>
        <v/>
      </c>
      <c r="I348">
        <f>IF(AND(B348&lt;&gt;"",D348&lt;&gt;"",E348&lt;&gt;""),E348-D348+1,"")</f>
        <v/>
      </c>
      <c r="J348">
        <f>IF(OR(B348="",D348="",E348=""),"",IF(OR(L348&lt;'Coverage Rules'!E7,M348&lt;'Coverage Rules'!E8,N348&lt;'Coverage Rules'!C8,O348&lt;'Coverage Rules'!E9,P348&lt;'Coverage Rules'!E10,Q348&gt;='Coverage Rules'!B16,R348&gt;='Coverage Rules'!B17,IF(S348="",FALSE,S348&gt;='Coverage Rules'!D24)),"Denied","OK"))</f>
        <v/>
      </c>
      <c r="L348">
        <f>IF(B348="","",IFERROR(SUMPRODUCT((LEN(Employees!$A$3:$A$500)&gt;0)*(Employees!$T$3:$T$500=1)*(COUNTIFS($B$3:$B$500,Employees!$A$3:$A$500,$H$3:$H$500,"Approved",$D$3:$D$500,"&lt;="&amp;E348,$E$3:$E$500,"&gt;="&amp;D348,$A$3:$A$500,"&lt;&gt;"&amp;A348)=0)),0))</f>
        <v/>
      </c>
      <c r="M348">
        <f>IF(B348="","",IFERROR(SUMPRODUCT((LEN(Employees!$A$3:$A$500)&gt;0)*(Employees!$U$3:$U$500=1)*(COUNTIFS($B$3:$B$500,Employees!$A$3:$A$500,$H$3:$H$500,"Approved",$D$3:$D$500,"&lt;="&amp;E348,$E$3:$E$500,"&gt;="&amp;D348,$A$3:$A$500,"&lt;&gt;"&amp;A348)=0)),0))</f>
        <v/>
      </c>
      <c r="N348">
        <f>IF(B348="","",IFERROR(SUMPRODUCT((LEN(Employees!$A$3:$A$500)&gt;0)*(Employees!$B$3:$B$500="Manager")*(Employees!$U$3:$U$500=1)*(COUNTIFS($B$3:$B$500,Employees!$A$3:$A$500,$H$3:$H$500,"Approved",$D$3:$D$500,"&lt;="&amp;E348,$E$3:$E$500,"&gt;="&amp;D348,$A$3:$A$500,"&lt;&gt;"&amp;A348)=0)),0))</f>
        <v/>
      </c>
      <c r="O348">
        <f>IF(B348="","",IFERROR(SUMPRODUCT((LEN(Employees!$A$3:$A$500)&gt;0)*(Employees!$V$3:$V$500=1)*(COUNTIFS($B$3:$B$500,Employees!$A$3:$A$500,$H$3:$H$500,"Approved",$D$3:$D$500,"&lt;="&amp;E348,$E$3:$E$500,"&gt;="&amp;D348,$A$3:$A$500,"&lt;&gt;"&amp;A348)=0)),0))</f>
        <v/>
      </c>
      <c r="P348">
        <f>IF(B348="","",IFERROR(SUMPRODUCT((LEN(Employees!$A$3:$A$500)&gt;0)*(Employees!$W$3:$W$500=1)*(COUNTIFS($B$3:$B$500,Employees!$A$3:$A$500,$H$3:$H$500,"Approved",$D$3:$D$500,"&lt;="&amp;E348,$E$3:$E$500,"&gt;="&amp;D348,$A$3:$A$500,"&lt;&gt;"&amp;A348)=0)),0))</f>
        <v/>
      </c>
      <c r="Q348">
        <f>IF(B348="","",IFERROR(SUMPRODUCT((LEN(Employees!$A$3:$A$500)&gt;0)*(Employees!$N$3:$N$500=1)*(COUNTIFS($B$3:$B$500,Employees!$A$3:$A$500,$H$3:$H$500,"Approved",$D$3:$D$500,"&lt;="&amp;E348,$E$3:$E$500,"&gt;="&amp;D348,$A$3:$A$500,"&lt;&gt;"&amp;A348)&gt;0)),0))</f>
        <v/>
      </c>
      <c r="R348">
        <f>IF(B348="","",IFERROR(SUMPRODUCT((LEN(Employees!$A$3:$A$500)&gt;0)*(Employees!$O$3:$O$500=1)*(COUNTIFS($B$3:$B$500,Employees!$A$3:$A$500,$H$3:$H$500,"Approved",$D$3:$D$500,"&lt;="&amp;E348,$E$3:$E$500,"&gt;="&amp;D348,$A$3:$A$500,"&lt;&gt;"&amp;A348)&gt;0)),0))</f>
        <v/>
      </c>
      <c r="S348">
        <f>IF(OR(B348="",IFERROR(XLOOKUP(B348,Employees!$A$3:$A$500,Employees!$G$3:$G$500,""),"")=""),"",IFERROR(SUMPRODUCT((LEN(Employees!$A$3:$A$500)&gt;0)*(Employees!$G$3:$G$500=IFERROR(XLOOKUP(B348,Employees!$A$3:$A$500,Employees!$G$3:$G$500,""),""))*(COUNTIFS($B$3:$B$500,Employees!$A$3:$A$500,$H$3:$H$500,"Approved",$D$3:$D$500,"&lt;="&amp;E348,$E$3:$E$500,"&gt;="&amp;D348,$A$3:$A$500,"&lt;&gt;"&amp;A348)&gt;0)),0))</f>
        <v/>
      </c>
    </row>
    <row r="349">
      <c r="C349">
        <f>IFERROR(XLOOKUP(B349,Employees!$A$3:$A$500,Employees!$B$3:$B$500,""),"")</f>
        <v/>
      </c>
      <c r="I349">
        <f>IF(AND(B349&lt;&gt;"",D349&lt;&gt;"",E349&lt;&gt;""),E349-D349+1,"")</f>
        <v/>
      </c>
      <c r="J349">
        <f>IF(OR(B349="",D349="",E349=""),"",IF(OR(L349&lt;'Coverage Rules'!E7,M349&lt;'Coverage Rules'!E8,N349&lt;'Coverage Rules'!C8,O349&lt;'Coverage Rules'!E9,P349&lt;'Coverage Rules'!E10,Q349&gt;='Coverage Rules'!B16,R349&gt;='Coverage Rules'!B17,IF(S349="",FALSE,S349&gt;='Coverage Rules'!D24)),"Denied","OK"))</f>
        <v/>
      </c>
      <c r="L349">
        <f>IF(B349="","",IFERROR(SUMPRODUCT((LEN(Employees!$A$3:$A$500)&gt;0)*(Employees!$T$3:$T$500=1)*(COUNTIFS($B$3:$B$500,Employees!$A$3:$A$500,$H$3:$H$500,"Approved",$D$3:$D$500,"&lt;="&amp;E349,$E$3:$E$500,"&gt;="&amp;D349,$A$3:$A$500,"&lt;&gt;"&amp;A349)=0)),0))</f>
        <v/>
      </c>
      <c r="M349">
        <f>IF(B349="","",IFERROR(SUMPRODUCT((LEN(Employees!$A$3:$A$500)&gt;0)*(Employees!$U$3:$U$500=1)*(COUNTIFS($B$3:$B$500,Employees!$A$3:$A$500,$H$3:$H$500,"Approved",$D$3:$D$500,"&lt;="&amp;E349,$E$3:$E$500,"&gt;="&amp;D349,$A$3:$A$500,"&lt;&gt;"&amp;A349)=0)),0))</f>
        <v/>
      </c>
      <c r="N349">
        <f>IF(B349="","",IFERROR(SUMPRODUCT((LEN(Employees!$A$3:$A$500)&gt;0)*(Employees!$B$3:$B$500="Manager")*(Employees!$U$3:$U$500=1)*(COUNTIFS($B$3:$B$500,Employees!$A$3:$A$500,$H$3:$H$500,"Approved",$D$3:$D$500,"&lt;="&amp;E349,$E$3:$E$500,"&gt;="&amp;D349,$A$3:$A$500,"&lt;&gt;"&amp;A349)=0)),0))</f>
        <v/>
      </c>
      <c r="O349">
        <f>IF(B349="","",IFERROR(SUMPRODUCT((LEN(Employees!$A$3:$A$500)&gt;0)*(Employees!$V$3:$V$500=1)*(COUNTIFS($B$3:$B$500,Employees!$A$3:$A$500,$H$3:$H$500,"Approved",$D$3:$D$500,"&lt;="&amp;E349,$E$3:$E$500,"&gt;="&amp;D349,$A$3:$A$500,"&lt;&gt;"&amp;A349)=0)),0))</f>
        <v/>
      </c>
      <c r="P349">
        <f>IF(B349="","",IFERROR(SUMPRODUCT((LEN(Employees!$A$3:$A$500)&gt;0)*(Employees!$W$3:$W$500=1)*(COUNTIFS($B$3:$B$500,Employees!$A$3:$A$500,$H$3:$H$500,"Approved",$D$3:$D$500,"&lt;="&amp;E349,$E$3:$E$500,"&gt;="&amp;D349,$A$3:$A$500,"&lt;&gt;"&amp;A349)=0)),0))</f>
        <v/>
      </c>
      <c r="Q349">
        <f>IF(B349="","",IFERROR(SUMPRODUCT((LEN(Employees!$A$3:$A$500)&gt;0)*(Employees!$N$3:$N$500=1)*(COUNTIFS($B$3:$B$500,Employees!$A$3:$A$500,$H$3:$H$500,"Approved",$D$3:$D$500,"&lt;="&amp;E349,$E$3:$E$500,"&gt;="&amp;D349,$A$3:$A$500,"&lt;&gt;"&amp;A349)&gt;0)),0))</f>
        <v/>
      </c>
      <c r="R349">
        <f>IF(B349="","",IFERROR(SUMPRODUCT((LEN(Employees!$A$3:$A$500)&gt;0)*(Employees!$O$3:$O$500=1)*(COUNTIFS($B$3:$B$500,Employees!$A$3:$A$500,$H$3:$H$500,"Approved",$D$3:$D$500,"&lt;="&amp;E349,$E$3:$E$500,"&gt;="&amp;D349,$A$3:$A$500,"&lt;&gt;"&amp;A349)&gt;0)),0))</f>
        <v/>
      </c>
      <c r="S349">
        <f>IF(OR(B349="",IFERROR(XLOOKUP(B349,Employees!$A$3:$A$500,Employees!$G$3:$G$500,""),"")=""),"",IFERROR(SUMPRODUCT((LEN(Employees!$A$3:$A$500)&gt;0)*(Employees!$G$3:$G$500=IFERROR(XLOOKUP(B349,Employees!$A$3:$A$500,Employees!$G$3:$G$500,""),""))*(COUNTIFS($B$3:$B$500,Employees!$A$3:$A$500,$H$3:$H$500,"Approved",$D$3:$D$500,"&lt;="&amp;E349,$E$3:$E$500,"&gt;="&amp;D349,$A$3:$A$500,"&lt;&gt;"&amp;A349)&gt;0)),0))</f>
        <v/>
      </c>
    </row>
    <row r="350">
      <c r="C350">
        <f>IFERROR(XLOOKUP(B350,Employees!$A$3:$A$500,Employees!$B$3:$B$500,""),"")</f>
        <v/>
      </c>
      <c r="I350">
        <f>IF(AND(B350&lt;&gt;"",D350&lt;&gt;"",E350&lt;&gt;""),E350-D350+1,"")</f>
        <v/>
      </c>
      <c r="J350">
        <f>IF(OR(B350="",D350="",E350=""),"",IF(OR(L350&lt;'Coverage Rules'!E7,M350&lt;'Coverage Rules'!E8,N350&lt;'Coverage Rules'!C8,O350&lt;'Coverage Rules'!E9,P350&lt;'Coverage Rules'!E10,Q350&gt;='Coverage Rules'!B16,R350&gt;='Coverage Rules'!B17,IF(S350="",FALSE,S350&gt;='Coverage Rules'!D24)),"Denied","OK"))</f>
        <v/>
      </c>
      <c r="L350">
        <f>IF(B350="","",IFERROR(SUMPRODUCT((LEN(Employees!$A$3:$A$500)&gt;0)*(Employees!$T$3:$T$500=1)*(COUNTIFS($B$3:$B$500,Employees!$A$3:$A$500,$H$3:$H$500,"Approved",$D$3:$D$500,"&lt;="&amp;E350,$E$3:$E$500,"&gt;="&amp;D350,$A$3:$A$500,"&lt;&gt;"&amp;A350)=0)),0))</f>
        <v/>
      </c>
      <c r="M350">
        <f>IF(B350="","",IFERROR(SUMPRODUCT((LEN(Employees!$A$3:$A$500)&gt;0)*(Employees!$U$3:$U$500=1)*(COUNTIFS($B$3:$B$500,Employees!$A$3:$A$500,$H$3:$H$500,"Approved",$D$3:$D$500,"&lt;="&amp;E350,$E$3:$E$500,"&gt;="&amp;D350,$A$3:$A$500,"&lt;&gt;"&amp;A350)=0)),0))</f>
        <v/>
      </c>
      <c r="N350">
        <f>IF(B350="","",IFERROR(SUMPRODUCT((LEN(Employees!$A$3:$A$500)&gt;0)*(Employees!$B$3:$B$500="Manager")*(Employees!$U$3:$U$500=1)*(COUNTIFS($B$3:$B$500,Employees!$A$3:$A$500,$H$3:$H$500,"Approved",$D$3:$D$500,"&lt;="&amp;E350,$E$3:$E$500,"&gt;="&amp;D350,$A$3:$A$500,"&lt;&gt;"&amp;A350)=0)),0))</f>
        <v/>
      </c>
      <c r="O350">
        <f>IF(B350="","",IFERROR(SUMPRODUCT((LEN(Employees!$A$3:$A$500)&gt;0)*(Employees!$V$3:$V$500=1)*(COUNTIFS($B$3:$B$500,Employees!$A$3:$A$500,$H$3:$H$500,"Approved",$D$3:$D$500,"&lt;="&amp;E350,$E$3:$E$500,"&gt;="&amp;D350,$A$3:$A$500,"&lt;&gt;"&amp;A350)=0)),0))</f>
        <v/>
      </c>
      <c r="P350">
        <f>IF(B350="","",IFERROR(SUMPRODUCT((LEN(Employees!$A$3:$A$500)&gt;0)*(Employees!$W$3:$W$500=1)*(COUNTIFS($B$3:$B$500,Employees!$A$3:$A$500,$H$3:$H$500,"Approved",$D$3:$D$500,"&lt;="&amp;E350,$E$3:$E$500,"&gt;="&amp;D350,$A$3:$A$500,"&lt;&gt;"&amp;A350)=0)),0))</f>
        <v/>
      </c>
      <c r="Q350">
        <f>IF(B350="","",IFERROR(SUMPRODUCT((LEN(Employees!$A$3:$A$500)&gt;0)*(Employees!$N$3:$N$500=1)*(COUNTIFS($B$3:$B$500,Employees!$A$3:$A$500,$H$3:$H$500,"Approved",$D$3:$D$500,"&lt;="&amp;E350,$E$3:$E$500,"&gt;="&amp;D350,$A$3:$A$500,"&lt;&gt;"&amp;A350)&gt;0)),0))</f>
        <v/>
      </c>
      <c r="R350">
        <f>IF(B350="","",IFERROR(SUMPRODUCT((LEN(Employees!$A$3:$A$500)&gt;0)*(Employees!$O$3:$O$500=1)*(COUNTIFS($B$3:$B$500,Employees!$A$3:$A$500,$H$3:$H$500,"Approved",$D$3:$D$500,"&lt;="&amp;E350,$E$3:$E$500,"&gt;="&amp;D350,$A$3:$A$500,"&lt;&gt;"&amp;A350)&gt;0)),0))</f>
        <v/>
      </c>
      <c r="S350">
        <f>IF(OR(B350="",IFERROR(XLOOKUP(B350,Employees!$A$3:$A$500,Employees!$G$3:$G$500,""),"")=""),"",IFERROR(SUMPRODUCT((LEN(Employees!$A$3:$A$500)&gt;0)*(Employees!$G$3:$G$500=IFERROR(XLOOKUP(B350,Employees!$A$3:$A$500,Employees!$G$3:$G$500,""),""))*(COUNTIFS($B$3:$B$500,Employees!$A$3:$A$500,$H$3:$H$500,"Approved",$D$3:$D$500,"&lt;="&amp;E350,$E$3:$E$500,"&gt;="&amp;D350,$A$3:$A$500,"&lt;&gt;"&amp;A350)&gt;0)),0))</f>
        <v/>
      </c>
    </row>
    <row r="351">
      <c r="C351">
        <f>IFERROR(XLOOKUP(B351,Employees!$A$3:$A$500,Employees!$B$3:$B$500,""),"")</f>
        <v/>
      </c>
      <c r="I351">
        <f>IF(AND(B351&lt;&gt;"",D351&lt;&gt;"",E351&lt;&gt;""),E351-D351+1,"")</f>
        <v/>
      </c>
      <c r="J351">
        <f>IF(OR(B351="",D351="",E351=""),"",IF(OR(L351&lt;'Coverage Rules'!E7,M351&lt;'Coverage Rules'!E8,N351&lt;'Coverage Rules'!C8,O351&lt;'Coverage Rules'!E9,P351&lt;'Coverage Rules'!E10,Q351&gt;='Coverage Rules'!B16,R351&gt;='Coverage Rules'!B17,IF(S351="",FALSE,S351&gt;='Coverage Rules'!D24)),"Denied","OK"))</f>
        <v/>
      </c>
      <c r="L351">
        <f>IF(B351="","",IFERROR(SUMPRODUCT((LEN(Employees!$A$3:$A$500)&gt;0)*(Employees!$T$3:$T$500=1)*(COUNTIFS($B$3:$B$500,Employees!$A$3:$A$500,$H$3:$H$500,"Approved",$D$3:$D$500,"&lt;="&amp;E351,$E$3:$E$500,"&gt;="&amp;D351,$A$3:$A$500,"&lt;&gt;"&amp;A351)=0)),0))</f>
        <v/>
      </c>
      <c r="M351">
        <f>IF(B351="","",IFERROR(SUMPRODUCT((LEN(Employees!$A$3:$A$500)&gt;0)*(Employees!$U$3:$U$500=1)*(COUNTIFS($B$3:$B$500,Employees!$A$3:$A$500,$H$3:$H$500,"Approved",$D$3:$D$500,"&lt;="&amp;E351,$E$3:$E$500,"&gt;="&amp;D351,$A$3:$A$500,"&lt;&gt;"&amp;A351)=0)),0))</f>
        <v/>
      </c>
      <c r="N351">
        <f>IF(B351="","",IFERROR(SUMPRODUCT((LEN(Employees!$A$3:$A$500)&gt;0)*(Employees!$B$3:$B$500="Manager")*(Employees!$U$3:$U$500=1)*(COUNTIFS($B$3:$B$500,Employees!$A$3:$A$500,$H$3:$H$500,"Approved",$D$3:$D$500,"&lt;="&amp;E351,$E$3:$E$500,"&gt;="&amp;D351,$A$3:$A$500,"&lt;&gt;"&amp;A351)=0)),0))</f>
        <v/>
      </c>
      <c r="O351">
        <f>IF(B351="","",IFERROR(SUMPRODUCT((LEN(Employees!$A$3:$A$500)&gt;0)*(Employees!$V$3:$V$500=1)*(COUNTIFS($B$3:$B$500,Employees!$A$3:$A$500,$H$3:$H$500,"Approved",$D$3:$D$500,"&lt;="&amp;E351,$E$3:$E$500,"&gt;="&amp;D351,$A$3:$A$500,"&lt;&gt;"&amp;A351)=0)),0))</f>
        <v/>
      </c>
      <c r="P351">
        <f>IF(B351="","",IFERROR(SUMPRODUCT((LEN(Employees!$A$3:$A$500)&gt;0)*(Employees!$W$3:$W$500=1)*(COUNTIFS($B$3:$B$500,Employees!$A$3:$A$500,$H$3:$H$500,"Approved",$D$3:$D$500,"&lt;="&amp;E351,$E$3:$E$500,"&gt;="&amp;D351,$A$3:$A$500,"&lt;&gt;"&amp;A351)=0)),0))</f>
        <v/>
      </c>
      <c r="Q351">
        <f>IF(B351="","",IFERROR(SUMPRODUCT((LEN(Employees!$A$3:$A$500)&gt;0)*(Employees!$N$3:$N$500=1)*(COUNTIFS($B$3:$B$500,Employees!$A$3:$A$500,$H$3:$H$500,"Approved",$D$3:$D$500,"&lt;="&amp;E351,$E$3:$E$500,"&gt;="&amp;D351,$A$3:$A$500,"&lt;&gt;"&amp;A351)&gt;0)),0))</f>
        <v/>
      </c>
      <c r="R351">
        <f>IF(B351="","",IFERROR(SUMPRODUCT((LEN(Employees!$A$3:$A$500)&gt;0)*(Employees!$O$3:$O$500=1)*(COUNTIFS($B$3:$B$500,Employees!$A$3:$A$500,$H$3:$H$500,"Approved",$D$3:$D$500,"&lt;="&amp;E351,$E$3:$E$500,"&gt;="&amp;D351,$A$3:$A$500,"&lt;&gt;"&amp;A351)&gt;0)),0))</f>
        <v/>
      </c>
      <c r="S351">
        <f>IF(OR(B351="",IFERROR(XLOOKUP(B351,Employees!$A$3:$A$500,Employees!$G$3:$G$500,""),"")=""),"",IFERROR(SUMPRODUCT((LEN(Employees!$A$3:$A$500)&gt;0)*(Employees!$G$3:$G$500=IFERROR(XLOOKUP(B351,Employees!$A$3:$A$500,Employees!$G$3:$G$500,""),""))*(COUNTIFS($B$3:$B$500,Employees!$A$3:$A$500,$H$3:$H$500,"Approved",$D$3:$D$500,"&lt;="&amp;E351,$E$3:$E$500,"&gt;="&amp;D351,$A$3:$A$500,"&lt;&gt;"&amp;A351)&gt;0)),0))</f>
        <v/>
      </c>
    </row>
    <row r="352">
      <c r="C352">
        <f>IFERROR(XLOOKUP(B352,Employees!$A$3:$A$500,Employees!$B$3:$B$500,""),"")</f>
        <v/>
      </c>
      <c r="I352">
        <f>IF(AND(B352&lt;&gt;"",D352&lt;&gt;"",E352&lt;&gt;""),E352-D352+1,"")</f>
        <v/>
      </c>
      <c r="J352">
        <f>IF(OR(B352="",D352="",E352=""),"",IF(OR(L352&lt;'Coverage Rules'!E7,M352&lt;'Coverage Rules'!E8,N352&lt;'Coverage Rules'!C8,O352&lt;'Coverage Rules'!E9,P352&lt;'Coverage Rules'!E10,Q352&gt;='Coverage Rules'!B16,R352&gt;='Coverage Rules'!B17,IF(S352="",FALSE,S352&gt;='Coverage Rules'!D24)),"Denied","OK"))</f>
        <v/>
      </c>
      <c r="L352">
        <f>IF(B352="","",IFERROR(SUMPRODUCT((LEN(Employees!$A$3:$A$500)&gt;0)*(Employees!$T$3:$T$500=1)*(COUNTIFS($B$3:$B$500,Employees!$A$3:$A$500,$H$3:$H$500,"Approved",$D$3:$D$500,"&lt;="&amp;E352,$E$3:$E$500,"&gt;="&amp;D352,$A$3:$A$500,"&lt;&gt;"&amp;A352)=0)),0))</f>
        <v/>
      </c>
      <c r="M352">
        <f>IF(B352="","",IFERROR(SUMPRODUCT((LEN(Employees!$A$3:$A$500)&gt;0)*(Employees!$U$3:$U$500=1)*(COUNTIFS($B$3:$B$500,Employees!$A$3:$A$500,$H$3:$H$500,"Approved",$D$3:$D$500,"&lt;="&amp;E352,$E$3:$E$500,"&gt;="&amp;D352,$A$3:$A$500,"&lt;&gt;"&amp;A352)=0)),0))</f>
        <v/>
      </c>
      <c r="N352">
        <f>IF(B352="","",IFERROR(SUMPRODUCT((LEN(Employees!$A$3:$A$500)&gt;0)*(Employees!$B$3:$B$500="Manager")*(Employees!$U$3:$U$500=1)*(COUNTIFS($B$3:$B$500,Employees!$A$3:$A$500,$H$3:$H$500,"Approved",$D$3:$D$500,"&lt;="&amp;E352,$E$3:$E$500,"&gt;="&amp;D352,$A$3:$A$500,"&lt;&gt;"&amp;A352)=0)),0))</f>
        <v/>
      </c>
      <c r="O352">
        <f>IF(B352="","",IFERROR(SUMPRODUCT((LEN(Employees!$A$3:$A$500)&gt;0)*(Employees!$V$3:$V$500=1)*(COUNTIFS($B$3:$B$500,Employees!$A$3:$A$500,$H$3:$H$500,"Approved",$D$3:$D$500,"&lt;="&amp;E352,$E$3:$E$500,"&gt;="&amp;D352,$A$3:$A$500,"&lt;&gt;"&amp;A352)=0)),0))</f>
        <v/>
      </c>
      <c r="P352">
        <f>IF(B352="","",IFERROR(SUMPRODUCT((LEN(Employees!$A$3:$A$500)&gt;0)*(Employees!$W$3:$W$500=1)*(COUNTIFS($B$3:$B$500,Employees!$A$3:$A$500,$H$3:$H$500,"Approved",$D$3:$D$500,"&lt;="&amp;E352,$E$3:$E$500,"&gt;="&amp;D352,$A$3:$A$500,"&lt;&gt;"&amp;A352)=0)),0))</f>
        <v/>
      </c>
      <c r="Q352">
        <f>IF(B352="","",IFERROR(SUMPRODUCT((LEN(Employees!$A$3:$A$500)&gt;0)*(Employees!$N$3:$N$500=1)*(COUNTIFS($B$3:$B$500,Employees!$A$3:$A$500,$H$3:$H$500,"Approved",$D$3:$D$500,"&lt;="&amp;E352,$E$3:$E$500,"&gt;="&amp;D352,$A$3:$A$500,"&lt;&gt;"&amp;A352)&gt;0)),0))</f>
        <v/>
      </c>
      <c r="R352">
        <f>IF(B352="","",IFERROR(SUMPRODUCT((LEN(Employees!$A$3:$A$500)&gt;0)*(Employees!$O$3:$O$500=1)*(COUNTIFS($B$3:$B$500,Employees!$A$3:$A$500,$H$3:$H$500,"Approved",$D$3:$D$500,"&lt;="&amp;E352,$E$3:$E$500,"&gt;="&amp;D352,$A$3:$A$500,"&lt;&gt;"&amp;A352)&gt;0)),0))</f>
        <v/>
      </c>
      <c r="S352">
        <f>IF(OR(B352="",IFERROR(XLOOKUP(B352,Employees!$A$3:$A$500,Employees!$G$3:$G$500,""),"")=""),"",IFERROR(SUMPRODUCT((LEN(Employees!$A$3:$A$500)&gt;0)*(Employees!$G$3:$G$500=IFERROR(XLOOKUP(B352,Employees!$A$3:$A$500,Employees!$G$3:$G$500,""),""))*(COUNTIFS($B$3:$B$500,Employees!$A$3:$A$500,$H$3:$H$500,"Approved",$D$3:$D$500,"&lt;="&amp;E352,$E$3:$E$500,"&gt;="&amp;D352,$A$3:$A$500,"&lt;&gt;"&amp;A352)&gt;0)),0))</f>
        <v/>
      </c>
    </row>
    <row r="353">
      <c r="C353">
        <f>IFERROR(XLOOKUP(B353,Employees!$A$3:$A$500,Employees!$B$3:$B$500,""),"")</f>
        <v/>
      </c>
      <c r="I353">
        <f>IF(AND(B353&lt;&gt;"",D353&lt;&gt;"",E353&lt;&gt;""),E353-D353+1,"")</f>
        <v/>
      </c>
      <c r="J353">
        <f>IF(OR(B353="",D353="",E353=""),"",IF(OR(L353&lt;'Coverage Rules'!E7,M353&lt;'Coverage Rules'!E8,N353&lt;'Coverage Rules'!C8,O353&lt;'Coverage Rules'!E9,P353&lt;'Coverage Rules'!E10,Q353&gt;='Coverage Rules'!B16,R353&gt;='Coverage Rules'!B17,IF(S353="",FALSE,S353&gt;='Coverage Rules'!D24)),"Denied","OK"))</f>
        <v/>
      </c>
      <c r="L353">
        <f>IF(B353="","",IFERROR(SUMPRODUCT((LEN(Employees!$A$3:$A$500)&gt;0)*(Employees!$T$3:$T$500=1)*(COUNTIFS($B$3:$B$500,Employees!$A$3:$A$500,$H$3:$H$500,"Approved",$D$3:$D$500,"&lt;="&amp;E353,$E$3:$E$500,"&gt;="&amp;D353,$A$3:$A$500,"&lt;&gt;"&amp;A353)=0)),0))</f>
        <v/>
      </c>
      <c r="M353">
        <f>IF(B353="","",IFERROR(SUMPRODUCT((LEN(Employees!$A$3:$A$500)&gt;0)*(Employees!$U$3:$U$500=1)*(COUNTIFS($B$3:$B$500,Employees!$A$3:$A$500,$H$3:$H$500,"Approved",$D$3:$D$500,"&lt;="&amp;E353,$E$3:$E$500,"&gt;="&amp;D353,$A$3:$A$500,"&lt;&gt;"&amp;A353)=0)),0))</f>
        <v/>
      </c>
      <c r="N353">
        <f>IF(B353="","",IFERROR(SUMPRODUCT((LEN(Employees!$A$3:$A$500)&gt;0)*(Employees!$B$3:$B$500="Manager")*(Employees!$U$3:$U$500=1)*(COUNTIFS($B$3:$B$500,Employees!$A$3:$A$500,$H$3:$H$500,"Approved",$D$3:$D$500,"&lt;="&amp;E353,$E$3:$E$500,"&gt;="&amp;D353,$A$3:$A$500,"&lt;&gt;"&amp;A353)=0)),0))</f>
        <v/>
      </c>
      <c r="O353">
        <f>IF(B353="","",IFERROR(SUMPRODUCT((LEN(Employees!$A$3:$A$500)&gt;0)*(Employees!$V$3:$V$500=1)*(COUNTIFS($B$3:$B$500,Employees!$A$3:$A$500,$H$3:$H$500,"Approved",$D$3:$D$500,"&lt;="&amp;E353,$E$3:$E$500,"&gt;="&amp;D353,$A$3:$A$500,"&lt;&gt;"&amp;A353)=0)),0))</f>
        <v/>
      </c>
      <c r="P353">
        <f>IF(B353="","",IFERROR(SUMPRODUCT((LEN(Employees!$A$3:$A$500)&gt;0)*(Employees!$W$3:$W$500=1)*(COUNTIFS($B$3:$B$500,Employees!$A$3:$A$500,$H$3:$H$500,"Approved",$D$3:$D$500,"&lt;="&amp;E353,$E$3:$E$500,"&gt;="&amp;D353,$A$3:$A$500,"&lt;&gt;"&amp;A353)=0)),0))</f>
        <v/>
      </c>
      <c r="Q353">
        <f>IF(B353="","",IFERROR(SUMPRODUCT((LEN(Employees!$A$3:$A$500)&gt;0)*(Employees!$N$3:$N$500=1)*(COUNTIFS($B$3:$B$500,Employees!$A$3:$A$500,$H$3:$H$500,"Approved",$D$3:$D$500,"&lt;="&amp;E353,$E$3:$E$500,"&gt;="&amp;D353,$A$3:$A$500,"&lt;&gt;"&amp;A353)&gt;0)),0))</f>
        <v/>
      </c>
      <c r="R353">
        <f>IF(B353="","",IFERROR(SUMPRODUCT((LEN(Employees!$A$3:$A$500)&gt;0)*(Employees!$O$3:$O$500=1)*(COUNTIFS($B$3:$B$500,Employees!$A$3:$A$500,$H$3:$H$500,"Approved",$D$3:$D$500,"&lt;="&amp;E353,$E$3:$E$500,"&gt;="&amp;D353,$A$3:$A$500,"&lt;&gt;"&amp;A353)&gt;0)),0))</f>
        <v/>
      </c>
      <c r="S353">
        <f>IF(OR(B353="",IFERROR(XLOOKUP(B353,Employees!$A$3:$A$500,Employees!$G$3:$G$500,""),"")=""),"",IFERROR(SUMPRODUCT((LEN(Employees!$A$3:$A$500)&gt;0)*(Employees!$G$3:$G$500=IFERROR(XLOOKUP(B353,Employees!$A$3:$A$500,Employees!$G$3:$G$500,""),""))*(COUNTIFS($B$3:$B$500,Employees!$A$3:$A$500,$H$3:$H$500,"Approved",$D$3:$D$500,"&lt;="&amp;E353,$E$3:$E$500,"&gt;="&amp;D353,$A$3:$A$500,"&lt;&gt;"&amp;A353)&gt;0)),0))</f>
        <v/>
      </c>
    </row>
    <row r="354">
      <c r="C354">
        <f>IFERROR(XLOOKUP(B354,Employees!$A$3:$A$500,Employees!$B$3:$B$500,""),"")</f>
        <v/>
      </c>
      <c r="I354">
        <f>IF(AND(B354&lt;&gt;"",D354&lt;&gt;"",E354&lt;&gt;""),E354-D354+1,"")</f>
        <v/>
      </c>
      <c r="J354">
        <f>IF(OR(B354="",D354="",E354=""),"",IF(OR(L354&lt;'Coverage Rules'!E7,M354&lt;'Coverage Rules'!E8,N354&lt;'Coverage Rules'!C8,O354&lt;'Coverage Rules'!E9,P354&lt;'Coverage Rules'!E10,Q354&gt;='Coverage Rules'!B16,R354&gt;='Coverage Rules'!B17,IF(S354="",FALSE,S354&gt;='Coverage Rules'!D24)),"Denied","OK"))</f>
        <v/>
      </c>
      <c r="L354">
        <f>IF(B354="","",IFERROR(SUMPRODUCT((LEN(Employees!$A$3:$A$500)&gt;0)*(Employees!$T$3:$T$500=1)*(COUNTIFS($B$3:$B$500,Employees!$A$3:$A$500,$H$3:$H$500,"Approved",$D$3:$D$500,"&lt;="&amp;E354,$E$3:$E$500,"&gt;="&amp;D354,$A$3:$A$500,"&lt;&gt;"&amp;A354)=0)),0))</f>
        <v/>
      </c>
      <c r="M354">
        <f>IF(B354="","",IFERROR(SUMPRODUCT((LEN(Employees!$A$3:$A$500)&gt;0)*(Employees!$U$3:$U$500=1)*(COUNTIFS($B$3:$B$500,Employees!$A$3:$A$500,$H$3:$H$500,"Approved",$D$3:$D$500,"&lt;="&amp;E354,$E$3:$E$500,"&gt;="&amp;D354,$A$3:$A$500,"&lt;&gt;"&amp;A354)=0)),0))</f>
        <v/>
      </c>
      <c r="N354">
        <f>IF(B354="","",IFERROR(SUMPRODUCT((LEN(Employees!$A$3:$A$500)&gt;0)*(Employees!$B$3:$B$500="Manager")*(Employees!$U$3:$U$500=1)*(COUNTIFS($B$3:$B$500,Employees!$A$3:$A$500,$H$3:$H$500,"Approved",$D$3:$D$500,"&lt;="&amp;E354,$E$3:$E$500,"&gt;="&amp;D354,$A$3:$A$500,"&lt;&gt;"&amp;A354)=0)),0))</f>
        <v/>
      </c>
      <c r="O354">
        <f>IF(B354="","",IFERROR(SUMPRODUCT((LEN(Employees!$A$3:$A$500)&gt;0)*(Employees!$V$3:$V$500=1)*(COUNTIFS($B$3:$B$500,Employees!$A$3:$A$500,$H$3:$H$500,"Approved",$D$3:$D$500,"&lt;="&amp;E354,$E$3:$E$500,"&gt;="&amp;D354,$A$3:$A$500,"&lt;&gt;"&amp;A354)=0)),0))</f>
        <v/>
      </c>
      <c r="P354">
        <f>IF(B354="","",IFERROR(SUMPRODUCT((LEN(Employees!$A$3:$A$500)&gt;0)*(Employees!$W$3:$W$500=1)*(COUNTIFS($B$3:$B$500,Employees!$A$3:$A$500,$H$3:$H$500,"Approved",$D$3:$D$500,"&lt;="&amp;E354,$E$3:$E$500,"&gt;="&amp;D354,$A$3:$A$500,"&lt;&gt;"&amp;A354)=0)),0))</f>
        <v/>
      </c>
      <c r="Q354">
        <f>IF(B354="","",IFERROR(SUMPRODUCT((LEN(Employees!$A$3:$A$500)&gt;0)*(Employees!$N$3:$N$500=1)*(COUNTIFS($B$3:$B$500,Employees!$A$3:$A$500,$H$3:$H$500,"Approved",$D$3:$D$500,"&lt;="&amp;E354,$E$3:$E$500,"&gt;="&amp;D354,$A$3:$A$500,"&lt;&gt;"&amp;A354)&gt;0)),0))</f>
        <v/>
      </c>
      <c r="R354">
        <f>IF(B354="","",IFERROR(SUMPRODUCT((LEN(Employees!$A$3:$A$500)&gt;0)*(Employees!$O$3:$O$500=1)*(COUNTIFS($B$3:$B$500,Employees!$A$3:$A$500,$H$3:$H$500,"Approved",$D$3:$D$500,"&lt;="&amp;E354,$E$3:$E$500,"&gt;="&amp;D354,$A$3:$A$500,"&lt;&gt;"&amp;A354)&gt;0)),0))</f>
        <v/>
      </c>
      <c r="S354">
        <f>IF(OR(B354="",IFERROR(XLOOKUP(B354,Employees!$A$3:$A$500,Employees!$G$3:$G$500,""),"")=""),"",IFERROR(SUMPRODUCT((LEN(Employees!$A$3:$A$500)&gt;0)*(Employees!$G$3:$G$500=IFERROR(XLOOKUP(B354,Employees!$A$3:$A$500,Employees!$G$3:$G$500,""),""))*(COUNTIFS($B$3:$B$500,Employees!$A$3:$A$500,$H$3:$H$500,"Approved",$D$3:$D$500,"&lt;="&amp;E354,$E$3:$E$500,"&gt;="&amp;D354,$A$3:$A$500,"&lt;&gt;"&amp;A354)&gt;0)),0))</f>
        <v/>
      </c>
    </row>
    <row r="355">
      <c r="C355">
        <f>IFERROR(XLOOKUP(B355,Employees!$A$3:$A$500,Employees!$B$3:$B$500,""),"")</f>
        <v/>
      </c>
      <c r="I355">
        <f>IF(AND(B355&lt;&gt;"",D355&lt;&gt;"",E355&lt;&gt;""),E355-D355+1,"")</f>
        <v/>
      </c>
      <c r="J355">
        <f>IF(OR(B355="",D355="",E355=""),"",IF(OR(L355&lt;'Coverage Rules'!E7,M355&lt;'Coverage Rules'!E8,N355&lt;'Coverage Rules'!C8,O355&lt;'Coverage Rules'!E9,P355&lt;'Coverage Rules'!E10,Q355&gt;='Coverage Rules'!B16,R355&gt;='Coverage Rules'!B17,IF(S355="",FALSE,S355&gt;='Coverage Rules'!D24)),"Denied","OK"))</f>
        <v/>
      </c>
      <c r="L355">
        <f>IF(B355="","",IFERROR(SUMPRODUCT((LEN(Employees!$A$3:$A$500)&gt;0)*(Employees!$T$3:$T$500=1)*(COUNTIFS($B$3:$B$500,Employees!$A$3:$A$500,$H$3:$H$500,"Approved",$D$3:$D$500,"&lt;="&amp;E355,$E$3:$E$500,"&gt;="&amp;D355,$A$3:$A$500,"&lt;&gt;"&amp;A355)=0)),0))</f>
        <v/>
      </c>
      <c r="M355">
        <f>IF(B355="","",IFERROR(SUMPRODUCT((LEN(Employees!$A$3:$A$500)&gt;0)*(Employees!$U$3:$U$500=1)*(COUNTIFS($B$3:$B$500,Employees!$A$3:$A$500,$H$3:$H$500,"Approved",$D$3:$D$500,"&lt;="&amp;E355,$E$3:$E$500,"&gt;="&amp;D355,$A$3:$A$500,"&lt;&gt;"&amp;A355)=0)),0))</f>
        <v/>
      </c>
      <c r="N355">
        <f>IF(B355="","",IFERROR(SUMPRODUCT((LEN(Employees!$A$3:$A$500)&gt;0)*(Employees!$B$3:$B$500="Manager")*(Employees!$U$3:$U$500=1)*(COUNTIFS($B$3:$B$500,Employees!$A$3:$A$500,$H$3:$H$500,"Approved",$D$3:$D$500,"&lt;="&amp;E355,$E$3:$E$500,"&gt;="&amp;D355,$A$3:$A$500,"&lt;&gt;"&amp;A355)=0)),0))</f>
        <v/>
      </c>
      <c r="O355">
        <f>IF(B355="","",IFERROR(SUMPRODUCT((LEN(Employees!$A$3:$A$500)&gt;0)*(Employees!$V$3:$V$500=1)*(COUNTIFS($B$3:$B$500,Employees!$A$3:$A$500,$H$3:$H$500,"Approved",$D$3:$D$500,"&lt;="&amp;E355,$E$3:$E$500,"&gt;="&amp;D355,$A$3:$A$500,"&lt;&gt;"&amp;A355)=0)),0))</f>
        <v/>
      </c>
      <c r="P355">
        <f>IF(B355="","",IFERROR(SUMPRODUCT((LEN(Employees!$A$3:$A$500)&gt;0)*(Employees!$W$3:$W$500=1)*(COUNTIFS($B$3:$B$500,Employees!$A$3:$A$500,$H$3:$H$500,"Approved",$D$3:$D$500,"&lt;="&amp;E355,$E$3:$E$500,"&gt;="&amp;D355,$A$3:$A$500,"&lt;&gt;"&amp;A355)=0)),0))</f>
        <v/>
      </c>
      <c r="Q355">
        <f>IF(B355="","",IFERROR(SUMPRODUCT((LEN(Employees!$A$3:$A$500)&gt;0)*(Employees!$N$3:$N$500=1)*(COUNTIFS($B$3:$B$500,Employees!$A$3:$A$500,$H$3:$H$500,"Approved",$D$3:$D$500,"&lt;="&amp;E355,$E$3:$E$500,"&gt;="&amp;D355,$A$3:$A$500,"&lt;&gt;"&amp;A355)&gt;0)),0))</f>
        <v/>
      </c>
      <c r="R355">
        <f>IF(B355="","",IFERROR(SUMPRODUCT((LEN(Employees!$A$3:$A$500)&gt;0)*(Employees!$O$3:$O$500=1)*(COUNTIFS($B$3:$B$500,Employees!$A$3:$A$500,$H$3:$H$500,"Approved",$D$3:$D$500,"&lt;="&amp;E355,$E$3:$E$500,"&gt;="&amp;D355,$A$3:$A$500,"&lt;&gt;"&amp;A355)&gt;0)),0))</f>
        <v/>
      </c>
      <c r="S355">
        <f>IF(OR(B355="",IFERROR(XLOOKUP(B355,Employees!$A$3:$A$500,Employees!$G$3:$G$500,""),"")=""),"",IFERROR(SUMPRODUCT((LEN(Employees!$A$3:$A$500)&gt;0)*(Employees!$G$3:$G$500=IFERROR(XLOOKUP(B355,Employees!$A$3:$A$500,Employees!$G$3:$G$500,""),""))*(COUNTIFS($B$3:$B$500,Employees!$A$3:$A$500,$H$3:$H$500,"Approved",$D$3:$D$500,"&lt;="&amp;E355,$E$3:$E$500,"&gt;="&amp;D355,$A$3:$A$500,"&lt;&gt;"&amp;A355)&gt;0)),0))</f>
        <v/>
      </c>
    </row>
    <row r="356">
      <c r="C356">
        <f>IFERROR(XLOOKUP(B356,Employees!$A$3:$A$500,Employees!$B$3:$B$500,""),"")</f>
        <v/>
      </c>
      <c r="I356">
        <f>IF(AND(B356&lt;&gt;"",D356&lt;&gt;"",E356&lt;&gt;""),E356-D356+1,"")</f>
        <v/>
      </c>
      <c r="J356">
        <f>IF(OR(B356="",D356="",E356=""),"",IF(OR(L356&lt;'Coverage Rules'!E7,M356&lt;'Coverage Rules'!E8,N356&lt;'Coverage Rules'!C8,O356&lt;'Coverage Rules'!E9,P356&lt;'Coverage Rules'!E10,Q356&gt;='Coverage Rules'!B16,R356&gt;='Coverage Rules'!B17,IF(S356="",FALSE,S356&gt;='Coverage Rules'!D24)),"Denied","OK"))</f>
        <v/>
      </c>
      <c r="L356">
        <f>IF(B356="","",IFERROR(SUMPRODUCT((LEN(Employees!$A$3:$A$500)&gt;0)*(Employees!$T$3:$T$500=1)*(COUNTIFS($B$3:$B$500,Employees!$A$3:$A$500,$H$3:$H$500,"Approved",$D$3:$D$500,"&lt;="&amp;E356,$E$3:$E$500,"&gt;="&amp;D356,$A$3:$A$500,"&lt;&gt;"&amp;A356)=0)),0))</f>
        <v/>
      </c>
      <c r="M356">
        <f>IF(B356="","",IFERROR(SUMPRODUCT((LEN(Employees!$A$3:$A$500)&gt;0)*(Employees!$U$3:$U$500=1)*(COUNTIFS($B$3:$B$500,Employees!$A$3:$A$500,$H$3:$H$500,"Approved",$D$3:$D$500,"&lt;="&amp;E356,$E$3:$E$500,"&gt;="&amp;D356,$A$3:$A$500,"&lt;&gt;"&amp;A356)=0)),0))</f>
        <v/>
      </c>
      <c r="N356">
        <f>IF(B356="","",IFERROR(SUMPRODUCT((LEN(Employees!$A$3:$A$500)&gt;0)*(Employees!$B$3:$B$500="Manager")*(Employees!$U$3:$U$500=1)*(COUNTIFS($B$3:$B$500,Employees!$A$3:$A$500,$H$3:$H$500,"Approved",$D$3:$D$500,"&lt;="&amp;E356,$E$3:$E$500,"&gt;="&amp;D356,$A$3:$A$500,"&lt;&gt;"&amp;A356)=0)),0))</f>
        <v/>
      </c>
      <c r="O356">
        <f>IF(B356="","",IFERROR(SUMPRODUCT((LEN(Employees!$A$3:$A$500)&gt;0)*(Employees!$V$3:$V$500=1)*(COUNTIFS($B$3:$B$500,Employees!$A$3:$A$500,$H$3:$H$500,"Approved",$D$3:$D$500,"&lt;="&amp;E356,$E$3:$E$500,"&gt;="&amp;D356,$A$3:$A$500,"&lt;&gt;"&amp;A356)=0)),0))</f>
        <v/>
      </c>
      <c r="P356">
        <f>IF(B356="","",IFERROR(SUMPRODUCT((LEN(Employees!$A$3:$A$500)&gt;0)*(Employees!$W$3:$W$500=1)*(COUNTIFS($B$3:$B$500,Employees!$A$3:$A$500,$H$3:$H$500,"Approved",$D$3:$D$500,"&lt;="&amp;E356,$E$3:$E$500,"&gt;="&amp;D356,$A$3:$A$500,"&lt;&gt;"&amp;A356)=0)),0))</f>
        <v/>
      </c>
      <c r="Q356">
        <f>IF(B356="","",IFERROR(SUMPRODUCT((LEN(Employees!$A$3:$A$500)&gt;0)*(Employees!$N$3:$N$500=1)*(COUNTIFS($B$3:$B$500,Employees!$A$3:$A$500,$H$3:$H$500,"Approved",$D$3:$D$500,"&lt;="&amp;E356,$E$3:$E$500,"&gt;="&amp;D356,$A$3:$A$500,"&lt;&gt;"&amp;A356)&gt;0)),0))</f>
        <v/>
      </c>
      <c r="R356">
        <f>IF(B356="","",IFERROR(SUMPRODUCT((LEN(Employees!$A$3:$A$500)&gt;0)*(Employees!$O$3:$O$500=1)*(COUNTIFS($B$3:$B$500,Employees!$A$3:$A$500,$H$3:$H$500,"Approved",$D$3:$D$500,"&lt;="&amp;E356,$E$3:$E$500,"&gt;="&amp;D356,$A$3:$A$500,"&lt;&gt;"&amp;A356)&gt;0)),0))</f>
        <v/>
      </c>
      <c r="S356">
        <f>IF(OR(B356="",IFERROR(XLOOKUP(B356,Employees!$A$3:$A$500,Employees!$G$3:$G$500,""),"")=""),"",IFERROR(SUMPRODUCT((LEN(Employees!$A$3:$A$500)&gt;0)*(Employees!$G$3:$G$500=IFERROR(XLOOKUP(B356,Employees!$A$3:$A$500,Employees!$G$3:$G$500,""),""))*(COUNTIFS($B$3:$B$500,Employees!$A$3:$A$500,$H$3:$H$500,"Approved",$D$3:$D$500,"&lt;="&amp;E356,$E$3:$E$500,"&gt;="&amp;D356,$A$3:$A$500,"&lt;&gt;"&amp;A356)&gt;0)),0))</f>
        <v/>
      </c>
    </row>
    <row r="357">
      <c r="C357">
        <f>IFERROR(XLOOKUP(B357,Employees!$A$3:$A$500,Employees!$B$3:$B$500,""),"")</f>
        <v/>
      </c>
      <c r="I357">
        <f>IF(AND(B357&lt;&gt;"",D357&lt;&gt;"",E357&lt;&gt;""),E357-D357+1,"")</f>
        <v/>
      </c>
      <c r="J357">
        <f>IF(OR(B357="",D357="",E357=""),"",IF(OR(L357&lt;'Coverage Rules'!E7,M357&lt;'Coverage Rules'!E8,N357&lt;'Coverage Rules'!C8,O357&lt;'Coverage Rules'!E9,P357&lt;'Coverage Rules'!E10,Q357&gt;='Coverage Rules'!B16,R357&gt;='Coverage Rules'!B17,IF(S357="",FALSE,S357&gt;='Coverage Rules'!D24)),"Denied","OK"))</f>
        <v/>
      </c>
      <c r="L357">
        <f>IF(B357="","",IFERROR(SUMPRODUCT((LEN(Employees!$A$3:$A$500)&gt;0)*(Employees!$T$3:$T$500=1)*(COUNTIFS($B$3:$B$500,Employees!$A$3:$A$500,$H$3:$H$500,"Approved",$D$3:$D$500,"&lt;="&amp;E357,$E$3:$E$500,"&gt;="&amp;D357,$A$3:$A$500,"&lt;&gt;"&amp;A357)=0)),0))</f>
        <v/>
      </c>
      <c r="M357">
        <f>IF(B357="","",IFERROR(SUMPRODUCT((LEN(Employees!$A$3:$A$500)&gt;0)*(Employees!$U$3:$U$500=1)*(COUNTIFS($B$3:$B$500,Employees!$A$3:$A$500,$H$3:$H$500,"Approved",$D$3:$D$500,"&lt;="&amp;E357,$E$3:$E$500,"&gt;="&amp;D357,$A$3:$A$500,"&lt;&gt;"&amp;A357)=0)),0))</f>
        <v/>
      </c>
      <c r="N357">
        <f>IF(B357="","",IFERROR(SUMPRODUCT((LEN(Employees!$A$3:$A$500)&gt;0)*(Employees!$B$3:$B$500="Manager")*(Employees!$U$3:$U$500=1)*(COUNTIFS($B$3:$B$500,Employees!$A$3:$A$500,$H$3:$H$500,"Approved",$D$3:$D$500,"&lt;="&amp;E357,$E$3:$E$500,"&gt;="&amp;D357,$A$3:$A$500,"&lt;&gt;"&amp;A357)=0)),0))</f>
        <v/>
      </c>
      <c r="O357">
        <f>IF(B357="","",IFERROR(SUMPRODUCT((LEN(Employees!$A$3:$A$500)&gt;0)*(Employees!$V$3:$V$500=1)*(COUNTIFS($B$3:$B$500,Employees!$A$3:$A$500,$H$3:$H$500,"Approved",$D$3:$D$500,"&lt;="&amp;E357,$E$3:$E$500,"&gt;="&amp;D357,$A$3:$A$500,"&lt;&gt;"&amp;A357)=0)),0))</f>
        <v/>
      </c>
      <c r="P357">
        <f>IF(B357="","",IFERROR(SUMPRODUCT((LEN(Employees!$A$3:$A$500)&gt;0)*(Employees!$W$3:$W$500=1)*(COUNTIFS($B$3:$B$500,Employees!$A$3:$A$500,$H$3:$H$500,"Approved",$D$3:$D$500,"&lt;="&amp;E357,$E$3:$E$500,"&gt;="&amp;D357,$A$3:$A$500,"&lt;&gt;"&amp;A357)=0)),0))</f>
        <v/>
      </c>
      <c r="Q357">
        <f>IF(B357="","",IFERROR(SUMPRODUCT((LEN(Employees!$A$3:$A$500)&gt;0)*(Employees!$N$3:$N$500=1)*(COUNTIFS($B$3:$B$500,Employees!$A$3:$A$500,$H$3:$H$500,"Approved",$D$3:$D$500,"&lt;="&amp;E357,$E$3:$E$500,"&gt;="&amp;D357,$A$3:$A$500,"&lt;&gt;"&amp;A357)&gt;0)),0))</f>
        <v/>
      </c>
      <c r="R357">
        <f>IF(B357="","",IFERROR(SUMPRODUCT((LEN(Employees!$A$3:$A$500)&gt;0)*(Employees!$O$3:$O$500=1)*(COUNTIFS($B$3:$B$500,Employees!$A$3:$A$500,$H$3:$H$500,"Approved",$D$3:$D$500,"&lt;="&amp;E357,$E$3:$E$500,"&gt;="&amp;D357,$A$3:$A$500,"&lt;&gt;"&amp;A357)&gt;0)),0))</f>
        <v/>
      </c>
      <c r="S357">
        <f>IF(OR(B357="",IFERROR(XLOOKUP(B357,Employees!$A$3:$A$500,Employees!$G$3:$G$500,""),"")=""),"",IFERROR(SUMPRODUCT((LEN(Employees!$A$3:$A$500)&gt;0)*(Employees!$G$3:$G$500=IFERROR(XLOOKUP(B357,Employees!$A$3:$A$500,Employees!$G$3:$G$500,""),""))*(COUNTIFS($B$3:$B$500,Employees!$A$3:$A$500,$H$3:$H$500,"Approved",$D$3:$D$500,"&lt;="&amp;E357,$E$3:$E$500,"&gt;="&amp;D357,$A$3:$A$500,"&lt;&gt;"&amp;A357)&gt;0)),0))</f>
        <v/>
      </c>
    </row>
    <row r="358">
      <c r="C358">
        <f>IFERROR(XLOOKUP(B358,Employees!$A$3:$A$500,Employees!$B$3:$B$500,""),"")</f>
        <v/>
      </c>
      <c r="I358">
        <f>IF(AND(B358&lt;&gt;"",D358&lt;&gt;"",E358&lt;&gt;""),E358-D358+1,"")</f>
        <v/>
      </c>
      <c r="J358">
        <f>IF(OR(B358="",D358="",E358=""),"",IF(OR(L358&lt;'Coverage Rules'!E7,M358&lt;'Coverage Rules'!E8,N358&lt;'Coverage Rules'!C8,O358&lt;'Coverage Rules'!E9,P358&lt;'Coverage Rules'!E10,Q358&gt;='Coverage Rules'!B16,R358&gt;='Coverage Rules'!B17,IF(S358="",FALSE,S358&gt;='Coverage Rules'!D24)),"Denied","OK"))</f>
        <v/>
      </c>
      <c r="L358">
        <f>IF(B358="","",IFERROR(SUMPRODUCT((LEN(Employees!$A$3:$A$500)&gt;0)*(Employees!$T$3:$T$500=1)*(COUNTIFS($B$3:$B$500,Employees!$A$3:$A$500,$H$3:$H$500,"Approved",$D$3:$D$500,"&lt;="&amp;E358,$E$3:$E$500,"&gt;="&amp;D358,$A$3:$A$500,"&lt;&gt;"&amp;A358)=0)),0))</f>
        <v/>
      </c>
      <c r="M358">
        <f>IF(B358="","",IFERROR(SUMPRODUCT((LEN(Employees!$A$3:$A$500)&gt;0)*(Employees!$U$3:$U$500=1)*(COUNTIFS($B$3:$B$500,Employees!$A$3:$A$500,$H$3:$H$500,"Approved",$D$3:$D$500,"&lt;="&amp;E358,$E$3:$E$500,"&gt;="&amp;D358,$A$3:$A$500,"&lt;&gt;"&amp;A358)=0)),0))</f>
        <v/>
      </c>
      <c r="N358">
        <f>IF(B358="","",IFERROR(SUMPRODUCT((LEN(Employees!$A$3:$A$500)&gt;0)*(Employees!$B$3:$B$500="Manager")*(Employees!$U$3:$U$500=1)*(COUNTIFS($B$3:$B$500,Employees!$A$3:$A$500,$H$3:$H$500,"Approved",$D$3:$D$500,"&lt;="&amp;E358,$E$3:$E$500,"&gt;="&amp;D358,$A$3:$A$500,"&lt;&gt;"&amp;A358)=0)),0))</f>
        <v/>
      </c>
      <c r="O358">
        <f>IF(B358="","",IFERROR(SUMPRODUCT((LEN(Employees!$A$3:$A$500)&gt;0)*(Employees!$V$3:$V$500=1)*(COUNTIFS($B$3:$B$500,Employees!$A$3:$A$500,$H$3:$H$500,"Approved",$D$3:$D$500,"&lt;="&amp;E358,$E$3:$E$500,"&gt;="&amp;D358,$A$3:$A$500,"&lt;&gt;"&amp;A358)=0)),0))</f>
        <v/>
      </c>
      <c r="P358">
        <f>IF(B358="","",IFERROR(SUMPRODUCT((LEN(Employees!$A$3:$A$500)&gt;0)*(Employees!$W$3:$W$500=1)*(COUNTIFS($B$3:$B$500,Employees!$A$3:$A$500,$H$3:$H$500,"Approved",$D$3:$D$500,"&lt;="&amp;E358,$E$3:$E$500,"&gt;="&amp;D358,$A$3:$A$500,"&lt;&gt;"&amp;A358)=0)),0))</f>
        <v/>
      </c>
      <c r="Q358">
        <f>IF(B358="","",IFERROR(SUMPRODUCT((LEN(Employees!$A$3:$A$500)&gt;0)*(Employees!$N$3:$N$500=1)*(COUNTIFS($B$3:$B$500,Employees!$A$3:$A$500,$H$3:$H$500,"Approved",$D$3:$D$500,"&lt;="&amp;E358,$E$3:$E$500,"&gt;="&amp;D358,$A$3:$A$500,"&lt;&gt;"&amp;A358)&gt;0)),0))</f>
        <v/>
      </c>
      <c r="R358">
        <f>IF(B358="","",IFERROR(SUMPRODUCT((LEN(Employees!$A$3:$A$500)&gt;0)*(Employees!$O$3:$O$500=1)*(COUNTIFS($B$3:$B$500,Employees!$A$3:$A$500,$H$3:$H$500,"Approved",$D$3:$D$500,"&lt;="&amp;E358,$E$3:$E$500,"&gt;="&amp;D358,$A$3:$A$500,"&lt;&gt;"&amp;A358)&gt;0)),0))</f>
        <v/>
      </c>
      <c r="S358">
        <f>IF(OR(B358="",IFERROR(XLOOKUP(B358,Employees!$A$3:$A$500,Employees!$G$3:$G$500,""),"")=""),"",IFERROR(SUMPRODUCT((LEN(Employees!$A$3:$A$500)&gt;0)*(Employees!$G$3:$G$500=IFERROR(XLOOKUP(B358,Employees!$A$3:$A$500,Employees!$G$3:$G$500,""),""))*(COUNTIFS($B$3:$B$500,Employees!$A$3:$A$500,$H$3:$H$500,"Approved",$D$3:$D$500,"&lt;="&amp;E358,$E$3:$E$500,"&gt;="&amp;D358,$A$3:$A$500,"&lt;&gt;"&amp;A358)&gt;0)),0))</f>
        <v/>
      </c>
    </row>
    <row r="359">
      <c r="C359">
        <f>IFERROR(XLOOKUP(B359,Employees!$A$3:$A$500,Employees!$B$3:$B$500,""),"")</f>
        <v/>
      </c>
      <c r="I359">
        <f>IF(AND(B359&lt;&gt;"",D359&lt;&gt;"",E359&lt;&gt;""),E359-D359+1,"")</f>
        <v/>
      </c>
      <c r="J359">
        <f>IF(OR(B359="",D359="",E359=""),"",IF(OR(L359&lt;'Coverage Rules'!E7,M359&lt;'Coverage Rules'!E8,N359&lt;'Coverage Rules'!C8,O359&lt;'Coverage Rules'!E9,P359&lt;'Coverage Rules'!E10,Q359&gt;='Coverage Rules'!B16,R359&gt;='Coverage Rules'!B17,IF(S359="",FALSE,S359&gt;='Coverage Rules'!D24)),"Denied","OK"))</f>
        <v/>
      </c>
      <c r="L359">
        <f>IF(B359="","",IFERROR(SUMPRODUCT((LEN(Employees!$A$3:$A$500)&gt;0)*(Employees!$T$3:$T$500=1)*(COUNTIFS($B$3:$B$500,Employees!$A$3:$A$500,$H$3:$H$500,"Approved",$D$3:$D$500,"&lt;="&amp;E359,$E$3:$E$500,"&gt;="&amp;D359,$A$3:$A$500,"&lt;&gt;"&amp;A359)=0)),0))</f>
        <v/>
      </c>
      <c r="M359">
        <f>IF(B359="","",IFERROR(SUMPRODUCT((LEN(Employees!$A$3:$A$500)&gt;0)*(Employees!$U$3:$U$500=1)*(COUNTIFS($B$3:$B$500,Employees!$A$3:$A$500,$H$3:$H$500,"Approved",$D$3:$D$500,"&lt;="&amp;E359,$E$3:$E$500,"&gt;="&amp;D359,$A$3:$A$500,"&lt;&gt;"&amp;A359)=0)),0))</f>
        <v/>
      </c>
      <c r="N359">
        <f>IF(B359="","",IFERROR(SUMPRODUCT((LEN(Employees!$A$3:$A$500)&gt;0)*(Employees!$B$3:$B$500="Manager")*(Employees!$U$3:$U$500=1)*(COUNTIFS($B$3:$B$500,Employees!$A$3:$A$500,$H$3:$H$500,"Approved",$D$3:$D$500,"&lt;="&amp;E359,$E$3:$E$500,"&gt;="&amp;D359,$A$3:$A$500,"&lt;&gt;"&amp;A359)=0)),0))</f>
        <v/>
      </c>
      <c r="O359">
        <f>IF(B359="","",IFERROR(SUMPRODUCT((LEN(Employees!$A$3:$A$500)&gt;0)*(Employees!$V$3:$V$500=1)*(COUNTIFS($B$3:$B$500,Employees!$A$3:$A$500,$H$3:$H$500,"Approved",$D$3:$D$500,"&lt;="&amp;E359,$E$3:$E$500,"&gt;="&amp;D359,$A$3:$A$500,"&lt;&gt;"&amp;A359)=0)),0))</f>
        <v/>
      </c>
      <c r="P359">
        <f>IF(B359="","",IFERROR(SUMPRODUCT((LEN(Employees!$A$3:$A$500)&gt;0)*(Employees!$W$3:$W$500=1)*(COUNTIFS($B$3:$B$500,Employees!$A$3:$A$500,$H$3:$H$500,"Approved",$D$3:$D$500,"&lt;="&amp;E359,$E$3:$E$500,"&gt;="&amp;D359,$A$3:$A$500,"&lt;&gt;"&amp;A359)=0)),0))</f>
        <v/>
      </c>
      <c r="Q359">
        <f>IF(B359="","",IFERROR(SUMPRODUCT((LEN(Employees!$A$3:$A$500)&gt;0)*(Employees!$N$3:$N$500=1)*(COUNTIFS($B$3:$B$500,Employees!$A$3:$A$500,$H$3:$H$500,"Approved",$D$3:$D$500,"&lt;="&amp;E359,$E$3:$E$500,"&gt;="&amp;D359,$A$3:$A$500,"&lt;&gt;"&amp;A359)&gt;0)),0))</f>
        <v/>
      </c>
      <c r="R359">
        <f>IF(B359="","",IFERROR(SUMPRODUCT((LEN(Employees!$A$3:$A$500)&gt;0)*(Employees!$O$3:$O$500=1)*(COUNTIFS($B$3:$B$500,Employees!$A$3:$A$500,$H$3:$H$500,"Approved",$D$3:$D$500,"&lt;="&amp;E359,$E$3:$E$500,"&gt;="&amp;D359,$A$3:$A$500,"&lt;&gt;"&amp;A359)&gt;0)),0))</f>
        <v/>
      </c>
      <c r="S359">
        <f>IF(OR(B359="",IFERROR(XLOOKUP(B359,Employees!$A$3:$A$500,Employees!$G$3:$G$500,""),"")=""),"",IFERROR(SUMPRODUCT((LEN(Employees!$A$3:$A$500)&gt;0)*(Employees!$G$3:$G$500=IFERROR(XLOOKUP(B359,Employees!$A$3:$A$500,Employees!$G$3:$G$500,""),""))*(COUNTIFS($B$3:$B$500,Employees!$A$3:$A$500,$H$3:$H$500,"Approved",$D$3:$D$500,"&lt;="&amp;E359,$E$3:$E$500,"&gt;="&amp;D359,$A$3:$A$500,"&lt;&gt;"&amp;A359)&gt;0)),0))</f>
        <v/>
      </c>
    </row>
    <row r="360">
      <c r="C360">
        <f>IFERROR(XLOOKUP(B360,Employees!$A$3:$A$500,Employees!$B$3:$B$500,""),"")</f>
        <v/>
      </c>
      <c r="I360">
        <f>IF(AND(B360&lt;&gt;"",D360&lt;&gt;"",E360&lt;&gt;""),E360-D360+1,"")</f>
        <v/>
      </c>
      <c r="J360">
        <f>IF(OR(B360="",D360="",E360=""),"",IF(OR(L360&lt;'Coverage Rules'!E7,M360&lt;'Coverage Rules'!E8,N360&lt;'Coverage Rules'!C8,O360&lt;'Coverage Rules'!E9,P360&lt;'Coverage Rules'!E10,Q360&gt;='Coverage Rules'!B16,R360&gt;='Coverage Rules'!B17,IF(S360="",FALSE,S360&gt;='Coverage Rules'!D24)),"Denied","OK"))</f>
        <v/>
      </c>
      <c r="L360">
        <f>IF(B360="","",IFERROR(SUMPRODUCT((LEN(Employees!$A$3:$A$500)&gt;0)*(Employees!$T$3:$T$500=1)*(COUNTIFS($B$3:$B$500,Employees!$A$3:$A$500,$H$3:$H$500,"Approved",$D$3:$D$500,"&lt;="&amp;E360,$E$3:$E$500,"&gt;="&amp;D360,$A$3:$A$500,"&lt;&gt;"&amp;A360)=0)),0))</f>
        <v/>
      </c>
      <c r="M360">
        <f>IF(B360="","",IFERROR(SUMPRODUCT((LEN(Employees!$A$3:$A$500)&gt;0)*(Employees!$U$3:$U$500=1)*(COUNTIFS($B$3:$B$500,Employees!$A$3:$A$500,$H$3:$H$500,"Approved",$D$3:$D$500,"&lt;="&amp;E360,$E$3:$E$500,"&gt;="&amp;D360,$A$3:$A$500,"&lt;&gt;"&amp;A360)=0)),0))</f>
        <v/>
      </c>
      <c r="N360">
        <f>IF(B360="","",IFERROR(SUMPRODUCT((LEN(Employees!$A$3:$A$500)&gt;0)*(Employees!$B$3:$B$500="Manager")*(Employees!$U$3:$U$500=1)*(COUNTIFS($B$3:$B$500,Employees!$A$3:$A$500,$H$3:$H$500,"Approved",$D$3:$D$500,"&lt;="&amp;E360,$E$3:$E$500,"&gt;="&amp;D360,$A$3:$A$500,"&lt;&gt;"&amp;A360)=0)),0))</f>
        <v/>
      </c>
      <c r="O360">
        <f>IF(B360="","",IFERROR(SUMPRODUCT((LEN(Employees!$A$3:$A$500)&gt;0)*(Employees!$V$3:$V$500=1)*(COUNTIFS($B$3:$B$500,Employees!$A$3:$A$500,$H$3:$H$500,"Approved",$D$3:$D$500,"&lt;="&amp;E360,$E$3:$E$500,"&gt;="&amp;D360,$A$3:$A$500,"&lt;&gt;"&amp;A360)=0)),0))</f>
        <v/>
      </c>
      <c r="P360">
        <f>IF(B360="","",IFERROR(SUMPRODUCT((LEN(Employees!$A$3:$A$500)&gt;0)*(Employees!$W$3:$W$500=1)*(COUNTIFS($B$3:$B$500,Employees!$A$3:$A$500,$H$3:$H$500,"Approved",$D$3:$D$500,"&lt;="&amp;E360,$E$3:$E$500,"&gt;="&amp;D360,$A$3:$A$500,"&lt;&gt;"&amp;A360)=0)),0))</f>
        <v/>
      </c>
      <c r="Q360">
        <f>IF(B360="","",IFERROR(SUMPRODUCT((LEN(Employees!$A$3:$A$500)&gt;0)*(Employees!$N$3:$N$500=1)*(COUNTIFS($B$3:$B$500,Employees!$A$3:$A$500,$H$3:$H$500,"Approved",$D$3:$D$500,"&lt;="&amp;E360,$E$3:$E$500,"&gt;="&amp;D360,$A$3:$A$500,"&lt;&gt;"&amp;A360)&gt;0)),0))</f>
        <v/>
      </c>
      <c r="R360">
        <f>IF(B360="","",IFERROR(SUMPRODUCT((LEN(Employees!$A$3:$A$500)&gt;0)*(Employees!$O$3:$O$500=1)*(COUNTIFS($B$3:$B$500,Employees!$A$3:$A$500,$H$3:$H$500,"Approved",$D$3:$D$500,"&lt;="&amp;E360,$E$3:$E$500,"&gt;="&amp;D360,$A$3:$A$500,"&lt;&gt;"&amp;A360)&gt;0)),0))</f>
        <v/>
      </c>
      <c r="S360">
        <f>IF(OR(B360="",IFERROR(XLOOKUP(B360,Employees!$A$3:$A$500,Employees!$G$3:$G$500,""),"")=""),"",IFERROR(SUMPRODUCT((LEN(Employees!$A$3:$A$500)&gt;0)*(Employees!$G$3:$G$500=IFERROR(XLOOKUP(B360,Employees!$A$3:$A$500,Employees!$G$3:$G$500,""),""))*(COUNTIFS($B$3:$B$500,Employees!$A$3:$A$500,$H$3:$H$500,"Approved",$D$3:$D$500,"&lt;="&amp;E360,$E$3:$E$500,"&gt;="&amp;D360,$A$3:$A$500,"&lt;&gt;"&amp;A360)&gt;0)),0))</f>
        <v/>
      </c>
    </row>
    <row r="361">
      <c r="C361">
        <f>IFERROR(XLOOKUP(B361,Employees!$A$3:$A$500,Employees!$B$3:$B$500,""),"")</f>
        <v/>
      </c>
      <c r="I361">
        <f>IF(AND(B361&lt;&gt;"",D361&lt;&gt;"",E361&lt;&gt;""),E361-D361+1,"")</f>
        <v/>
      </c>
      <c r="J361">
        <f>IF(OR(B361="",D361="",E361=""),"",IF(OR(L361&lt;'Coverage Rules'!E7,M361&lt;'Coverage Rules'!E8,N361&lt;'Coverage Rules'!C8,O361&lt;'Coverage Rules'!E9,P361&lt;'Coverage Rules'!E10,Q361&gt;='Coverage Rules'!B16,R361&gt;='Coverage Rules'!B17,IF(S361="",FALSE,S361&gt;='Coverage Rules'!D24)),"Denied","OK"))</f>
        <v/>
      </c>
      <c r="L361">
        <f>IF(B361="","",IFERROR(SUMPRODUCT((LEN(Employees!$A$3:$A$500)&gt;0)*(Employees!$T$3:$T$500=1)*(COUNTIFS($B$3:$B$500,Employees!$A$3:$A$500,$H$3:$H$500,"Approved",$D$3:$D$500,"&lt;="&amp;E361,$E$3:$E$500,"&gt;="&amp;D361,$A$3:$A$500,"&lt;&gt;"&amp;A361)=0)),0))</f>
        <v/>
      </c>
      <c r="M361">
        <f>IF(B361="","",IFERROR(SUMPRODUCT((LEN(Employees!$A$3:$A$500)&gt;0)*(Employees!$U$3:$U$500=1)*(COUNTIFS($B$3:$B$500,Employees!$A$3:$A$500,$H$3:$H$500,"Approved",$D$3:$D$500,"&lt;="&amp;E361,$E$3:$E$500,"&gt;="&amp;D361,$A$3:$A$500,"&lt;&gt;"&amp;A361)=0)),0))</f>
        <v/>
      </c>
      <c r="N361">
        <f>IF(B361="","",IFERROR(SUMPRODUCT((LEN(Employees!$A$3:$A$500)&gt;0)*(Employees!$B$3:$B$500="Manager")*(Employees!$U$3:$U$500=1)*(COUNTIFS($B$3:$B$500,Employees!$A$3:$A$500,$H$3:$H$500,"Approved",$D$3:$D$500,"&lt;="&amp;E361,$E$3:$E$500,"&gt;="&amp;D361,$A$3:$A$500,"&lt;&gt;"&amp;A361)=0)),0))</f>
        <v/>
      </c>
      <c r="O361">
        <f>IF(B361="","",IFERROR(SUMPRODUCT((LEN(Employees!$A$3:$A$500)&gt;0)*(Employees!$V$3:$V$500=1)*(COUNTIFS($B$3:$B$500,Employees!$A$3:$A$500,$H$3:$H$500,"Approved",$D$3:$D$500,"&lt;="&amp;E361,$E$3:$E$500,"&gt;="&amp;D361,$A$3:$A$500,"&lt;&gt;"&amp;A361)=0)),0))</f>
        <v/>
      </c>
      <c r="P361">
        <f>IF(B361="","",IFERROR(SUMPRODUCT((LEN(Employees!$A$3:$A$500)&gt;0)*(Employees!$W$3:$W$500=1)*(COUNTIFS($B$3:$B$500,Employees!$A$3:$A$500,$H$3:$H$500,"Approved",$D$3:$D$500,"&lt;="&amp;E361,$E$3:$E$500,"&gt;="&amp;D361,$A$3:$A$500,"&lt;&gt;"&amp;A361)=0)),0))</f>
        <v/>
      </c>
      <c r="Q361">
        <f>IF(B361="","",IFERROR(SUMPRODUCT((LEN(Employees!$A$3:$A$500)&gt;0)*(Employees!$N$3:$N$500=1)*(COUNTIFS($B$3:$B$500,Employees!$A$3:$A$500,$H$3:$H$500,"Approved",$D$3:$D$500,"&lt;="&amp;E361,$E$3:$E$500,"&gt;="&amp;D361,$A$3:$A$500,"&lt;&gt;"&amp;A361)&gt;0)),0))</f>
        <v/>
      </c>
      <c r="R361">
        <f>IF(B361="","",IFERROR(SUMPRODUCT((LEN(Employees!$A$3:$A$500)&gt;0)*(Employees!$O$3:$O$500=1)*(COUNTIFS($B$3:$B$500,Employees!$A$3:$A$500,$H$3:$H$500,"Approved",$D$3:$D$500,"&lt;="&amp;E361,$E$3:$E$500,"&gt;="&amp;D361,$A$3:$A$500,"&lt;&gt;"&amp;A361)&gt;0)),0))</f>
        <v/>
      </c>
      <c r="S361">
        <f>IF(OR(B361="",IFERROR(XLOOKUP(B361,Employees!$A$3:$A$500,Employees!$G$3:$G$500,""),"")=""),"",IFERROR(SUMPRODUCT((LEN(Employees!$A$3:$A$500)&gt;0)*(Employees!$G$3:$G$500=IFERROR(XLOOKUP(B361,Employees!$A$3:$A$500,Employees!$G$3:$G$500,""),""))*(COUNTIFS($B$3:$B$500,Employees!$A$3:$A$500,$H$3:$H$500,"Approved",$D$3:$D$500,"&lt;="&amp;E361,$E$3:$E$500,"&gt;="&amp;D361,$A$3:$A$500,"&lt;&gt;"&amp;A361)&gt;0)),0))</f>
        <v/>
      </c>
    </row>
    <row r="362">
      <c r="C362">
        <f>IFERROR(XLOOKUP(B362,Employees!$A$3:$A$500,Employees!$B$3:$B$500,""),"")</f>
        <v/>
      </c>
      <c r="I362">
        <f>IF(AND(B362&lt;&gt;"",D362&lt;&gt;"",E362&lt;&gt;""),E362-D362+1,"")</f>
        <v/>
      </c>
      <c r="J362">
        <f>IF(OR(B362="",D362="",E362=""),"",IF(OR(L362&lt;'Coverage Rules'!E7,M362&lt;'Coverage Rules'!E8,N362&lt;'Coverage Rules'!C8,O362&lt;'Coverage Rules'!E9,P362&lt;'Coverage Rules'!E10,Q362&gt;='Coverage Rules'!B16,R362&gt;='Coverage Rules'!B17,IF(S362="",FALSE,S362&gt;='Coverage Rules'!D24)),"Denied","OK"))</f>
        <v/>
      </c>
      <c r="L362">
        <f>IF(B362="","",IFERROR(SUMPRODUCT((LEN(Employees!$A$3:$A$500)&gt;0)*(Employees!$T$3:$T$500=1)*(COUNTIFS($B$3:$B$500,Employees!$A$3:$A$500,$H$3:$H$500,"Approved",$D$3:$D$500,"&lt;="&amp;E362,$E$3:$E$500,"&gt;="&amp;D362,$A$3:$A$500,"&lt;&gt;"&amp;A362)=0)),0))</f>
        <v/>
      </c>
      <c r="M362">
        <f>IF(B362="","",IFERROR(SUMPRODUCT((LEN(Employees!$A$3:$A$500)&gt;0)*(Employees!$U$3:$U$500=1)*(COUNTIFS($B$3:$B$500,Employees!$A$3:$A$500,$H$3:$H$500,"Approved",$D$3:$D$500,"&lt;="&amp;E362,$E$3:$E$500,"&gt;="&amp;D362,$A$3:$A$500,"&lt;&gt;"&amp;A362)=0)),0))</f>
        <v/>
      </c>
      <c r="N362">
        <f>IF(B362="","",IFERROR(SUMPRODUCT((LEN(Employees!$A$3:$A$500)&gt;0)*(Employees!$B$3:$B$500="Manager")*(Employees!$U$3:$U$500=1)*(COUNTIFS($B$3:$B$500,Employees!$A$3:$A$500,$H$3:$H$500,"Approved",$D$3:$D$500,"&lt;="&amp;E362,$E$3:$E$500,"&gt;="&amp;D362,$A$3:$A$500,"&lt;&gt;"&amp;A362)=0)),0))</f>
        <v/>
      </c>
      <c r="O362">
        <f>IF(B362="","",IFERROR(SUMPRODUCT((LEN(Employees!$A$3:$A$500)&gt;0)*(Employees!$V$3:$V$500=1)*(COUNTIFS($B$3:$B$500,Employees!$A$3:$A$500,$H$3:$H$500,"Approved",$D$3:$D$500,"&lt;="&amp;E362,$E$3:$E$500,"&gt;="&amp;D362,$A$3:$A$500,"&lt;&gt;"&amp;A362)=0)),0))</f>
        <v/>
      </c>
      <c r="P362">
        <f>IF(B362="","",IFERROR(SUMPRODUCT((LEN(Employees!$A$3:$A$500)&gt;0)*(Employees!$W$3:$W$500=1)*(COUNTIFS($B$3:$B$500,Employees!$A$3:$A$500,$H$3:$H$500,"Approved",$D$3:$D$500,"&lt;="&amp;E362,$E$3:$E$500,"&gt;="&amp;D362,$A$3:$A$500,"&lt;&gt;"&amp;A362)=0)),0))</f>
        <v/>
      </c>
      <c r="Q362">
        <f>IF(B362="","",IFERROR(SUMPRODUCT((LEN(Employees!$A$3:$A$500)&gt;0)*(Employees!$N$3:$N$500=1)*(COUNTIFS($B$3:$B$500,Employees!$A$3:$A$500,$H$3:$H$500,"Approved",$D$3:$D$500,"&lt;="&amp;E362,$E$3:$E$500,"&gt;="&amp;D362,$A$3:$A$500,"&lt;&gt;"&amp;A362)&gt;0)),0))</f>
        <v/>
      </c>
      <c r="R362">
        <f>IF(B362="","",IFERROR(SUMPRODUCT((LEN(Employees!$A$3:$A$500)&gt;0)*(Employees!$O$3:$O$500=1)*(COUNTIFS($B$3:$B$500,Employees!$A$3:$A$500,$H$3:$H$500,"Approved",$D$3:$D$500,"&lt;="&amp;E362,$E$3:$E$500,"&gt;="&amp;D362,$A$3:$A$500,"&lt;&gt;"&amp;A362)&gt;0)),0))</f>
        <v/>
      </c>
      <c r="S362">
        <f>IF(OR(B362="",IFERROR(XLOOKUP(B362,Employees!$A$3:$A$500,Employees!$G$3:$G$500,""),"")=""),"",IFERROR(SUMPRODUCT((LEN(Employees!$A$3:$A$500)&gt;0)*(Employees!$G$3:$G$500=IFERROR(XLOOKUP(B362,Employees!$A$3:$A$500,Employees!$G$3:$G$500,""),""))*(COUNTIFS($B$3:$B$500,Employees!$A$3:$A$500,$H$3:$H$500,"Approved",$D$3:$D$500,"&lt;="&amp;E362,$E$3:$E$500,"&gt;="&amp;D362,$A$3:$A$500,"&lt;&gt;"&amp;A362)&gt;0)),0))</f>
        <v/>
      </c>
    </row>
    <row r="363">
      <c r="C363">
        <f>IFERROR(XLOOKUP(B363,Employees!$A$3:$A$500,Employees!$B$3:$B$500,""),"")</f>
        <v/>
      </c>
      <c r="I363">
        <f>IF(AND(B363&lt;&gt;"",D363&lt;&gt;"",E363&lt;&gt;""),E363-D363+1,"")</f>
        <v/>
      </c>
      <c r="J363">
        <f>IF(OR(B363="",D363="",E363=""),"",IF(OR(L363&lt;'Coverage Rules'!E7,M363&lt;'Coverage Rules'!E8,N363&lt;'Coverage Rules'!C8,O363&lt;'Coverage Rules'!E9,P363&lt;'Coverage Rules'!E10,Q363&gt;='Coverage Rules'!B16,R363&gt;='Coverage Rules'!B17,IF(S363="",FALSE,S363&gt;='Coverage Rules'!D24)),"Denied","OK"))</f>
        <v/>
      </c>
      <c r="L363">
        <f>IF(B363="","",IFERROR(SUMPRODUCT((LEN(Employees!$A$3:$A$500)&gt;0)*(Employees!$T$3:$T$500=1)*(COUNTIFS($B$3:$B$500,Employees!$A$3:$A$500,$H$3:$H$500,"Approved",$D$3:$D$500,"&lt;="&amp;E363,$E$3:$E$500,"&gt;="&amp;D363,$A$3:$A$500,"&lt;&gt;"&amp;A363)=0)),0))</f>
        <v/>
      </c>
      <c r="M363">
        <f>IF(B363="","",IFERROR(SUMPRODUCT((LEN(Employees!$A$3:$A$500)&gt;0)*(Employees!$U$3:$U$500=1)*(COUNTIFS($B$3:$B$500,Employees!$A$3:$A$500,$H$3:$H$500,"Approved",$D$3:$D$500,"&lt;="&amp;E363,$E$3:$E$500,"&gt;="&amp;D363,$A$3:$A$500,"&lt;&gt;"&amp;A363)=0)),0))</f>
        <v/>
      </c>
      <c r="N363">
        <f>IF(B363="","",IFERROR(SUMPRODUCT((LEN(Employees!$A$3:$A$500)&gt;0)*(Employees!$B$3:$B$500="Manager")*(Employees!$U$3:$U$500=1)*(COUNTIFS($B$3:$B$500,Employees!$A$3:$A$500,$H$3:$H$500,"Approved",$D$3:$D$500,"&lt;="&amp;E363,$E$3:$E$500,"&gt;="&amp;D363,$A$3:$A$500,"&lt;&gt;"&amp;A363)=0)),0))</f>
        <v/>
      </c>
      <c r="O363">
        <f>IF(B363="","",IFERROR(SUMPRODUCT((LEN(Employees!$A$3:$A$500)&gt;0)*(Employees!$V$3:$V$500=1)*(COUNTIFS($B$3:$B$500,Employees!$A$3:$A$500,$H$3:$H$500,"Approved",$D$3:$D$500,"&lt;="&amp;E363,$E$3:$E$500,"&gt;="&amp;D363,$A$3:$A$500,"&lt;&gt;"&amp;A363)=0)),0))</f>
        <v/>
      </c>
      <c r="P363">
        <f>IF(B363="","",IFERROR(SUMPRODUCT((LEN(Employees!$A$3:$A$500)&gt;0)*(Employees!$W$3:$W$500=1)*(COUNTIFS($B$3:$B$500,Employees!$A$3:$A$500,$H$3:$H$500,"Approved",$D$3:$D$500,"&lt;="&amp;E363,$E$3:$E$500,"&gt;="&amp;D363,$A$3:$A$500,"&lt;&gt;"&amp;A363)=0)),0))</f>
        <v/>
      </c>
      <c r="Q363">
        <f>IF(B363="","",IFERROR(SUMPRODUCT((LEN(Employees!$A$3:$A$500)&gt;0)*(Employees!$N$3:$N$500=1)*(COUNTIFS($B$3:$B$500,Employees!$A$3:$A$500,$H$3:$H$500,"Approved",$D$3:$D$500,"&lt;="&amp;E363,$E$3:$E$500,"&gt;="&amp;D363,$A$3:$A$500,"&lt;&gt;"&amp;A363)&gt;0)),0))</f>
        <v/>
      </c>
      <c r="R363">
        <f>IF(B363="","",IFERROR(SUMPRODUCT((LEN(Employees!$A$3:$A$500)&gt;0)*(Employees!$O$3:$O$500=1)*(COUNTIFS($B$3:$B$500,Employees!$A$3:$A$500,$H$3:$H$500,"Approved",$D$3:$D$500,"&lt;="&amp;E363,$E$3:$E$500,"&gt;="&amp;D363,$A$3:$A$500,"&lt;&gt;"&amp;A363)&gt;0)),0))</f>
        <v/>
      </c>
      <c r="S363">
        <f>IF(OR(B363="",IFERROR(XLOOKUP(B363,Employees!$A$3:$A$500,Employees!$G$3:$G$500,""),"")=""),"",IFERROR(SUMPRODUCT((LEN(Employees!$A$3:$A$500)&gt;0)*(Employees!$G$3:$G$500=IFERROR(XLOOKUP(B363,Employees!$A$3:$A$500,Employees!$G$3:$G$500,""),""))*(COUNTIFS($B$3:$B$500,Employees!$A$3:$A$500,$H$3:$H$500,"Approved",$D$3:$D$500,"&lt;="&amp;E363,$E$3:$E$500,"&gt;="&amp;D363,$A$3:$A$500,"&lt;&gt;"&amp;A363)&gt;0)),0))</f>
        <v/>
      </c>
    </row>
    <row r="364">
      <c r="C364">
        <f>IFERROR(XLOOKUP(B364,Employees!$A$3:$A$500,Employees!$B$3:$B$500,""),"")</f>
        <v/>
      </c>
      <c r="I364">
        <f>IF(AND(B364&lt;&gt;"",D364&lt;&gt;"",E364&lt;&gt;""),E364-D364+1,"")</f>
        <v/>
      </c>
      <c r="J364">
        <f>IF(OR(B364="",D364="",E364=""),"",IF(OR(L364&lt;'Coverage Rules'!E7,M364&lt;'Coverage Rules'!E8,N364&lt;'Coverage Rules'!C8,O364&lt;'Coverage Rules'!E9,P364&lt;'Coverage Rules'!E10,Q364&gt;='Coverage Rules'!B16,R364&gt;='Coverage Rules'!B17,IF(S364="",FALSE,S364&gt;='Coverage Rules'!D24)),"Denied","OK"))</f>
        <v/>
      </c>
      <c r="L364">
        <f>IF(B364="","",IFERROR(SUMPRODUCT((LEN(Employees!$A$3:$A$500)&gt;0)*(Employees!$T$3:$T$500=1)*(COUNTIFS($B$3:$B$500,Employees!$A$3:$A$500,$H$3:$H$500,"Approved",$D$3:$D$500,"&lt;="&amp;E364,$E$3:$E$500,"&gt;="&amp;D364,$A$3:$A$500,"&lt;&gt;"&amp;A364)=0)),0))</f>
        <v/>
      </c>
      <c r="M364">
        <f>IF(B364="","",IFERROR(SUMPRODUCT((LEN(Employees!$A$3:$A$500)&gt;0)*(Employees!$U$3:$U$500=1)*(COUNTIFS($B$3:$B$500,Employees!$A$3:$A$500,$H$3:$H$500,"Approved",$D$3:$D$500,"&lt;="&amp;E364,$E$3:$E$500,"&gt;="&amp;D364,$A$3:$A$500,"&lt;&gt;"&amp;A364)=0)),0))</f>
        <v/>
      </c>
      <c r="N364">
        <f>IF(B364="","",IFERROR(SUMPRODUCT((LEN(Employees!$A$3:$A$500)&gt;0)*(Employees!$B$3:$B$500="Manager")*(Employees!$U$3:$U$500=1)*(COUNTIFS($B$3:$B$500,Employees!$A$3:$A$500,$H$3:$H$500,"Approved",$D$3:$D$500,"&lt;="&amp;E364,$E$3:$E$500,"&gt;="&amp;D364,$A$3:$A$500,"&lt;&gt;"&amp;A364)=0)),0))</f>
        <v/>
      </c>
      <c r="O364">
        <f>IF(B364="","",IFERROR(SUMPRODUCT((LEN(Employees!$A$3:$A$500)&gt;0)*(Employees!$V$3:$V$500=1)*(COUNTIFS($B$3:$B$500,Employees!$A$3:$A$500,$H$3:$H$500,"Approved",$D$3:$D$500,"&lt;="&amp;E364,$E$3:$E$500,"&gt;="&amp;D364,$A$3:$A$500,"&lt;&gt;"&amp;A364)=0)),0))</f>
        <v/>
      </c>
      <c r="P364">
        <f>IF(B364="","",IFERROR(SUMPRODUCT((LEN(Employees!$A$3:$A$500)&gt;0)*(Employees!$W$3:$W$500=1)*(COUNTIFS($B$3:$B$500,Employees!$A$3:$A$500,$H$3:$H$500,"Approved",$D$3:$D$500,"&lt;="&amp;E364,$E$3:$E$500,"&gt;="&amp;D364,$A$3:$A$500,"&lt;&gt;"&amp;A364)=0)),0))</f>
        <v/>
      </c>
      <c r="Q364">
        <f>IF(B364="","",IFERROR(SUMPRODUCT((LEN(Employees!$A$3:$A$500)&gt;0)*(Employees!$N$3:$N$500=1)*(COUNTIFS($B$3:$B$500,Employees!$A$3:$A$500,$H$3:$H$500,"Approved",$D$3:$D$500,"&lt;="&amp;E364,$E$3:$E$500,"&gt;="&amp;D364,$A$3:$A$500,"&lt;&gt;"&amp;A364)&gt;0)),0))</f>
        <v/>
      </c>
      <c r="R364">
        <f>IF(B364="","",IFERROR(SUMPRODUCT((LEN(Employees!$A$3:$A$500)&gt;0)*(Employees!$O$3:$O$500=1)*(COUNTIFS($B$3:$B$500,Employees!$A$3:$A$500,$H$3:$H$500,"Approved",$D$3:$D$500,"&lt;="&amp;E364,$E$3:$E$500,"&gt;="&amp;D364,$A$3:$A$500,"&lt;&gt;"&amp;A364)&gt;0)),0))</f>
        <v/>
      </c>
      <c r="S364">
        <f>IF(OR(B364="",IFERROR(XLOOKUP(B364,Employees!$A$3:$A$500,Employees!$G$3:$G$500,""),"")=""),"",IFERROR(SUMPRODUCT((LEN(Employees!$A$3:$A$500)&gt;0)*(Employees!$G$3:$G$500=IFERROR(XLOOKUP(B364,Employees!$A$3:$A$500,Employees!$G$3:$G$500,""),""))*(COUNTIFS($B$3:$B$500,Employees!$A$3:$A$500,$H$3:$H$500,"Approved",$D$3:$D$500,"&lt;="&amp;E364,$E$3:$E$500,"&gt;="&amp;D364,$A$3:$A$500,"&lt;&gt;"&amp;A364)&gt;0)),0))</f>
        <v/>
      </c>
    </row>
    <row r="365">
      <c r="C365">
        <f>IFERROR(XLOOKUP(B365,Employees!$A$3:$A$500,Employees!$B$3:$B$500,""),"")</f>
        <v/>
      </c>
      <c r="I365">
        <f>IF(AND(B365&lt;&gt;"",D365&lt;&gt;"",E365&lt;&gt;""),E365-D365+1,"")</f>
        <v/>
      </c>
      <c r="J365">
        <f>IF(OR(B365="",D365="",E365=""),"",IF(OR(L365&lt;'Coverage Rules'!E7,M365&lt;'Coverage Rules'!E8,N365&lt;'Coverage Rules'!C8,O365&lt;'Coverage Rules'!E9,P365&lt;'Coverage Rules'!E10,Q365&gt;='Coverage Rules'!B16,R365&gt;='Coverage Rules'!B17,IF(S365="",FALSE,S365&gt;='Coverage Rules'!D24)),"Denied","OK"))</f>
        <v/>
      </c>
      <c r="L365">
        <f>IF(B365="","",IFERROR(SUMPRODUCT((LEN(Employees!$A$3:$A$500)&gt;0)*(Employees!$T$3:$T$500=1)*(COUNTIFS($B$3:$B$500,Employees!$A$3:$A$500,$H$3:$H$500,"Approved",$D$3:$D$500,"&lt;="&amp;E365,$E$3:$E$500,"&gt;="&amp;D365,$A$3:$A$500,"&lt;&gt;"&amp;A365)=0)),0))</f>
        <v/>
      </c>
      <c r="M365">
        <f>IF(B365="","",IFERROR(SUMPRODUCT((LEN(Employees!$A$3:$A$500)&gt;0)*(Employees!$U$3:$U$500=1)*(COUNTIFS($B$3:$B$500,Employees!$A$3:$A$500,$H$3:$H$500,"Approved",$D$3:$D$500,"&lt;="&amp;E365,$E$3:$E$500,"&gt;="&amp;D365,$A$3:$A$500,"&lt;&gt;"&amp;A365)=0)),0))</f>
        <v/>
      </c>
      <c r="N365">
        <f>IF(B365="","",IFERROR(SUMPRODUCT((LEN(Employees!$A$3:$A$500)&gt;0)*(Employees!$B$3:$B$500="Manager")*(Employees!$U$3:$U$500=1)*(COUNTIFS($B$3:$B$500,Employees!$A$3:$A$500,$H$3:$H$500,"Approved",$D$3:$D$500,"&lt;="&amp;E365,$E$3:$E$500,"&gt;="&amp;D365,$A$3:$A$500,"&lt;&gt;"&amp;A365)=0)),0))</f>
        <v/>
      </c>
      <c r="O365">
        <f>IF(B365="","",IFERROR(SUMPRODUCT((LEN(Employees!$A$3:$A$500)&gt;0)*(Employees!$V$3:$V$500=1)*(COUNTIFS($B$3:$B$500,Employees!$A$3:$A$500,$H$3:$H$500,"Approved",$D$3:$D$500,"&lt;="&amp;E365,$E$3:$E$500,"&gt;="&amp;D365,$A$3:$A$500,"&lt;&gt;"&amp;A365)=0)),0))</f>
        <v/>
      </c>
      <c r="P365">
        <f>IF(B365="","",IFERROR(SUMPRODUCT((LEN(Employees!$A$3:$A$500)&gt;0)*(Employees!$W$3:$W$500=1)*(COUNTIFS($B$3:$B$500,Employees!$A$3:$A$500,$H$3:$H$500,"Approved",$D$3:$D$500,"&lt;="&amp;E365,$E$3:$E$500,"&gt;="&amp;D365,$A$3:$A$500,"&lt;&gt;"&amp;A365)=0)),0))</f>
        <v/>
      </c>
      <c r="Q365">
        <f>IF(B365="","",IFERROR(SUMPRODUCT((LEN(Employees!$A$3:$A$500)&gt;0)*(Employees!$N$3:$N$500=1)*(COUNTIFS($B$3:$B$500,Employees!$A$3:$A$500,$H$3:$H$500,"Approved",$D$3:$D$500,"&lt;="&amp;E365,$E$3:$E$500,"&gt;="&amp;D365,$A$3:$A$500,"&lt;&gt;"&amp;A365)&gt;0)),0))</f>
        <v/>
      </c>
      <c r="R365">
        <f>IF(B365="","",IFERROR(SUMPRODUCT((LEN(Employees!$A$3:$A$500)&gt;0)*(Employees!$O$3:$O$500=1)*(COUNTIFS($B$3:$B$500,Employees!$A$3:$A$500,$H$3:$H$500,"Approved",$D$3:$D$500,"&lt;="&amp;E365,$E$3:$E$500,"&gt;="&amp;D365,$A$3:$A$500,"&lt;&gt;"&amp;A365)&gt;0)),0))</f>
        <v/>
      </c>
      <c r="S365">
        <f>IF(OR(B365="",IFERROR(XLOOKUP(B365,Employees!$A$3:$A$500,Employees!$G$3:$G$500,""),"")=""),"",IFERROR(SUMPRODUCT((LEN(Employees!$A$3:$A$500)&gt;0)*(Employees!$G$3:$G$500=IFERROR(XLOOKUP(B365,Employees!$A$3:$A$500,Employees!$G$3:$G$500,""),""))*(COUNTIFS($B$3:$B$500,Employees!$A$3:$A$500,$H$3:$H$500,"Approved",$D$3:$D$500,"&lt;="&amp;E365,$E$3:$E$500,"&gt;="&amp;D365,$A$3:$A$500,"&lt;&gt;"&amp;A365)&gt;0)),0))</f>
        <v/>
      </c>
    </row>
    <row r="366">
      <c r="C366">
        <f>IFERROR(XLOOKUP(B366,Employees!$A$3:$A$500,Employees!$B$3:$B$500,""),"")</f>
        <v/>
      </c>
      <c r="I366">
        <f>IF(AND(B366&lt;&gt;"",D366&lt;&gt;"",E366&lt;&gt;""),E366-D366+1,"")</f>
        <v/>
      </c>
      <c r="J366">
        <f>IF(OR(B366="",D366="",E366=""),"",IF(OR(L366&lt;'Coverage Rules'!E7,M366&lt;'Coverage Rules'!E8,N366&lt;'Coverage Rules'!C8,O366&lt;'Coverage Rules'!E9,P366&lt;'Coverage Rules'!E10,Q366&gt;='Coverage Rules'!B16,R366&gt;='Coverage Rules'!B17,IF(S366="",FALSE,S366&gt;='Coverage Rules'!D24)),"Denied","OK"))</f>
        <v/>
      </c>
      <c r="L366">
        <f>IF(B366="","",IFERROR(SUMPRODUCT((LEN(Employees!$A$3:$A$500)&gt;0)*(Employees!$T$3:$T$500=1)*(COUNTIFS($B$3:$B$500,Employees!$A$3:$A$500,$H$3:$H$500,"Approved",$D$3:$D$500,"&lt;="&amp;E366,$E$3:$E$500,"&gt;="&amp;D366,$A$3:$A$500,"&lt;&gt;"&amp;A366)=0)),0))</f>
        <v/>
      </c>
      <c r="M366">
        <f>IF(B366="","",IFERROR(SUMPRODUCT((LEN(Employees!$A$3:$A$500)&gt;0)*(Employees!$U$3:$U$500=1)*(COUNTIFS($B$3:$B$500,Employees!$A$3:$A$500,$H$3:$H$500,"Approved",$D$3:$D$500,"&lt;="&amp;E366,$E$3:$E$500,"&gt;="&amp;D366,$A$3:$A$500,"&lt;&gt;"&amp;A366)=0)),0))</f>
        <v/>
      </c>
      <c r="N366">
        <f>IF(B366="","",IFERROR(SUMPRODUCT((LEN(Employees!$A$3:$A$500)&gt;0)*(Employees!$B$3:$B$500="Manager")*(Employees!$U$3:$U$500=1)*(COUNTIFS($B$3:$B$500,Employees!$A$3:$A$500,$H$3:$H$500,"Approved",$D$3:$D$500,"&lt;="&amp;E366,$E$3:$E$500,"&gt;="&amp;D366,$A$3:$A$500,"&lt;&gt;"&amp;A366)=0)),0))</f>
        <v/>
      </c>
      <c r="O366">
        <f>IF(B366="","",IFERROR(SUMPRODUCT((LEN(Employees!$A$3:$A$500)&gt;0)*(Employees!$V$3:$V$500=1)*(COUNTIFS($B$3:$B$500,Employees!$A$3:$A$500,$H$3:$H$500,"Approved",$D$3:$D$500,"&lt;="&amp;E366,$E$3:$E$500,"&gt;="&amp;D366,$A$3:$A$500,"&lt;&gt;"&amp;A366)=0)),0))</f>
        <v/>
      </c>
      <c r="P366">
        <f>IF(B366="","",IFERROR(SUMPRODUCT((LEN(Employees!$A$3:$A$500)&gt;0)*(Employees!$W$3:$W$500=1)*(COUNTIFS($B$3:$B$500,Employees!$A$3:$A$500,$H$3:$H$500,"Approved",$D$3:$D$500,"&lt;="&amp;E366,$E$3:$E$500,"&gt;="&amp;D366,$A$3:$A$500,"&lt;&gt;"&amp;A366)=0)),0))</f>
        <v/>
      </c>
      <c r="Q366">
        <f>IF(B366="","",IFERROR(SUMPRODUCT((LEN(Employees!$A$3:$A$500)&gt;0)*(Employees!$N$3:$N$500=1)*(COUNTIFS($B$3:$B$500,Employees!$A$3:$A$500,$H$3:$H$500,"Approved",$D$3:$D$500,"&lt;="&amp;E366,$E$3:$E$500,"&gt;="&amp;D366,$A$3:$A$500,"&lt;&gt;"&amp;A366)&gt;0)),0))</f>
        <v/>
      </c>
      <c r="R366">
        <f>IF(B366="","",IFERROR(SUMPRODUCT((LEN(Employees!$A$3:$A$500)&gt;0)*(Employees!$O$3:$O$500=1)*(COUNTIFS($B$3:$B$500,Employees!$A$3:$A$500,$H$3:$H$500,"Approved",$D$3:$D$500,"&lt;="&amp;E366,$E$3:$E$500,"&gt;="&amp;D366,$A$3:$A$500,"&lt;&gt;"&amp;A366)&gt;0)),0))</f>
        <v/>
      </c>
      <c r="S366">
        <f>IF(OR(B366="",IFERROR(XLOOKUP(B366,Employees!$A$3:$A$500,Employees!$G$3:$G$500,""),"")=""),"",IFERROR(SUMPRODUCT((LEN(Employees!$A$3:$A$500)&gt;0)*(Employees!$G$3:$G$500=IFERROR(XLOOKUP(B366,Employees!$A$3:$A$500,Employees!$G$3:$G$500,""),""))*(COUNTIFS($B$3:$B$500,Employees!$A$3:$A$500,$H$3:$H$500,"Approved",$D$3:$D$500,"&lt;="&amp;E366,$E$3:$E$500,"&gt;="&amp;D366,$A$3:$A$500,"&lt;&gt;"&amp;A366)&gt;0)),0))</f>
        <v/>
      </c>
    </row>
    <row r="367">
      <c r="C367">
        <f>IFERROR(XLOOKUP(B367,Employees!$A$3:$A$500,Employees!$B$3:$B$500,""),"")</f>
        <v/>
      </c>
      <c r="I367">
        <f>IF(AND(B367&lt;&gt;"",D367&lt;&gt;"",E367&lt;&gt;""),E367-D367+1,"")</f>
        <v/>
      </c>
      <c r="J367">
        <f>IF(OR(B367="",D367="",E367=""),"",IF(OR(L367&lt;'Coverage Rules'!E7,M367&lt;'Coverage Rules'!E8,N367&lt;'Coverage Rules'!C8,O367&lt;'Coverage Rules'!E9,P367&lt;'Coverage Rules'!E10,Q367&gt;='Coverage Rules'!B16,R367&gt;='Coverage Rules'!B17,IF(S367="",FALSE,S367&gt;='Coverage Rules'!D24)),"Denied","OK"))</f>
        <v/>
      </c>
      <c r="L367">
        <f>IF(B367="","",IFERROR(SUMPRODUCT((LEN(Employees!$A$3:$A$500)&gt;0)*(Employees!$T$3:$T$500=1)*(COUNTIFS($B$3:$B$500,Employees!$A$3:$A$500,$H$3:$H$500,"Approved",$D$3:$D$500,"&lt;="&amp;E367,$E$3:$E$500,"&gt;="&amp;D367,$A$3:$A$500,"&lt;&gt;"&amp;A367)=0)),0))</f>
        <v/>
      </c>
      <c r="M367">
        <f>IF(B367="","",IFERROR(SUMPRODUCT((LEN(Employees!$A$3:$A$500)&gt;0)*(Employees!$U$3:$U$500=1)*(COUNTIFS($B$3:$B$500,Employees!$A$3:$A$500,$H$3:$H$500,"Approved",$D$3:$D$500,"&lt;="&amp;E367,$E$3:$E$500,"&gt;="&amp;D367,$A$3:$A$500,"&lt;&gt;"&amp;A367)=0)),0))</f>
        <v/>
      </c>
      <c r="N367">
        <f>IF(B367="","",IFERROR(SUMPRODUCT((LEN(Employees!$A$3:$A$500)&gt;0)*(Employees!$B$3:$B$500="Manager")*(Employees!$U$3:$U$500=1)*(COUNTIFS($B$3:$B$500,Employees!$A$3:$A$500,$H$3:$H$500,"Approved",$D$3:$D$500,"&lt;="&amp;E367,$E$3:$E$500,"&gt;="&amp;D367,$A$3:$A$500,"&lt;&gt;"&amp;A367)=0)),0))</f>
        <v/>
      </c>
      <c r="O367">
        <f>IF(B367="","",IFERROR(SUMPRODUCT((LEN(Employees!$A$3:$A$500)&gt;0)*(Employees!$V$3:$V$500=1)*(COUNTIFS($B$3:$B$500,Employees!$A$3:$A$500,$H$3:$H$500,"Approved",$D$3:$D$500,"&lt;="&amp;E367,$E$3:$E$500,"&gt;="&amp;D367,$A$3:$A$500,"&lt;&gt;"&amp;A367)=0)),0))</f>
        <v/>
      </c>
      <c r="P367">
        <f>IF(B367="","",IFERROR(SUMPRODUCT((LEN(Employees!$A$3:$A$500)&gt;0)*(Employees!$W$3:$W$500=1)*(COUNTIFS($B$3:$B$500,Employees!$A$3:$A$500,$H$3:$H$500,"Approved",$D$3:$D$500,"&lt;="&amp;E367,$E$3:$E$500,"&gt;="&amp;D367,$A$3:$A$500,"&lt;&gt;"&amp;A367)=0)),0))</f>
        <v/>
      </c>
      <c r="Q367">
        <f>IF(B367="","",IFERROR(SUMPRODUCT((LEN(Employees!$A$3:$A$500)&gt;0)*(Employees!$N$3:$N$500=1)*(COUNTIFS($B$3:$B$500,Employees!$A$3:$A$500,$H$3:$H$500,"Approved",$D$3:$D$500,"&lt;="&amp;E367,$E$3:$E$500,"&gt;="&amp;D367,$A$3:$A$500,"&lt;&gt;"&amp;A367)&gt;0)),0))</f>
        <v/>
      </c>
      <c r="R367">
        <f>IF(B367="","",IFERROR(SUMPRODUCT((LEN(Employees!$A$3:$A$500)&gt;0)*(Employees!$O$3:$O$500=1)*(COUNTIFS($B$3:$B$500,Employees!$A$3:$A$500,$H$3:$H$500,"Approved",$D$3:$D$500,"&lt;="&amp;E367,$E$3:$E$500,"&gt;="&amp;D367,$A$3:$A$500,"&lt;&gt;"&amp;A367)&gt;0)),0))</f>
        <v/>
      </c>
      <c r="S367">
        <f>IF(OR(B367="",IFERROR(XLOOKUP(B367,Employees!$A$3:$A$500,Employees!$G$3:$G$500,""),"")=""),"",IFERROR(SUMPRODUCT((LEN(Employees!$A$3:$A$500)&gt;0)*(Employees!$G$3:$G$500=IFERROR(XLOOKUP(B367,Employees!$A$3:$A$500,Employees!$G$3:$G$500,""),""))*(COUNTIFS($B$3:$B$500,Employees!$A$3:$A$500,$H$3:$H$500,"Approved",$D$3:$D$500,"&lt;="&amp;E367,$E$3:$E$500,"&gt;="&amp;D367,$A$3:$A$500,"&lt;&gt;"&amp;A367)&gt;0)),0))</f>
        <v/>
      </c>
    </row>
    <row r="368">
      <c r="C368">
        <f>IFERROR(XLOOKUP(B368,Employees!$A$3:$A$500,Employees!$B$3:$B$500,""),"")</f>
        <v/>
      </c>
      <c r="I368">
        <f>IF(AND(B368&lt;&gt;"",D368&lt;&gt;"",E368&lt;&gt;""),E368-D368+1,"")</f>
        <v/>
      </c>
      <c r="J368">
        <f>IF(OR(B368="",D368="",E368=""),"",IF(OR(L368&lt;'Coverage Rules'!E7,M368&lt;'Coverage Rules'!E8,N368&lt;'Coverage Rules'!C8,O368&lt;'Coverage Rules'!E9,P368&lt;'Coverage Rules'!E10,Q368&gt;='Coverage Rules'!B16,R368&gt;='Coverage Rules'!B17,IF(S368="",FALSE,S368&gt;='Coverage Rules'!D24)),"Denied","OK"))</f>
        <v/>
      </c>
      <c r="L368">
        <f>IF(B368="","",IFERROR(SUMPRODUCT((LEN(Employees!$A$3:$A$500)&gt;0)*(Employees!$T$3:$T$500=1)*(COUNTIFS($B$3:$B$500,Employees!$A$3:$A$500,$H$3:$H$500,"Approved",$D$3:$D$500,"&lt;="&amp;E368,$E$3:$E$500,"&gt;="&amp;D368,$A$3:$A$500,"&lt;&gt;"&amp;A368)=0)),0))</f>
        <v/>
      </c>
      <c r="M368">
        <f>IF(B368="","",IFERROR(SUMPRODUCT((LEN(Employees!$A$3:$A$500)&gt;0)*(Employees!$U$3:$U$500=1)*(COUNTIFS($B$3:$B$500,Employees!$A$3:$A$500,$H$3:$H$500,"Approved",$D$3:$D$500,"&lt;="&amp;E368,$E$3:$E$500,"&gt;="&amp;D368,$A$3:$A$500,"&lt;&gt;"&amp;A368)=0)),0))</f>
        <v/>
      </c>
      <c r="N368">
        <f>IF(B368="","",IFERROR(SUMPRODUCT((LEN(Employees!$A$3:$A$500)&gt;0)*(Employees!$B$3:$B$500="Manager")*(Employees!$U$3:$U$500=1)*(COUNTIFS($B$3:$B$500,Employees!$A$3:$A$500,$H$3:$H$500,"Approved",$D$3:$D$500,"&lt;="&amp;E368,$E$3:$E$500,"&gt;="&amp;D368,$A$3:$A$500,"&lt;&gt;"&amp;A368)=0)),0))</f>
        <v/>
      </c>
      <c r="O368">
        <f>IF(B368="","",IFERROR(SUMPRODUCT((LEN(Employees!$A$3:$A$500)&gt;0)*(Employees!$V$3:$V$500=1)*(COUNTIFS($B$3:$B$500,Employees!$A$3:$A$500,$H$3:$H$500,"Approved",$D$3:$D$500,"&lt;="&amp;E368,$E$3:$E$500,"&gt;="&amp;D368,$A$3:$A$500,"&lt;&gt;"&amp;A368)=0)),0))</f>
        <v/>
      </c>
      <c r="P368">
        <f>IF(B368="","",IFERROR(SUMPRODUCT((LEN(Employees!$A$3:$A$500)&gt;0)*(Employees!$W$3:$W$500=1)*(COUNTIFS($B$3:$B$500,Employees!$A$3:$A$500,$H$3:$H$500,"Approved",$D$3:$D$500,"&lt;="&amp;E368,$E$3:$E$500,"&gt;="&amp;D368,$A$3:$A$500,"&lt;&gt;"&amp;A368)=0)),0))</f>
        <v/>
      </c>
      <c r="Q368">
        <f>IF(B368="","",IFERROR(SUMPRODUCT((LEN(Employees!$A$3:$A$500)&gt;0)*(Employees!$N$3:$N$500=1)*(COUNTIFS($B$3:$B$500,Employees!$A$3:$A$500,$H$3:$H$500,"Approved",$D$3:$D$500,"&lt;="&amp;E368,$E$3:$E$500,"&gt;="&amp;D368,$A$3:$A$500,"&lt;&gt;"&amp;A368)&gt;0)),0))</f>
        <v/>
      </c>
      <c r="R368">
        <f>IF(B368="","",IFERROR(SUMPRODUCT((LEN(Employees!$A$3:$A$500)&gt;0)*(Employees!$O$3:$O$500=1)*(COUNTIFS($B$3:$B$500,Employees!$A$3:$A$500,$H$3:$H$500,"Approved",$D$3:$D$500,"&lt;="&amp;E368,$E$3:$E$500,"&gt;="&amp;D368,$A$3:$A$500,"&lt;&gt;"&amp;A368)&gt;0)),0))</f>
        <v/>
      </c>
      <c r="S368">
        <f>IF(OR(B368="",IFERROR(XLOOKUP(B368,Employees!$A$3:$A$500,Employees!$G$3:$G$500,""),"")=""),"",IFERROR(SUMPRODUCT((LEN(Employees!$A$3:$A$500)&gt;0)*(Employees!$G$3:$G$500=IFERROR(XLOOKUP(B368,Employees!$A$3:$A$500,Employees!$G$3:$G$500,""),""))*(COUNTIFS($B$3:$B$500,Employees!$A$3:$A$500,$H$3:$H$500,"Approved",$D$3:$D$500,"&lt;="&amp;E368,$E$3:$E$500,"&gt;="&amp;D368,$A$3:$A$500,"&lt;&gt;"&amp;A368)&gt;0)),0))</f>
        <v/>
      </c>
    </row>
    <row r="369">
      <c r="C369">
        <f>IFERROR(XLOOKUP(B369,Employees!$A$3:$A$500,Employees!$B$3:$B$500,""),"")</f>
        <v/>
      </c>
      <c r="I369">
        <f>IF(AND(B369&lt;&gt;"",D369&lt;&gt;"",E369&lt;&gt;""),E369-D369+1,"")</f>
        <v/>
      </c>
      <c r="J369">
        <f>IF(OR(B369="",D369="",E369=""),"",IF(OR(L369&lt;'Coverage Rules'!E7,M369&lt;'Coverage Rules'!E8,N369&lt;'Coverage Rules'!C8,O369&lt;'Coverage Rules'!E9,P369&lt;'Coverage Rules'!E10,Q369&gt;='Coverage Rules'!B16,R369&gt;='Coverage Rules'!B17,IF(S369="",FALSE,S369&gt;='Coverage Rules'!D24)),"Denied","OK"))</f>
        <v/>
      </c>
      <c r="L369">
        <f>IF(B369="","",IFERROR(SUMPRODUCT((LEN(Employees!$A$3:$A$500)&gt;0)*(Employees!$T$3:$T$500=1)*(COUNTIFS($B$3:$B$500,Employees!$A$3:$A$500,$H$3:$H$500,"Approved",$D$3:$D$500,"&lt;="&amp;E369,$E$3:$E$500,"&gt;="&amp;D369,$A$3:$A$500,"&lt;&gt;"&amp;A369)=0)),0))</f>
        <v/>
      </c>
      <c r="M369">
        <f>IF(B369="","",IFERROR(SUMPRODUCT((LEN(Employees!$A$3:$A$500)&gt;0)*(Employees!$U$3:$U$500=1)*(COUNTIFS($B$3:$B$500,Employees!$A$3:$A$500,$H$3:$H$500,"Approved",$D$3:$D$500,"&lt;="&amp;E369,$E$3:$E$500,"&gt;="&amp;D369,$A$3:$A$500,"&lt;&gt;"&amp;A369)=0)),0))</f>
        <v/>
      </c>
      <c r="N369">
        <f>IF(B369="","",IFERROR(SUMPRODUCT((LEN(Employees!$A$3:$A$500)&gt;0)*(Employees!$B$3:$B$500="Manager")*(Employees!$U$3:$U$500=1)*(COUNTIFS($B$3:$B$500,Employees!$A$3:$A$500,$H$3:$H$500,"Approved",$D$3:$D$500,"&lt;="&amp;E369,$E$3:$E$500,"&gt;="&amp;D369,$A$3:$A$500,"&lt;&gt;"&amp;A369)=0)),0))</f>
        <v/>
      </c>
      <c r="O369">
        <f>IF(B369="","",IFERROR(SUMPRODUCT((LEN(Employees!$A$3:$A$500)&gt;0)*(Employees!$V$3:$V$500=1)*(COUNTIFS($B$3:$B$500,Employees!$A$3:$A$500,$H$3:$H$500,"Approved",$D$3:$D$500,"&lt;="&amp;E369,$E$3:$E$500,"&gt;="&amp;D369,$A$3:$A$500,"&lt;&gt;"&amp;A369)=0)),0))</f>
        <v/>
      </c>
      <c r="P369">
        <f>IF(B369="","",IFERROR(SUMPRODUCT((LEN(Employees!$A$3:$A$500)&gt;0)*(Employees!$W$3:$W$500=1)*(COUNTIFS($B$3:$B$500,Employees!$A$3:$A$500,$H$3:$H$500,"Approved",$D$3:$D$500,"&lt;="&amp;E369,$E$3:$E$500,"&gt;="&amp;D369,$A$3:$A$500,"&lt;&gt;"&amp;A369)=0)),0))</f>
        <v/>
      </c>
      <c r="Q369">
        <f>IF(B369="","",IFERROR(SUMPRODUCT((LEN(Employees!$A$3:$A$500)&gt;0)*(Employees!$N$3:$N$500=1)*(COUNTIFS($B$3:$B$500,Employees!$A$3:$A$500,$H$3:$H$500,"Approved",$D$3:$D$500,"&lt;="&amp;E369,$E$3:$E$500,"&gt;="&amp;D369,$A$3:$A$500,"&lt;&gt;"&amp;A369)&gt;0)),0))</f>
        <v/>
      </c>
      <c r="R369">
        <f>IF(B369="","",IFERROR(SUMPRODUCT((LEN(Employees!$A$3:$A$500)&gt;0)*(Employees!$O$3:$O$500=1)*(COUNTIFS($B$3:$B$500,Employees!$A$3:$A$500,$H$3:$H$500,"Approved",$D$3:$D$500,"&lt;="&amp;E369,$E$3:$E$500,"&gt;="&amp;D369,$A$3:$A$500,"&lt;&gt;"&amp;A369)&gt;0)),0))</f>
        <v/>
      </c>
      <c r="S369">
        <f>IF(OR(B369="",IFERROR(XLOOKUP(B369,Employees!$A$3:$A$500,Employees!$G$3:$G$500,""),"")=""),"",IFERROR(SUMPRODUCT((LEN(Employees!$A$3:$A$500)&gt;0)*(Employees!$G$3:$G$500=IFERROR(XLOOKUP(B369,Employees!$A$3:$A$500,Employees!$G$3:$G$500,""),""))*(COUNTIFS($B$3:$B$500,Employees!$A$3:$A$500,$H$3:$H$500,"Approved",$D$3:$D$500,"&lt;="&amp;E369,$E$3:$E$500,"&gt;="&amp;D369,$A$3:$A$500,"&lt;&gt;"&amp;A369)&gt;0)),0))</f>
        <v/>
      </c>
    </row>
    <row r="370">
      <c r="C370">
        <f>IFERROR(XLOOKUP(B370,Employees!$A$3:$A$500,Employees!$B$3:$B$500,""),"")</f>
        <v/>
      </c>
      <c r="I370">
        <f>IF(AND(B370&lt;&gt;"",D370&lt;&gt;"",E370&lt;&gt;""),E370-D370+1,"")</f>
        <v/>
      </c>
      <c r="J370">
        <f>IF(OR(B370="",D370="",E370=""),"",IF(OR(L370&lt;'Coverage Rules'!E7,M370&lt;'Coverage Rules'!E8,N370&lt;'Coverage Rules'!C8,O370&lt;'Coverage Rules'!E9,P370&lt;'Coverage Rules'!E10,Q370&gt;='Coverage Rules'!B16,R370&gt;='Coverage Rules'!B17,IF(S370="",FALSE,S370&gt;='Coverage Rules'!D24)),"Denied","OK"))</f>
        <v/>
      </c>
      <c r="L370">
        <f>IF(B370="","",IFERROR(SUMPRODUCT((LEN(Employees!$A$3:$A$500)&gt;0)*(Employees!$T$3:$T$500=1)*(COUNTIFS($B$3:$B$500,Employees!$A$3:$A$500,$H$3:$H$500,"Approved",$D$3:$D$500,"&lt;="&amp;E370,$E$3:$E$500,"&gt;="&amp;D370,$A$3:$A$500,"&lt;&gt;"&amp;A370)=0)),0))</f>
        <v/>
      </c>
      <c r="M370">
        <f>IF(B370="","",IFERROR(SUMPRODUCT((LEN(Employees!$A$3:$A$500)&gt;0)*(Employees!$U$3:$U$500=1)*(COUNTIFS($B$3:$B$500,Employees!$A$3:$A$500,$H$3:$H$500,"Approved",$D$3:$D$500,"&lt;="&amp;E370,$E$3:$E$500,"&gt;="&amp;D370,$A$3:$A$500,"&lt;&gt;"&amp;A370)=0)),0))</f>
        <v/>
      </c>
      <c r="N370">
        <f>IF(B370="","",IFERROR(SUMPRODUCT((LEN(Employees!$A$3:$A$500)&gt;0)*(Employees!$B$3:$B$500="Manager")*(Employees!$U$3:$U$500=1)*(COUNTIFS($B$3:$B$500,Employees!$A$3:$A$500,$H$3:$H$500,"Approved",$D$3:$D$500,"&lt;="&amp;E370,$E$3:$E$500,"&gt;="&amp;D370,$A$3:$A$500,"&lt;&gt;"&amp;A370)=0)),0))</f>
        <v/>
      </c>
      <c r="O370">
        <f>IF(B370="","",IFERROR(SUMPRODUCT((LEN(Employees!$A$3:$A$500)&gt;0)*(Employees!$V$3:$V$500=1)*(COUNTIFS($B$3:$B$500,Employees!$A$3:$A$500,$H$3:$H$500,"Approved",$D$3:$D$500,"&lt;="&amp;E370,$E$3:$E$500,"&gt;="&amp;D370,$A$3:$A$500,"&lt;&gt;"&amp;A370)=0)),0))</f>
        <v/>
      </c>
      <c r="P370">
        <f>IF(B370="","",IFERROR(SUMPRODUCT((LEN(Employees!$A$3:$A$500)&gt;0)*(Employees!$W$3:$W$500=1)*(COUNTIFS($B$3:$B$500,Employees!$A$3:$A$500,$H$3:$H$500,"Approved",$D$3:$D$500,"&lt;="&amp;E370,$E$3:$E$500,"&gt;="&amp;D370,$A$3:$A$500,"&lt;&gt;"&amp;A370)=0)),0))</f>
        <v/>
      </c>
      <c r="Q370">
        <f>IF(B370="","",IFERROR(SUMPRODUCT((LEN(Employees!$A$3:$A$500)&gt;0)*(Employees!$N$3:$N$500=1)*(COUNTIFS($B$3:$B$500,Employees!$A$3:$A$500,$H$3:$H$500,"Approved",$D$3:$D$500,"&lt;="&amp;E370,$E$3:$E$500,"&gt;="&amp;D370,$A$3:$A$500,"&lt;&gt;"&amp;A370)&gt;0)),0))</f>
        <v/>
      </c>
      <c r="R370">
        <f>IF(B370="","",IFERROR(SUMPRODUCT((LEN(Employees!$A$3:$A$500)&gt;0)*(Employees!$O$3:$O$500=1)*(COUNTIFS($B$3:$B$500,Employees!$A$3:$A$500,$H$3:$H$500,"Approved",$D$3:$D$500,"&lt;="&amp;E370,$E$3:$E$500,"&gt;="&amp;D370,$A$3:$A$500,"&lt;&gt;"&amp;A370)&gt;0)),0))</f>
        <v/>
      </c>
      <c r="S370">
        <f>IF(OR(B370="",IFERROR(XLOOKUP(B370,Employees!$A$3:$A$500,Employees!$G$3:$G$500,""),"")=""),"",IFERROR(SUMPRODUCT((LEN(Employees!$A$3:$A$500)&gt;0)*(Employees!$G$3:$G$500=IFERROR(XLOOKUP(B370,Employees!$A$3:$A$500,Employees!$G$3:$G$500,""),""))*(COUNTIFS($B$3:$B$500,Employees!$A$3:$A$500,$H$3:$H$500,"Approved",$D$3:$D$500,"&lt;="&amp;E370,$E$3:$E$500,"&gt;="&amp;D370,$A$3:$A$500,"&lt;&gt;"&amp;A370)&gt;0)),0))</f>
        <v/>
      </c>
    </row>
    <row r="371">
      <c r="C371">
        <f>IFERROR(XLOOKUP(B371,Employees!$A$3:$A$500,Employees!$B$3:$B$500,""),"")</f>
        <v/>
      </c>
      <c r="I371">
        <f>IF(AND(B371&lt;&gt;"",D371&lt;&gt;"",E371&lt;&gt;""),E371-D371+1,"")</f>
        <v/>
      </c>
      <c r="J371">
        <f>IF(OR(B371="",D371="",E371=""),"",IF(OR(L371&lt;'Coverage Rules'!E7,M371&lt;'Coverage Rules'!E8,N371&lt;'Coverage Rules'!C8,O371&lt;'Coverage Rules'!E9,P371&lt;'Coverage Rules'!E10,Q371&gt;='Coverage Rules'!B16,R371&gt;='Coverage Rules'!B17,IF(S371="",FALSE,S371&gt;='Coverage Rules'!D24)),"Denied","OK"))</f>
        <v/>
      </c>
      <c r="L371">
        <f>IF(B371="","",IFERROR(SUMPRODUCT((LEN(Employees!$A$3:$A$500)&gt;0)*(Employees!$T$3:$T$500=1)*(COUNTIFS($B$3:$B$500,Employees!$A$3:$A$500,$H$3:$H$500,"Approved",$D$3:$D$500,"&lt;="&amp;E371,$E$3:$E$500,"&gt;="&amp;D371,$A$3:$A$500,"&lt;&gt;"&amp;A371)=0)),0))</f>
        <v/>
      </c>
      <c r="M371">
        <f>IF(B371="","",IFERROR(SUMPRODUCT((LEN(Employees!$A$3:$A$500)&gt;0)*(Employees!$U$3:$U$500=1)*(COUNTIFS($B$3:$B$500,Employees!$A$3:$A$500,$H$3:$H$500,"Approved",$D$3:$D$500,"&lt;="&amp;E371,$E$3:$E$500,"&gt;="&amp;D371,$A$3:$A$500,"&lt;&gt;"&amp;A371)=0)),0))</f>
        <v/>
      </c>
      <c r="N371">
        <f>IF(B371="","",IFERROR(SUMPRODUCT((LEN(Employees!$A$3:$A$500)&gt;0)*(Employees!$B$3:$B$500="Manager")*(Employees!$U$3:$U$500=1)*(COUNTIFS($B$3:$B$500,Employees!$A$3:$A$500,$H$3:$H$500,"Approved",$D$3:$D$500,"&lt;="&amp;E371,$E$3:$E$500,"&gt;="&amp;D371,$A$3:$A$500,"&lt;&gt;"&amp;A371)=0)),0))</f>
        <v/>
      </c>
      <c r="O371">
        <f>IF(B371="","",IFERROR(SUMPRODUCT((LEN(Employees!$A$3:$A$500)&gt;0)*(Employees!$V$3:$V$500=1)*(COUNTIFS($B$3:$B$500,Employees!$A$3:$A$500,$H$3:$H$500,"Approved",$D$3:$D$500,"&lt;="&amp;E371,$E$3:$E$500,"&gt;="&amp;D371,$A$3:$A$500,"&lt;&gt;"&amp;A371)=0)),0))</f>
        <v/>
      </c>
      <c r="P371">
        <f>IF(B371="","",IFERROR(SUMPRODUCT((LEN(Employees!$A$3:$A$500)&gt;0)*(Employees!$W$3:$W$500=1)*(COUNTIFS($B$3:$B$500,Employees!$A$3:$A$500,$H$3:$H$500,"Approved",$D$3:$D$500,"&lt;="&amp;E371,$E$3:$E$500,"&gt;="&amp;D371,$A$3:$A$500,"&lt;&gt;"&amp;A371)=0)),0))</f>
        <v/>
      </c>
      <c r="Q371">
        <f>IF(B371="","",IFERROR(SUMPRODUCT((LEN(Employees!$A$3:$A$500)&gt;0)*(Employees!$N$3:$N$500=1)*(COUNTIFS($B$3:$B$500,Employees!$A$3:$A$500,$H$3:$H$500,"Approved",$D$3:$D$500,"&lt;="&amp;E371,$E$3:$E$500,"&gt;="&amp;D371,$A$3:$A$500,"&lt;&gt;"&amp;A371)&gt;0)),0))</f>
        <v/>
      </c>
      <c r="R371">
        <f>IF(B371="","",IFERROR(SUMPRODUCT((LEN(Employees!$A$3:$A$500)&gt;0)*(Employees!$O$3:$O$500=1)*(COUNTIFS($B$3:$B$500,Employees!$A$3:$A$500,$H$3:$H$500,"Approved",$D$3:$D$500,"&lt;="&amp;E371,$E$3:$E$500,"&gt;="&amp;D371,$A$3:$A$500,"&lt;&gt;"&amp;A371)&gt;0)),0))</f>
        <v/>
      </c>
      <c r="S371">
        <f>IF(OR(B371="",IFERROR(XLOOKUP(B371,Employees!$A$3:$A$500,Employees!$G$3:$G$500,""),"")=""),"",IFERROR(SUMPRODUCT((LEN(Employees!$A$3:$A$500)&gt;0)*(Employees!$G$3:$G$500=IFERROR(XLOOKUP(B371,Employees!$A$3:$A$500,Employees!$G$3:$G$500,""),""))*(COUNTIFS($B$3:$B$500,Employees!$A$3:$A$500,$H$3:$H$500,"Approved",$D$3:$D$500,"&lt;="&amp;E371,$E$3:$E$500,"&gt;="&amp;D371,$A$3:$A$500,"&lt;&gt;"&amp;A371)&gt;0)),0))</f>
        <v/>
      </c>
    </row>
    <row r="372">
      <c r="C372">
        <f>IFERROR(XLOOKUP(B372,Employees!$A$3:$A$500,Employees!$B$3:$B$500,""),"")</f>
        <v/>
      </c>
      <c r="I372">
        <f>IF(AND(B372&lt;&gt;"",D372&lt;&gt;"",E372&lt;&gt;""),E372-D372+1,"")</f>
        <v/>
      </c>
      <c r="J372">
        <f>IF(OR(B372="",D372="",E372=""),"",IF(OR(L372&lt;'Coverage Rules'!E7,M372&lt;'Coverage Rules'!E8,N372&lt;'Coverage Rules'!C8,O372&lt;'Coverage Rules'!E9,P372&lt;'Coverage Rules'!E10,Q372&gt;='Coverage Rules'!B16,R372&gt;='Coverage Rules'!B17,IF(S372="",FALSE,S372&gt;='Coverage Rules'!D24)),"Denied","OK"))</f>
        <v/>
      </c>
      <c r="L372">
        <f>IF(B372="","",IFERROR(SUMPRODUCT((LEN(Employees!$A$3:$A$500)&gt;0)*(Employees!$T$3:$T$500=1)*(COUNTIFS($B$3:$B$500,Employees!$A$3:$A$500,$H$3:$H$500,"Approved",$D$3:$D$500,"&lt;="&amp;E372,$E$3:$E$500,"&gt;="&amp;D372,$A$3:$A$500,"&lt;&gt;"&amp;A372)=0)),0))</f>
        <v/>
      </c>
      <c r="M372">
        <f>IF(B372="","",IFERROR(SUMPRODUCT((LEN(Employees!$A$3:$A$500)&gt;0)*(Employees!$U$3:$U$500=1)*(COUNTIFS($B$3:$B$500,Employees!$A$3:$A$500,$H$3:$H$500,"Approved",$D$3:$D$500,"&lt;="&amp;E372,$E$3:$E$500,"&gt;="&amp;D372,$A$3:$A$500,"&lt;&gt;"&amp;A372)=0)),0))</f>
        <v/>
      </c>
      <c r="N372">
        <f>IF(B372="","",IFERROR(SUMPRODUCT((LEN(Employees!$A$3:$A$500)&gt;0)*(Employees!$B$3:$B$500="Manager")*(Employees!$U$3:$U$500=1)*(COUNTIFS($B$3:$B$500,Employees!$A$3:$A$500,$H$3:$H$500,"Approved",$D$3:$D$500,"&lt;="&amp;E372,$E$3:$E$500,"&gt;="&amp;D372,$A$3:$A$500,"&lt;&gt;"&amp;A372)=0)),0))</f>
        <v/>
      </c>
      <c r="O372">
        <f>IF(B372="","",IFERROR(SUMPRODUCT((LEN(Employees!$A$3:$A$500)&gt;0)*(Employees!$V$3:$V$500=1)*(COUNTIFS($B$3:$B$500,Employees!$A$3:$A$500,$H$3:$H$500,"Approved",$D$3:$D$500,"&lt;="&amp;E372,$E$3:$E$500,"&gt;="&amp;D372,$A$3:$A$500,"&lt;&gt;"&amp;A372)=0)),0))</f>
        <v/>
      </c>
      <c r="P372">
        <f>IF(B372="","",IFERROR(SUMPRODUCT((LEN(Employees!$A$3:$A$500)&gt;0)*(Employees!$W$3:$W$500=1)*(COUNTIFS($B$3:$B$500,Employees!$A$3:$A$500,$H$3:$H$500,"Approved",$D$3:$D$500,"&lt;="&amp;E372,$E$3:$E$500,"&gt;="&amp;D372,$A$3:$A$500,"&lt;&gt;"&amp;A372)=0)),0))</f>
        <v/>
      </c>
      <c r="Q372">
        <f>IF(B372="","",IFERROR(SUMPRODUCT((LEN(Employees!$A$3:$A$500)&gt;0)*(Employees!$N$3:$N$500=1)*(COUNTIFS($B$3:$B$500,Employees!$A$3:$A$500,$H$3:$H$500,"Approved",$D$3:$D$500,"&lt;="&amp;E372,$E$3:$E$500,"&gt;="&amp;D372,$A$3:$A$500,"&lt;&gt;"&amp;A372)&gt;0)),0))</f>
        <v/>
      </c>
      <c r="R372">
        <f>IF(B372="","",IFERROR(SUMPRODUCT((LEN(Employees!$A$3:$A$500)&gt;0)*(Employees!$O$3:$O$500=1)*(COUNTIFS($B$3:$B$500,Employees!$A$3:$A$500,$H$3:$H$500,"Approved",$D$3:$D$500,"&lt;="&amp;E372,$E$3:$E$500,"&gt;="&amp;D372,$A$3:$A$500,"&lt;&gt;"&amp;A372)&gt;0)),0))</f>
        <v/>
      </c>
      <c r="S372">
        <f>IF(OR(B372="",IFERROR(XLOOKUP(B372,Employees!$A$3:$A$500,Employees!$G$3:$G$500,""),"")=""),"",IFERROR(SUMPRODUCT((LEN(Employees!$A$3:$A$500)&gt;0)*(Employees!$G$3:$G$500=IFERROR(XLOOKUP(B372,Employees!$A$3:$A$500,Employees!$G$3:$G$500,""),""))*(COUNTIFS($B$3:$B$500,Employees!$A$3:$A$500,$H$3:$H$500,"Approved",$D$3:$D$500,"&lt;="&amp;E372,$E$3:$E$500,"&gt;="&amp;D372,$A$3:$A$500,"&lt;&gt;"&amp;A372)&gt;0)),0))</f>
        <v/>
      </c>
    </row>
    <row r="373">
      <c r="C373">
        <f>IFERROR(XLOOKUP(B373,Employees!$A$3:$A$500,Employees!$B$3:$B$500,""),"")</f>
        <v/>
      </c>
      <c r="I373">
        <f>IF(AND(B373&lt;&gt;"",D373&lt;&gt;"",E373&lt;&gt;""),E373-D373+1,"")</f>
        <v/>
      </c>
      <c r="J373">
        <f>IF(OR(B373="",D373="",E373=""),"",IF(OR(L373&lt;'Coverage Rules'!E7,M373&lt;'Coverage Rules'!E8,N373&lt;'Coverage Rules'!C8,O373&lt;'Coverage Rules'!E9,P373&lt;'Coverage Rules'!E10,Q373&gt;='Coverage Rules'!B16,R373&gt;='Coverage Rules'!B17,IF(S373="",FALSE,S373&gt;='Coverage Rules'!D24)),"Denied","OK"))</f>
        <v/>
      </c>
      <c r="L373">
        <f>IF(B373="","",IFERROR(SUMPRODUCT((LEN(Employees!$A$3:$A$500)&gt;0)*(Employees!$T$3:$T$500=1)*(COUNTIFS($B$3:$B$500,Employees!$A$3:$A$500,$H$3:$H$500,"Approved",$D$3:$D$500,"&lt;="&amp;E373,$E$3:$E$500,"&gt;="&amp;D373,$A$3:$A$500,"&lt;&gt;"&amp;A373)=0)),0))</f>
        <v/>
      </c>
      <c r="M373">
        <f>IF(B373="","",IFERROR(SUMPRODUCT((LEN(Employees!$A$3:$A$500)&gt;0)*(Employees!$U$3:$U$500=1)*(COUNTIFS($B$3:$B$500,Employees!$A$3:$A$500,$H$3:$H$500,"Approved",$D$3:$D$500,"&lt;="&amp;E373,$E$3:$E$500,"&gt;="&amp;D373,$A$3:$A$500,"&lt;&gt;"&amp;A373)=0)),0))</f>
        <v/>
      </c>
      <c r="N373">
        <f>IF(B373="","",IFERROR(SUMPRODUCT((LEN(Employees!$A$3:$A$500)&gt;0)*(Employees!$B$3:$B$500="Manager")*(Employees!$U$3:$U$500=1)*(COUNTIFS($B$3:$B$500,Employees!$A$3:$A$500,$H$3:$H$500,"Approved",$D$3:$D$500,"&lt;="&amp;E373,$E$3:$E$500,"&gt;="&amp;D373,$A$3:$A$500,"&lt;&gt;"&amp;A373)=0)),0))</f>
        <v/>
      </c>
      <c r="O373">
        <f>IF(B373="","",IFERROR(SUMPRODUCT((LEN(Employees!$A$3:$A$500)&gt;0)*(Employees!$V$3:$V$500=1)*(COUNTIFS($B$3:$B$500,Employees!$A$3:$A$500,$H$3:$H$500,"Approved",$D$3:$D$500,"&lt;="&amp;E373,$E$3:$E$500,"&gt;="&amp;D373,$A$3:$A$500,"&lt;&gt;"&amp;A373)=0)),0))</f>
        <v/>
      </c>
      <c r="P373">
        <f>IF(B373="","",IFERROR(SUMPRODUCT((LEN(Employees!$A$3:$A$500)&gt;0)*(Employees!$W$3:$W$500=1)*(COUNTIFS($B$3:$B$500,Employees!$A$3:$A$500,$H$3:$H$500,"Approved",$D$3:$D$500,"&lt;="&amp;E373,$E$3:$E$500,"&gt;="&amp;D373,$A$3:$A$500,"&lt;&gt;"&amp;A373)=0)),0))</f>
        <v/>
      </c>
      <c r="Q373">
        <f>IF(B373="","",IFERROR(SUMPRODUCT((LEN(Employees!$A$3:$A$500)&gt;0)*(Employees!$N$3:$N$500=1)*(COUNTIFS($B$3:$B$500,Employees!$A$3:$A$500,$H$3:$H$500,"Approved",$D$3:$D$500,"&lt;="&amp;E373,$E$3:$E$500,"&gt;="&amp;D373,$A$3:$A$500,"&lt;&gt;"&amp;A373)&gt;0)),0))</f>
        <v/>
      </c>
      <c r="R373">
        <f>IF(B373="","",IFERROR(SUMPRODUCT((LEN(Employees!$A$3:$A$500)&gt;0)*(Employees!$O$3:$O$500=1)*(COUNTIFS($B$3:$B$500,Employees!$A$3:$A$500,$H$3:$H$500,"Approved",$D$3:$D$500,"&lt;="&amp;E373,$E$3:$E$500,"&gt;="&amp;D373,$A$3:$A$500,"&lt;&gt;"&amp;A373)&gt;0)),0))</f>
        <v/>
      </c>
      <c r="S373">
        <f>IF(OR(B373="",IFERROR(XLOOKUP(B373,Employees!$A$3:$A$500,Employees!$G$3:$G$500,""),"")=""),"",IFERROR(SUMPRODUCT((LEN(Employees!$A$3:$A$500)&gt;0)*(Employees!$G$3:$G$500=IFERROR(XLOOKUP(B373,Employees!$A$3:$A$500,Employees!$G$3:$G$500,""),""))*(COUNTIFS($B$3:$B$500,Employees!$A$3:$A$500,$H$3:$H$500,"Approved",$D$3:$D$500,"&lt;="&amp;E373,$E$3:$E$500,"&gt;="&amp;D373,$A$3:$A$500,"&lt;&gt;"&amp;A373)&gt;0)),0))</f>
        <v/>
      </c>
    </row>
    <row r="374">
      <c r="C374">
        <f>IFERROR(XLOOKUP(B374,Employees!$A$3:$A$500,Employees!$B$3:$B$500,""),"")</f>
        <v/>
      </c>
      <c r="I374">
        <f>IF(AND(B374&lt;&gt;"",D374&lt;&gt;"",E374&lt;&gt;""),E374-D374+1,"")</f>
        <v/>
      </c>
      <c r="J374">
        <f>IF(OR(B374="",D374="",E374=""),"",IF(OR(L374&lt;'Coverage Rules'!E7,M374&lt;'Coverage Rules'!E8,N374&lt;'Coverage Rules'!C8,O374&lt;'Coverage Rules'!E9,P374&lt;'Coverage Rules'!E10,Q374&gt;='Coverage Rules'!B16,R374&gt;='Coverage Rules'!B17,IF(S374="",FALSE,S374&gt;='Coverage Rules'!D24)),"Denied","OK"))</f>
        <v/>
      </c>
      <c r="L374">
        <f>IF(B374="","",IFERROR(SUMPRODUCT((LEN(Employees!$A$3:$A$500)&gt;0)*(Employees!$T$3:$T$500=1)*(COUNTIFS($B$3:$B$500,Employees!$A$3:$A$500,$H$3:$H$500,"Approved",$D$3:$D$500,"&lt;="&amp;E374,$E$3:$E$500,"&gt;="&amp;D374,$A$3:$A$500,"&lt;&gt;"&amp;A374)=0)),0))</f>
        <v/>
      </c>
      <c r="M374">
        <f>IF(B374="","",IFERROR(SUMPRODUCT((LEN(Employees!$A$3:$A$500)&gt;0)*(Employees!$U$3:$U$500=1)*(COUNTIFS($B$3:$B$500,Employees!$A$3:$A$500,$H$3:$H$500,"Approved",$D$3:$D$500,"&lt;="&amp;E374,$E$3:$E$500,"&gt;="&amp;D374,$A$3:$A$500,"&lt;&gt;"&amp;A374)=0)),0))</f>
        <v/>
      </c>
      <c r="N374">
        <f>IF(B374="","",IFERROR(SUMPRODUCT((LEN(Employees!$A$3:$A$500)&gt;0)*(Employees!$B$3:$B$500="Manager")*(Employees!$U$3:$U$500=1)*(COUNTIFS($B$3:$B$500,Employees!$A$3:$A$500,$H$3:$H$500,"Approved",$D$3:$D$500,"&lt;="&amp;E374,$E$3:$E$500,"&gt;="&amp;D374,$A$3:$A$500,"&lt;&gt;"&amp;A374)=0)),0))</f>
        <v/>
      </c>
      <c r="O374">
        <f>IF(B374="","",IFERROR(SUMPRODUCT((LEN(Employees!$A$3:$A$500)&gt;0)*(Employees!$V$3:$V$500=1)*(COUNTIFS($B$3:$B$500,Employees!$A$3:$A$500,$H$3:$H$500,"Approved",$D$3:$D$500,"&lt;="&amp;E374,$E$3:$E$500,"&gt;="&amp;D374,$A$3:$A$500,"&lt;&gt;"&amp;A374)=0)),0))</f>
        <v/>
      </c>
      <c r="P374">
        <f>IF(B374="","",IFERROR(SUMPRODUCT((LEN(Employees!$A$3:$A$500)&gt;0)*(Employees!$W$3:$W$500=1)*(COUNTIFS($B$3:$B$500,Employees!$A$3:$A$500,$H$3:$H$500,"Approved",$D$3:$D$500,"&lt;="&amp;E374,$E$3:$E$500,"&gt;="&amp;D374,$A$3:$A$500,"&lt;&gt;"&amp;A374)=0)),0))</f>
        <v/>
      </c>
      <c r="Q374">
        <f>IF(B374="","",IFERROR(SUMPRODUCT((LEN(Employees!$A$3:$A$500)&gt;0)*(Employees!$N$3:$N$500=1)*(COUNTIFS($B$3:$B$500,Employees!$A$3:$A$500,$H$3:$H$500,"Approved",$D$3:$D$500,"&lt;="&amp;E374,$E$3:$E$500,"&gt;="&amp;D374,$A$3:$A$500,"&lt;&gt;"&amp;A374)&gt;0)),0))</f>
        <v/>
      </c>
      <c r="R374">
        <f>IF(B374="","",IFERROR(SUMPRODUCT((LEN(Employees!$A$3:$A$500)&gt;0)*(Employees!$O$3:$O$500=1)*(COUNTIFS($B$3:$B$500,Employees!$A$3:$A$500,$H$3:$H$500,"Approved",$D$3:$D$500,"&lt;="&amp;E374,$E$3:$E$500,"&gt;="&amp;D374,$A$3:$A$500,"&lt;&gt;"&amp;A374)&gt;0)),0))</f>
        <v/>
      </c>
      <c r="S374">
        <f>IF(OR(B374="",IFERROR(XLOOKUP(B374,Employees!$A$3:$A$500,Employees!$G$3:$G$500,""),"")=""),"",IFERROR(SUMPRODUCT((LEN(Employees!$A$3:$A$500)&gt;0)*(Employees!$G$3:$G$500=IFERROR(XLOOKUP(B374,Employees!$A$3:$A$500,Employees!$G$3:$G$500,""),""))*(COUNTIFS($B$3:$B$500,Employees!$A$3:$A$500,$H$3:$H$500,"Approved",$D$3:$D$500,"&lt;="&amp;E374,$E$3:$E$500,"&gt;="&amp;D374,$A$3:$A$500,"&lt;&gt;"&amp;A374)&gt;0)),0))</f>
        <v/>
      </c>
    </row>
    <row r="375">
      <c r="C375">
        <f>IFERROR(XLOOKUP(B375,Employees!$A$3:$A$500,Employees!$B$3:$B$500,""),"")</f>
        <v/>
      </c>
      <c r="I375">
        <f>IF(AND(B375&lt;&gt;"",D375&lt;&gt;"",E375&lt;&gt;""),E375-D375+1,"")</f>
        <v/>
      </c>
      <c r="J375">
        <f>IF(OR(B375="",D375="",E375=""),"",IF(OR(L375&lt;'Coverage Rules'!E7,M375&lt;'Coverage Rules'!E8,N375&lt;'Coverage Rules'!C8,O375&lt;'Coverage Rules'!E9,P375&lt;'Coverage Rules'!E10,Q375&gt;='Coverage Rules'!B16,R375&gt;='Coverage Rules'!B17,IF(S375="",FALSE,S375&gt;='Coverage Rules'!D24)),"Denied","OK"))</f>
        <v/>
      </c>
      <c r="L375">
        <f>IF(B375="","",IFERROR(SUMPRODUCT((LEN(Employees!$A$3:$A$500)&gt;0)*(Employees!$T$3:$T$500=1)*(COUNTIFS($B$3:$B$500,Employees!$A$3:$A$500,$H$3:$H$500,"Approved",$D$3:$D$500,"&lt;="&amp;E375,$E$3:$E$500,"&gt;="&amp;D375,$A$3:$A$500,"&lt;&gt;"&amp;A375)=0)),0))</f>
        <v/>
      </c>
      <c r="M375">
        <f>IF(B375="","",IFERROR(SUMPRODUCT((LEN(Employees!$A$3:$A$500)&gt;0)*(Employees!$U$3:$U$500=1)*(COUNTIFS($B$3:$B$500,Employees!$A$3:$A$500,$H$3:$H$500,"Approved",$D$3:$D$500,"&lt;="&amp;E375,$E$3:$E$500,"&gt;="&amp;D375,$A$3:$A$500,"&lt;&gt;"&amp;A375)=0)),0))</f>
        <v/>
      </c>
      <c r="N375">
        <f>IF(B375="","",IFERROR(SUMPRODUCT((LEN(Employees!$A$3:$A$500)&gt;0)*(Employees!$B$3:$B$500="Manager")*(Employees!$U$3:$U$500=1)*(COUNTIFS($B$3:$B$500,Employees!$A$3:$A$500,$H$3:$H$500,"Approved",$D$3:$D$500,"&lt;="&amp;E375,$E$3:$E$500,"&gt;="&amp;D375,$A$3:$A$500,"&lt;&gt;"&amp;A375)=0)),0))</f>
        <v/>
      </c>
      <c r="O375">
        <f>IF(B375="","",IFERROR(SUMPRODUCT((LEN(Employees!$A$3:$A$500)&gt;0)*(Employees!$V$3:$V$500=1)*(COUNTIFS($B$3:$B$500,Employees!$A$3:$A$500,$H$3:$H$500,"Approved",$D$3:$D$500,"&lt;="&amp;E375,$E$3:$E$500,"&gt;="&amp;D375,$A$3:$A$500,"&lt;&gt;"&amp;A375)=0)),0))</f>
        <v/>
      </c>
      <c r="P375">
        <f>IF(B375="","",IFERROR(SUMPRODUCT((LEN(Employees!$A$3:$A$500)&gt;0)*(Employees!$W$3:$W$500=1)*(COUNTIFS($B$3:$B$500,Employees!$A$3:$A$500,$H$3:$H$500,"Approved",$D$3:$D$500,"&lt;="&amp;E375,$E$3:$E$500,"&gt;="&amp;D375,$A$3:$A$500,"&lt;&gt;"&amp;A375)=0)),0))</f>
        <v/>
      </c>
      <c r="Q375">
        <f>IF(B375="","",IFERROR(SUMPRODUCT((LEN(Employees!$A$3:$A$500)&gt;0)*(Employees!$N$3:$N$500=1)*(COUNTIFS($B$3:$B$500,Employees!$A$3:$A$500,$H$3:$H$500,"Approved",$D$3:$D$500,"&lt;="&amp;E375,$E$3:$E$500,"&gt;="&amp;D375,$A$3:$A$500,"&lt;&gt;"&amp;A375)&gt;0)),0))</f>
        <v/>
      </c>
      <c r="R375">
        <f>IF(B375="","",IFERROR(SUMPRODUCT((LEN(Employees!$A$3:$A$500)&gt;0)*(Employees!$O$3:$O$500=1)*(COUNTIFS($B$3:$B$500,Employees!$A$3:$A$500,$H$3:$H$500,"Approved",$D$3:$D$500,"&lt;="&amp;E375,$E$3:$E$500,"&gt;="&amp;D375,$A$3:$A$500,"&lt;&gt;"&amp;A375)&gt;0)),0))</f>
        <v/>
      </c>
      <c r="S375">
        <f>IF(OR(B375="",IFERROR(XLOOKUP(B375,Employees!$A$3:$A$500,Employees!$G$3:$G$500,""),"")=""),"",IFERROR(SUMPRODUCT((LEN(Employees!$A$3:$A$500)&gt;0)*(Employees!$G$3:$G$500=IFERROR(XLOOKUP(B375,Employees!$A$3:$A$500,Employees!$G$3:$G$500,""),""))*(COUNTIFS($B$3:$B$500,Employees!$A$3:$A$500,$H$3:$H$500,"Approved",$D$3:$D$500,"&lt;="&amp;E375,$E$3:$E$500,"&gt;="&amp;D375,$A$3:$A$500,"&lt;&gt;"&amp;A375)&gt;0)),0))</f>
        <v/>
      </c>
    </row>
    <row r="376">
      <c r="C376">
        <f>IFERROR(XLOOKUP(B376,Employees!$A$3:$A$500,Employees!$B$3:$B$500,""),"")</f>
        <v/>
      </c>
      <c r="I376">
        <f>IF(AND(B376&lt;&gt;"",D376&lt;&gt;"",E376&lt;&gt;""),E376-D376+1,"")</f>
        <v/>
      </c>
      <c r="J376">
        <f>IF(OR(B376="",D376="",E376=""),"",IF(OR(L376&lt;'Coverage Rules'!E7,M376&lt;'Coverage Rules'!E8,N376&lt;'Coverage Rules'!C8,O376&lt;'Coverage Rules'!E9,P376&lt;'Coverage Rules'!E10,Q376&gt;='Coverage Rules'!B16,R376&gt;='Coverage Rules'!B17,IF(S376="",FALSE,S376&gt;='Coverage Rules'!D24)),"Denied","OK"))</f>
        <v/>
      </c>
      <c r="L376">
        <f>IF(B376="","",IFERROR(SUMPRODUCT((LEN(Employees!$A$3:$A$500)&gt;0)*(Employees!$T$3:$T$500=1)*(COUNTIFS($B$3:$B$500,Employees!$A$3:$A$500,$H$3:$H$500,"Approved",$D$3:$D$500,"&lt;="&amp;E376,$E$3:$E$500,"&gt;="&amp;D376,$A$3:$A$500,"&lt;&gt;"&amp;A376)=0)),0))</f>
        <v/>
      </c>
      <c r="M376">
        <f>IF(B376="","",IFERROR(SUMPRODUCT((LEN(Employees!$A$3:$A$500)&gt;0)*(Employees!$U$3:$U$500=1)*(COUNTIFS($B$3:$B$500,Employees!$A$3:$A$500,$H$3:$H$500,"Approved",$D$3:$D$500,"&lt;="&amp;E376,$E$3:$E$500,"&gt;="&amp;D376,$A$3:$A$500,"&lt;&gt;"&amp;A376)=0)),0))</f>
        <v/>
      </c>
      <c r="N376">
        <f>IF(B376="","",IFERROR(SUMPRODUCT((LEN(Employees!$A$3:$A$500)&gt;0)*(Employees!$B$3:$B$500="Manager")*(Employees!$U$3:$U$500=1)*(COUNTIFS($B$3:$B$500,Employees!$A$3:$A$500,$H$3:$H$500,"Approved",$D$3:$D$500,"&lt;="&amp;E376,$E$3:$E$500,"&gt;="&amp;D376,$A$3:$A$500,"&lt;&gt;"&amp;A376)=0)),0))</f>
        <v/>
      </c>
      <c r="O376">
        <f>IF(B376="","",IFERROR(SUMPRODUCT((LEN(Employees!$A$3:$A$500)&gt;0)*(Employees!$V$3:$V$500=1)*(COUNTIFS($B$3:$B$500,Employees!$A$3:$A$500,$H$3:$H$500,"Approved",$D$3:$D$500,"&lt;="&amp;E376,$E$3:$E$500,"&gt;="&amp;D376,$A$3:$A$500,"&lt;&gt;"&amp;A376)=0)),0))</f>
        <v/>
      </c>
      <c r="P376">
        <f>IF(B376="","",IFERROR(SUMPRODUCT((LEN(Employees!$A$3:$A$500)&gt;0)*(Employees!$W$3:$W$500=1)*(COUNTIFS($B$3:$B$500,Employees!$A$3:$A$500,$H$3:$H$500,"Approved",$D$3:$D$500,"&lt;="&amp;E376,$E$3:$E$500,"&gt;="&amp;D376,$A$3:$A$500,"&lt;&gt;"&amp;A376)=0)),0))</f>
        <v/>
      </c>
      <c r="Q376">
        <f>IF(B376="","",IFERROR(SUMPRODUCT((LEN(Employees!$A$3:$A$500)&gt;0)*(Employees!$N$3:$N$500=1)*(COUNTIFS($B$3:$B$500,Employees!$A$3:$A$500,$H$3:$H$500,"Approved",$D$3:$D$500,"&lt;="&amp;E376,$E$3:$E$500,"&gt;="&amp;D376,$A$3:$A$500,"&lt;&gt;"&amp;A376)&gt;0)),0))</f>
        <v/>
      </c>
      <c r="R376">
        <f>IF(B376="","",IFERROR(SUMPRODUCT((LEN(Employees!$A$3:$A$500)&gt;0)*(Employees!$O$3:$O$500=1)*(COUNTIFS($B$3:$B$500,Employees!$A$3:$A$500,$H$3:$H$500,"Approved",$D$3:$D$500,"&lt;="&amp;E376,$E$3:$E$500,"&gt;="&amp;D376,$A$3:$A$500,"&lt;&gt;"&amp;A376)&gt;0)),0))</f>
        <v/>
      </c>
      <c r="S376">
        <f>IF(OR(B376="",IFERROR(XLOOKUP(B376,Employees!$A$3:$A$500,Employees!$G$3:$G$500,""),"")=""),"",IFERROR(SUMPRODUCT((LEN(Employees!$A$3:$A$500)&gt;0)*(Employees!$G$3:$G$500=IFERROR(XLOOKUP(B376,Employees!$A$3:$A$500,Employees!$G$3:$G$500,""),""))*(COUNTIFS($B$3:$B$500,Employees!$A$3:$A$500,$H$3:$H$500,"Approved",$D$3:$D$500,"&lt;="&amp;E376,$E$3:$E$500,"&gt;="&amp;D376,$A$3:$A$500,"&lt;&gt;"&amp;A376)&gt;0)),0))</f>
        <v/>
      </c>
    </row>
    <row r="377">
      <c r="C377">
        <f>IFERROR(XLOOKUP(B377,Employees!$A$3:$A$500,Employees!$B$3:$B$500,""),"")</f>
        <v/>
      </c>
      <c r="I377">
        <f>IF(AND(B377&lt;&gt;"",D377&lt;&gt;"",E377&lt;&gt;""),E377-D377+1,"")</f>
        <v/>
      </c>
      <c r="J377">
        <f>IF(OR(B377="",D377="",E377=""),"",IF(OR(L377&lt;'Coverage Rules'!E7,M377&lt;'Coverage Rules'!E8,N377&lt;'Coverage Rules'!C8,O377&lt;'Coverage Rules'!E9,P377&lt;'Coverage Rules'!E10,Q377&gt;='Coverage Rules'!B16,R377&gt;='Coverage Rules'!B17,IF(S377="",FALSE,S377&gt;='Coverage Rules'!D24)),"Denied","OK"))</f>
        <v/>
      </c>
      <c r="L377">
        <f>IF(B377="","",IFERROR(SUMPRODUCT((LEN(Employees!$A$3:$A$500)&gt;0)*(Employees!$T$3:$T$500=1)*(COUNTIFS($B$3:$B$500,Employees!$A$3:$A$500,$H$3:$H$500,"Approved",$D$3:$D$500,"&lt;="&amp;E377,$E$3:$E$500,"&gt;="&amp;D377,$A$3:$A$500,"&lt;&gt;"&amp;A377)=0)),0))</f>
        <v/>
      </c>
      <c r="M377">
        <f>IF(B377="","",IFERROR(SUMPRODUCT((LEN(Employees!$A$3:$A$500)&gt;0)*(Employees!$U$3:$U$500=1)*(COUNTIFS($B$3:$B$500,Employees!$A$3:$A$500,$H$3:$H$500,"Approved",$D$3:$D$500,"&lt;="&amp;E377,$E$3:$E$500,"&gt;="&amp;D377,$A$3:$A$500,"&lt;&gt;"&amp;A377)=0)),0))</f>
        <v/>
      </c>
      <c r="N377">
        <f>IF(B377="","",IFERROR(SUMPRODUCT((LEN(Employees!$A$3:$A$500)&gt;0)*(Employees!$B$3:$B$500="Manager")*(Employees!$U$3:$U$500=1)*(COUNTIFS($B$3:$B$500,Employees!$A$3:$A$500,$H$3:$H$500,"Approved",$D$3:$D$500,"&lt;="&amp;E377,$E$3:$E$500,"&gt;="&amp;D377,$A$3:$A$500,"&lt;&gt;"&amp;A377)=0)),0))</f>
        <v/>
      </c>
      <c r="O377">
        <f>IF(B377="","",IFERROR(SUMPRODUCT((LEN(Employees!$A$3:$A$500)&gt;0)*(Employees!$V$3:$V$500=1)*(COUNTIFS($B$3:$B$500,Employees!$A$3:$A$500,$H$3:$H$500,"Approved",$D$3:$D$500,"&lt;="&amp;E377,$E$3:$E$500,"&gt;="&amp;D377,$A$3:$A$500,"&lt;&gt;"&amp;A377)=0)),0))</f>
        <v/>
      </c>
      <c r="P377">
        <f>IF(B377="","",IFERROR(SUMPRODUCT((LEN(Employees!$A$3:$A$500)&gt;0)*(Employees!$W$3:$W$500=1)*(COUNTIFS($B$3:$B$500,Employees!$A$3:$A$500,$H$3:$H$500,"Approved",$D$3:$D$500,"&lt;="&amp;E377,$E$3:$E$500,"&gt;="&amp;D377,$A$3:$A$500,"&lt;&gt;"&amp;A377)=0)),0))</f>
        <v/>
      </c>
      <c r="Q377">
        <f>IF(B377="","",IFERROR(SUMPRODUCT((LEN(Employees!$A$3:$A$500)&gt;0)*(Employees!$N$3:$N$500=1)*(COUNTIFS($B$3:$B$500,Employees!$A$3:$A$500,$H$3:$H$500,"Approved",$D$3:$D$500,"&lt;="&amp;E377,$E$3:$E$500,"&gt;="&amp;D377,$A$3:$A$500,"&lt;&gt;"&amp;A377)&gt;0)),0))</f>
        <v/>
      </c>
      <c r="R377">
        <f>IF(B377="","",IFERROR(SUMPRODUCT((LEN(Employees!$A$3:$A$500)&gt;0)*(Employees!$O$3:$O$500=1)*(COUNTIFS($B$3:$B$500,Employees!$A$3:$A$500,$H$3:$H$500,"Approved",$D$3:$D$500,"&lt;="&amp;E377,$E$3:$E$500,"&gt;="&amp;D377,$A$3:$A$500,"&lt;&gt;"&amp;A377)&gt;0)),0))</f>
        <v/>
      </c>
      <c r="S377">
        <f>IF(OR(B377="",IFERROR(XLOOKUP(B377,Employees!$A$3:$A$500,Employees!$G$3:$G$500,""),"")=""),"",IFERROR(SUMPRODUCT((LEN(Employees!$A$3:$A$500)&gt;0)*(Employees!$G$3:$G$500=IFERROR(XLOOKUP(B377,Employees!$A$3:$A$500,Employees!$G$3:$G$500,""),""))*(COUNTIFS($B$3:$B$500,Employees!$A$3:$A$500,$H$3:$H$500,"Approved",$D$3:$D$500,"&lt;="&amp;E377,$E$3:$E$500,"&gt;="&amp;D377,$A$3:$A$500,"&lt;&gt;"&amp;A377)&gt;0)),0))</f>
        <v/>
      </c>
    </row>
    <row r="378">
      <c r="C378">
        <f>IFERROR(XLOOKUP(B378,Employees!$A$3:$A$500,Employees!$B$3:$B$500,""),"")</f>
        <v/>
      </c>
      <c r="I378">
        <f>IF(AND(B378&lt;&gt;"",D378&lt;&gt;"",E378&lt;&gt;""),E378-D378+1,"")</f>
        <v/>
      </c>
      <c r="J378">
        <f>IF(OR(B378="",D378="",E378=""),"",IF(OR(L378&lt;'Coverage Rules'!E7,M378&lt;'Coverage Rules'!E8,N378&lt;'Coverage Rules'!C8,O378&lt;'Coverage Rules'!E9,P378&lt;'Coverage Rules'!E10,Q378&gt;='Coverage Rules'!B16,R378&gt;='Coverage Rules'!B17,IF(S378="",FALSE,S378&gt;='Coverage Rules'!D24)),"Denied","OK"))</f>
        <v/>
      </c>
      <c r="L378">
        <f>IF(B378="","",IFERROR(SUMPRODUCT((LEN(Employees!$A$3:$A$500)&gt;0)*(Employees!$T$3:$T$500=1)*(COUNTIFS($B$3:$B$500,Employees!$A$3:$A$500,$H$3:$H$500,"Approved",$D$3:$D$500,"&lt;="&amp;E378,$E$3:$E$500,"&gt;="&amp;D378,$A$3:$A$500,"&lt;&gt;"&amp;A378)=0)),0))</f>
        <v/>
      </c>
      <c r="M378">
        <f>IF(B378="","",IFERROR(SUMPRODUCT((LEN(Employees!$A$3:$A$500)&gt;0)*(Employees!$U$3:$U$500=1)*(COUNTIFS($B$3:$B$500,Employees!$A$3:$A$500,$H$3:$H$500,"Approved",$D$3:$D$500,"&lt;="&amp;E378,$E$3:$E$500,"&gt;="&amp;D378,$A$3:$A$500,"&lt;&gt;"&amp;A378)=0)),0))</f>
        <v/>
      </c>
      <c r="N378">
        <f>IF(B378="","",IFERROR(SUMPRODUCT((LEN(Employees!$A$3:$A$500)&gt;0)*(Employees!$B$3:$B$500="Manager")*(Employees!$U$3:$U$500=1)*(COUNTIFS($B$3:$B$500,Employees!$A$3:$A$500,$H$3:$H$500,"Approved",$D$3:$D$500,"&lt;="&amp;E378,$E$3:$E$500,"&gt;="&amp;D378,$A$3:$A$500,"&lt;&gt;"&amp;A378)=0)),0))</f>
        <v/>
      </c>
      <c r="O378">
        <f>IF(B378="","",IFERROR(SUMPRODUCT((LEN(Employees!$A$3:$A$500)&gt;0)*(Employees!$V$3:$V$500=1)*(COUNTIFS($B$3:$B$500,Employees!$A$3:$A$500,$H$3:$H$500,"Approved",$D$3:$D$500,"&lt;="&amp;E378,$E$3:$E$500,"&gt;="&amp;D378,$A$3:$A$500,"&lt;&gt;"&amp;A378)=0)),0))</f>
        <v/>
      </c>
      <c r="P378">
        <f>IF(B378="","",IFERROR(SUMPRODUCT((LEN(Employees!$A$3:$A$500)&gt;0)*(Employees!$W$3:$W$500=1)*(COUNTIFS($B$3:$B$500,Employees!$A$3:$A$500,$H$3:$H$500,"Approved",$D$3:$D$500,"&lt;="&amp;E378,$E$3:$E$500,"&gt;="&amp;D378,$A$3:$A$500,"&lt;&gt;"&amp;A378)=0)),0))</f>
        <v/>
      </c>
      <c r="Q378">
        <f>IF(B378="","",IFERROR(SUMPRODUCT((LEN(Employees!$A$3:$A$500)&gt;0)*(Employees!$N$3:$N$500=1)*(COUNTIFS($B$3:$B$500,Employees!$A$3:$A$500,$H$3:$H$500,"Approved",$D$3:$D$500,"&lt;="&amp;E378,$E$3:$E$500,"&gt;="&amp;D378,$A$3:$A$500,"&lt;&gt;"&amp;A378)&gt;0)),0))</f>
        <v/>
      </c>
      <c r="R378">
        <f>IF(B378="","",IFERROR(SUMPRODUCT((LEN(Employees!$A$3:$A$500)&gt;0)*(Employees!$O$3:$O$500=1)*(COUNTIFS($B$3:$B$500,Employees!$A$3:$A$500,$H$3:$H$500,"Approved",$D$3:$D$500,"&lt;="&amp;E378,$E$3:$E$500,"&gt;="&amp;D378,$A$3:$A$500,"&lt;&gt;"&amp;A378)&gt;0)),0))</f>
        <v/>
      </c>
      <c r="S378">
        <f>IF(OR(B378="",IFERROR(XLOOKUP(B378,Employees!$A$3:$A$500,Employees!$G$3:$G$500,""),"")=""),"",IFERROR(SUMPRODUCT((LEN(Employees!$A$3:$A$500)&gt;0)*(Employees!$G$3:$G$500=IFERROR(XLOOKUP(B378,Employees!$A$3:$A$500,Employees!$G$3:$G$500,""),""))*(COUNTIFS($B$3:$B$500,Employees!$A$3:$A$500,$H$3:$H$500,"Approved",$D$3:$D$500,"&lt;="&amp;E378,$E$3:$E$500,"&gt;="&amp;D378,$A$3:$A$500,"&lt;&gt;"&amp;A378)&gt;0)),0))</f>
        <v/>
      </c>
    </row>
    <row r="379">
      <c r="C379">
        <f>IFERROR(XLOOKUP(B379,Employees!$A$3:$A$500,Employees!$B$3:$B$500,""),"")</f>
        <v/>
      </c>
      <c r="I379">
        <f>IF(AND(B379&lt;&gt;"",D379&lt;&gt;"",E379&lt;&gt;""),E379-D379+1,"")</f>
        <v/>
      </c>
      <c r="J379">
        <f>IF(OR(B379="",D379="",E379=""),"",IF(OR(L379&lt;'Coverage Rules'!E7,M379&lt;'Coverage Rules'!E8,N379&lt;'Coverage Rules'!C8,O379&lt;'Coverage Rules'!E9,P379&lt;'Coverage Rules'!E10,Q379&gt;='Coverage Rules'!B16,R379&gt;='Coverage Rules'!B17,IF(S379="",FALSE,S379&gt;='Coverage Rules'!D24)),"Denied","OK"))</f>
        <v/>
      </c>
      <c r="L379">
        <f>IF(B379="","",IFERROR(SUMPRODUCT((LEN(Employees!$A$3:$A$500)&gt;0)*(Employees!$T$3:$T$500=1)*(COUNTIFS($B$3:$B$500,Employees!$A$3:$A$500,$H$3:$H$500,"Approved",$D$3:$D$500,"&lt;="&amp;E379,$E$3:$E$500,"&gt;="&amp;D379,$A$3:$A$500,"&lt;&gt;"&amp;A379)=0)),0))</f>
        <v/>
      </c>
      <c r="M379">
        <f>IF(B379="","",IFERROR(SUMPRODUCT((LEN(Employees!$A$3:$A$500)&gt;0)*(Employees!$U$3:$U$500=1)*(COUNTIFS($B$3:$B$500,Employees!$A$3:$A$500,$H$3:$H$500,"Approved",$D$3:$D$500,"&lt;="&amp;E379,$E$3:$E$500,"&gt;="&amp;D379,$A$3:$A$500,"&lt;&gt;"&amp;A379)=0)),0))</f>
        <v/>
      </c>
      <c r="N379">
        <f>IF(B379="","",IFERROR(SUMPRODUCT((LEN(Employees!$A$3:$A$500)&gt;0)*(Employees!$B$3:$B$500="Manager")*(Employees!$U$3:$U$500=1)*(COUNTIFS($B$3:$B$500,Employees!$A$3:$A$500,$H$3:$H$500,"Approved",$D$3:$D$500,"&lt;="&amp;E379,$E$3:$E$500,"&gt;="&amp;D379,$A$3:$A$500,"&lt;&gt;"&amp;A379)=0)),0))</f>
        <v/>
      </c>
      <c r="O379">
        <f>IF(B379="","",IFERROR(SUMPRODUCT((LEN(Employees!$A$3:$A$500)&gt;0)*(Employees!$V$3:$V$500=1)*(COUNTIFS($B$3:$B$500,Employees!$A$3:$A$500,$H$3:$H$500,"Approved",$D$3:$D$500,"&lt;="&amp;E379,$E$3:$E$500,"&gt;="&amp;D379,$A$3:$A$500,"&lt;&gt;"&amp;A379)=0)),0))</f>
        <v/>
      </c>
      <c r="P379">
        <f>IF(B379="","",IFERROR(SUMPRODUCT((LEN(Employees!$A$3:$A$500)&gt;0)*(Employees!$W$3:$W$500=1)*(COUNTIFS($B$3:$B$500,Employees!$A$3:$A$500,$H$3:$H$500,"Approved",$D$3:$D$500,"&lt;="&amp;E379,$E$3:$E$500,"&gt;="&amp;D379,$A$3:$A$500,"&lt;&gt;"&amp;A379)=0)),0))</f>
        <v/>
      </c>
      <c r="Q379">
        <f>IF(B379="","",IFERROR(SUMPRODUCT((LEN(Employees!$A$3:$A$500)&gt;0)*(Employees!$N$3:$N$500=1)*(COUNTIFS($B$3:$B$500,Employees!$A$3:$A$500,$H$3:$H$500,"Approved",$D$3:$D$500,"&lt;="&amp;E379,$E$3:$E$500,"&gt;="&amp;D379,$A$3:$A$500,"&lt;&gt;"&amp;A379)&gt;0)),0))</f>
        <v/>
      </c>
      <c r="R379">
        <f>IF(B379="","",IFERROR(SUMPRODUCT((LEN(Employees!$A$3:$A$500)&gt;0)*(Employees!$O$3:$O$500=1)*(COUNTIFS($B$3:$B$500,Employees!$A$3:$A$500,$H$3:$H$500,"Approved",$D$3:$D$500,"&lt;="&amp;E379,$E$3:$E$500,"&gt;="&amp;D379,$A$3:$A$500,"&lt;&gt;"&amp;A379)&gt;0)),0))</f>
        <v/>
      </c>
      <c r="S379">
        <f>IF(OR(B379="",IFERROR(XLOOKUP(B379,Employees!$A$3:$A$500,Employees!$G$3:$G$500,""),"")=""),"",IFERROR(SUMPRODUCT((LEN(Employees!$A$3:$A$500)&gt;0)*(Employees!$G$3:$G$500=IFERROR(XLOOKUP(B379,Employees!$A$3:$A$500,Employees!$G$3:$G$500,""),""))*(COUNTIFS($B$3:$B$500,Employees!$A$3:$A$500,$H$3:$H$500,"Approved",$D$3:$D$500,"&lt;="&amp;E379,$E$3:$E$500,"&gt;="&amp;D379,$A$3:$A$500,"&lt;&gt;"&amp;A379)&gt;0)),0))</f>
        <v/>
      </c>
    </row>
    <row r="380">
      <c r="C380">
        <f>IFERROR(XLOOKUP(B380,Employees!$A$3:$A$500,Employees!$B$3:$B$500,""),"")</f>
        <v/>
      </c>
      <c r="I380">
        <f>IF(AND(B380&lt;&gt;"",D380&lt;&gt;"",E380&lt;&gt;""),E380-D380+1,"")</f>
        <v/>
      </c>
      <c r="J380">
        <f>IF(OR(B380="",D380="",E380=""),"",IF(OR(L380&lt;'Coverage Rules'!E7,M380&lt;'Coverage Rules'!E8,N380&lt;'Coverage Rules'!C8,O380&lt;'Coverage Rules'!E9,P380&lt;'Coverage Rules'!E10,Q380&gt;='Coverage Rules'!B16,R380&gt;='Coverage Rules'!B17,IF(S380="",FALSE,S380&gt;='Coverage Rules'!D24)),"Denied","OK"))</f>
        <v/>
      </c>
      <c r="L380">
        <f>IF(B380="","",IFERROR(SUMPRODUCT((LEN(Employees!$A$3:$A$500)&gt;0)*(Employees!$T$3:$T$500=1)*(COUNTIFS($B$3:$B$500,Employees!$A$3:$A$500,$H$3:$H$500,"Approved",$D$3:$D$500,"&lt;="&amp;E380,$E$3:$E$500,"&gt;="&amp;D380,$A$3:$A$500,"&lt;&gt;"&amp;A380)=0)),0))</f>
        <v/>
      </c>
      <c r="M380">
        <f>IF(B380="","",IFERROR(SUMPRODUCT((LEN(Employees!$A$3:$A$500)&gt;0)*(Employees!$U$3:$U$500=1)*(COUNTIFS($B$3:$B$500,Employees!$A$3:$A$500,$H$3:$H$500,"Approved",$D$3:$D$500,"&lt;="&amp;E380,$E$3:$E$500,"&gt;="&amp;D380,$A$3:$A$500,"&lt;&gt;"&amp;A380)=0)),0))</f>
        <v/>
      </c>
      <c r="N380">
        <f>IF(B380="","",IFERROR(SUMPRODUCT((LEN(Employees!$A$3:$A$500)&gt;0)*(Employees!$B$3:$B$500="Manager")*(Employees!$U$3:$U$500=1)*(COUNTIFS($B$3:$B$500,Employees!$A$3:$A$500,$H$3:$H$500,"Approved",$D$3:$D$500,"&lt;="&amp;E380,$E$3:$E$500,"&gt;="&amp;D380,$A$3:$A$500,"&lt;&gt;"&amp;A380)=0)),0))</f>
        <v/>
      </c>
      <c r="O380">
        <f>IF(B380="","",IFERROR(SUMPRODUCT((LEN(Employees!$A$3:$A$500)&gt;0)*(Employees!$V$3:$V$500=1)*(COUNTIFS($B$3:$B$500,Employees!$A$3:$A$500,$H$3:$H$500,"Approved",$D$3:$D$500,"&lt;="&amp;E380,$E$3:$E$500,"&gt;="&amp;D380,$A$3:$A$500,"&lt;&gt;"&amp;A380)=0)),0))</f>
        <v/>
      </c>
      <c r="P380">
        <f>IF(B380="","",IFERROR(SUMPRODUCT((LEN(Employees!$A$3:$A$500)&gt;0)*(Employees!$W$3:$W$500=1)*(COUNTIFS($B$3:$B$500,Employees!$A$3:$A$500,$H$3:$H$500,"Approved",$D$3:$D$500,"&lt;="&amp;E380,$E$3:$E$500,"&gt;="&amp;D380,$A$3:$A$500,"&lt;&gt;"&amp;A380)=0)),0))</f>
        <v/>
      </c>
      <c r="Q380">
        <f>IF(B380="","",IFERROR(SUMPRODUCT((LEN(Employees!$A$3:$A$500)&gt;0)*(Employees!$N$3:$N$500=1)*(COUNTIFS($B$3:$B$500,Employees!$A$3:$A$500,$H$3:$H$500,"Approved",$D$3:$D$500,"&lt;="&amp;E380,$E$3:$E$500,"&gt;="&amp;D380,$A$3:$A$500,"&lt;&gt;"&amp;A380)&gt;0)),0))</f>
        <v/>
      </c>
      <c r="R380">
        <f>IF(B380="","",IFERROR(SUMPRODUCT((LEN(Employees!$A$3:$A$500)&gt;0)*(Employees!$O$3:$O$500=1)*(COUNTIFS($B$3:$B$500,Employees!$A$3:$A$500,$H$3:$H$500,"Approved",$D$3:$D$500,"&lt;="&amp;E380,$E$3:$E$500,"&gt;="&amp;D380,$A$3:$A$500,"&lt;&gt;"&amp;A380)&gt;0)),0))</f>
        <v/>
      </c>
      <c r="S380">
        <f>IF(OR(B380="",IFERROR(XLOOKUP(B380,Employees!$A$3:$A$500,Employees!$G$3:$G$500,""),"")=""),"",IFERROR(SUMPRODUCT((LEN(Employees!$A$3:$A$500)&gt;0)*(Employees!$G$3:$G$500=IFERROR(XLOOKUP(B380,Employees!$A$3:$A$500,Employees!$G$3:$G$500,""),""))*(COUNTIFS($B$3:$B$500,Employees!$A$3:$A$500,$H$3:$H$500,"Approved",$D$3:$D$500,"&lt;="&amp;E380,$E$3:$E$500,"&gt;="&amp;D380,$A$3:$A$500,"&lt;&gt;"&amp;A380)&gt;0)),0))</f>
        <v/>
      </c>
    </row>
    <row r="381">
      <c r="C381">
        <f>IFERROR(XLOOKUP(B381,Employees!$A$3:$A$500,Employees!$B$3:$B$500,""),"")</f>
        <v/>
      </c>
      <c r="I381">
        <f>IF(AND(B381&lt;&gt;"",D381&lt;&gt;"",E381&lt;&gt;""),E381-D381+1,"")</f>
        <v/>
      </c>
      <c r="J381">
        <f>IF(OR(B381="",D381="",E381=""),"",IF(OR(L381&lt;'Coverage Rules'!E7,M381&lt;'Coverage Rules'!E8,N381&lt;'Coverage Rules'!C8,O381&lt;'Coverage Rules'!E9,P381&lt;'Coverage Rules'!E10,Q381&gt;='Coverage Rules'!B16,R381&gt;='Coverage Rules'!B17,IF(S381="",FALSE,S381&gt;='Coverage Rules'!D24)),"Denied","OK"))</f>
        <v/>
      </c>
      <c r="L381">
        <f>IF(B381="","",IFERROR(SUMPRODUCT((LEN(Employees!$A$3:$A$500)&gt;0)*(Employees!$T$3:$T$500=1)*(COUNTIFS($B$3:$B$500,Employees!$A$3:$A$500,$H$3:$H$500,"Approved",$D$3:$D$500,"&lt;="&amp;E381,$E$3:$E$500,"&gt;="&amp;D381,$A$3:$A$500,"&lt;&gt;"&amp;A381)=0)),0))</f>
        <v/>
      </c>
      <c r="M381">
        <f>IF(B381="","",IFERROR(SUMPRODUCT((LEN(Employees!$A$3:$A$500)&gt;0)*(Employees!$U$3:$U$500=1)*(COUNTIFS($B$3:$B$500,Employees!$A$3:$A$500,$H$3:$H$500,"Approved",$D$3:$D$500,"&lt;="&amp;E381,$E$3:$E$500,"&gt;="&amp;D381,$A$3:$A$500,"&lt;&gt;"&amp;A381)=0)),0))</f>
        <v/>
      </c>
      <c r="N381">
        <f>IF(B381="","",IFERROR(SUMPRODUCT((LEN(Employees!$A$3:$A$500)&gt;0)*(Employees!$B$3:$B$500="Manager")*(Employees!$U$3:$U$500=1)*(COUNTIFS($B$3:$B$500,Employees!$A$3:$A$500,$H$3:$H$500,"Approved",$D$3:$D$500,"&lt;="&amp;E381,$E$3:$E$500,"&gt;="&amp;D381,$A$3:$A$500,"&lt;&gt;"&amp;A381)=0)),0))</f>
        <v/>
      </c>
      <c r="O381">
        <f>IF(B381="","",IFERROR(SUMPRODUCT((LEN(Employees!$A$3:$A$500)&gt;0)*(Employees!$V$3:$V$500=1)*(COUNTIFS($B$3:$B$500,Employees!$A$3:$A$500,$H$3:$H$500,"Approved",$D$3:$D$500,"&lt;="&amp;E381,$E$3:$E$500,"&gt;="&amp;D381,$A$3:$A$500,"&lt;&gt;"&amp;A381)=0)),0))</f>
        <v/>
      </c>
      <c r="P381">
        <f>IF(B381="","",IFERROR(SUMPRODUCT((LEN(Employees!$A$3:$A$500)&gt;0)*(Employees!$W$3:$W$500=1)*(COUNTIFS($B$3:$B$500,Employees!$A$3:$A$500,$H$3:$H$500,"Approved",$D$3:$D$500,"&lt;="&amp;E381,$E$3:$E$500,"&gt;="&amp;D381,$A$3:$A$500,"&lt;&gt;"&amp;A381)=0)),0))</f>
        <v/>
      </c>
      <c r="Q381">
        <f>IF(B381="","",IFERROR(SUMPRODUCT((LEN(Employees!$A$3:$A$500)&gt;0)*(Employees!$N$3:$N$500=1)*(COUNTIFS($B$3:$B$500,Employees!$A$3:$A$500,$H$3:$H$500,"Approved",$D$3:$D$500,"&lt;="&amp;E381,$E$3:$E$500,"&gt;="&amp;D381,$A$3:$A$500,"&lt;&gt;"&amp;A381)&gt;0)),0))</f>
        <v/>
      </c>
      <c r="R381">
        <f>IF(B381="","",IFERROR(SUMPRODUCT((LEN(Employees!$A$3:$A$500)&gt;0)*(Employees!$O$3:$O$500=1)*(COUNTIFS($B$3:$B$500,Employees!$A$3:$A$500,$H$3:$H$500,"Approved",$D$3:$D$500,"&lt;="&amp;E381,$E$3:$E$500,"&gt;="&amp;D381,$A$3:$A$500,"&lt;&gt;"&amp;A381)&gt;0)),0))</f>
        <v/>
      </c>
      <c r="S381">
        <f>IF(OR(B381="",IFERROR(XLOOKUP(B381,Employees!$A$3:$A$500,Employees!$G$3:$G$500,""),"")=""),"",IFERROR(SUMPRODUCT((LEN(Employees!$A$3:$A$500)&gt;0)*(Employees!$G$3:$G$500=IFERROR(XLOOKUP(B381,Employees!$A$3:$A$500,Employees!$G$3:$G$500,""),""))*(COUNTIFS($B$3:$B$500,Employees!$A$3:$A$500,$H$3:$H$500,"Approved",$D$3:$D$500,"&lt;="&amp;E381,$E$3:$E$500,"&gt;="&amp;D381,$A$3:$A$500,"&lt;&gt;"&amp;A381)&gt;0)),0))</f>
        <v/>
      </c>
    </row>
    <row r="382">
      <c r="C382">
        <f>IFERROR(XLOOKUP(B382,Employees!$A$3:$A$500,Employees!$B$3:$B$500,""),"")</f>
        <v/>
      </c>
      <c r="I382">
        <f>IF(AND(B382&lt;&gt;"",D382&lt;&gt;"",E382&lt;&gt;""),E382-D382+1,"")</f>
        <v/>
      </c>
      <c r="J382">
        <f>IF(OR(B382="",D382="",E382=""),"",IF(OR(L382&lt;'Coverage Rules'!E7,M382&lt;'Coverage Rules'!E8,N382&lt;'Coverage Rules'!C8,O382&lt;'Coverage Rules'!E9,P382&lt;'Coverage Rules'!E10,Q382&gt;='Coverage Rules'!B16,R382&gt;='Coverage Rules'!B17,IF(S382="",FALSE,S382&gt;='Coverage Rules'!D24)),"Denied","OK"))</f>
        <v/>
      </c>
      <c r="L382">
        <f>IF(B382="","",IFERROR(SUMPRODUCT((LEN(Employees!$A$3:$A$500)&gt;0)*(Employees!$T$3:$T$500=1)*(COUNTIFS($B$3:$B$500,Employees!$A$3:$A$500,$H$3:$H$500,"Approved",$D$3:$D$500,"&lt;="&amp;E382,$E$3:$E$500,"&gt;="&amp;D382,$A$3:$A$500,"&lt;&gt;"&amp;A382)=0)),0))</f>
        <v/>
      </c>
      <c r="M382">
        <f>IF(B382="","",IFERROR(SUMPRODUCT((LEN(Employees!$A$3:$A$500)&gt;0)*(Employees!$U$3:$U$500=1)*(COUNTIFS($B$3:$B$500,Employees!$A$3:$A$500,$H$3:$H$500,"Approved",$D$3:$D$500,"&lt;="&amp;E382,$E$3:$E$500,"&gt;="&amp;D382,$A$3:$A$500,"&lt;&gt;"&amp;A382)=0)),0))</f>
        <v/>
      </c>
      <c r="N382">
        <f>IF(B382="","",IFERROR(SUMPRODUCT((LEN(Employees!$A$3:$A$500)&gt;0)*(Employees!$B$3:$B$500="Manager")*(Employees!$U$3:$U$500=1)*(COUNTIFS($B$3:$B$500,Employees!$A$3:$A$500,$H$3:$H$500,"Approved",$D$3:$D$500,"&lt;="&amp;E382,$E$3:$E$500,"&gt;="&amp;D382,$A$3:$A$500,"&lt;&gt;"&amp;A382)=0)),0))</f>
        <v/>
      </c>
      <c r="O382">
        <f>IF(B382="","",IFERROR(SUMPRODUCT((LEN(Employees!$A$3:$A$500)&gt;0)*(Employees!$V$3:$V$500=1)*(COUNTIFS($B$3:$B$500,Employees!$A$3:$A$500,$H$3:$H$500,"Approved",$D$3:$D$500,"&lt;="&amp;E382,$E$3:$E$500,"&gt;="&amp;D382,$A$3:$A$500,"&lt;&gt;"&amp;A382)=0)),0))</f>
        <v/>
      </c>
      <c r="P382">
        <f>IF(B382="","",IFERROR(SUMPRODUCT((LEN(Employees!$A$3:$A$500)&gt;0)*(Employees!$W$3:$W$500=1)*(COUNTIFS($B$3:$B$500,Employees!$A$3:$A$500,$H$3:$H$500,"Approved",$D$3:$D$500,"&lt;="&amp;E382,$E$3:$E$500,"&gt;="&amp;D382,$A$3:$A$500,"&lt;&gt;"&amp;A382)=0)),0))</f>
        <v/>
      </c>
      <c r="Q382">
        <f>IF(B382="","",IFERROR(SUMPRODUCT((LEN(Employees!$A$3:$A$500)&gt;0)*(Employees!$N$3:$N$500=1)*(COUNTIFS($B$3:$B$500,Employees!$A$3:$A$500,$H$3:$H$500,"Approved",$D$3:$D$500,"&lt;="&amp;E382,$E$3:$E$500,"&gt;="&amp;D382,$A$3:$A$500,"&lt;&gt;"&amp;A382)&gt;0)),0))</f>
        <v/>
      </c>
      <c r="R382">
        <f>IF(B382="","",IFERROR(SUMPRODUCT((LEN(Employees!$A$3:$A$500)&gt;0)*(Employees!$O$3:$O$500=1)*(COUNTIFS($B$3:$B$500,Employees!$A$3:$A$500,$H$3:$H$500,"Approved",$D$3:$D$500,"&lt;="&amp;E382,$E$3:$E$500,"&gt;="&amp;D382,$A$3:$A$500,"&lt;&gt;"&amp;A382)&gt;0)),0))</f>
        <v/>
      </c>
      <c r="S382">
        <f>IF(OR(B382="",IFERROR(XLOOKUP(B382,Employees!$A$3:$A$500,Employees!$G$3:$G$500,""),"")=""),"",IFERROR(SUMPRODUCT((LEN(Employees!$A$3:$A$500)&gt;0)*(Employees!$G$3:$G$500=IFERROR(XLOOKUP(B382,Employees!$A$3:$A$500,Employees!$G$3:$G$500,""),""))*(COUNTIFS($B$3:$B$500,Employees!$A$3:$A$500,$H$3:$H$500,"Approved",$D$3:$D$500,"&lt;="&amp;E382,$E$3:$E$500,"&gt;="&amp;D382,$A$3:$A$500,"&lt;&gt;"&amp;A382)&gt;0)),0))</f>
        <v/>
      </c>
    </row>
    <row r="383">
      <c r="C383">
        <f>IFERROR(XLOOKUP(B383,Employees!$A$3:$A$500,Employees!$B$3:$B$500,""),"")</f>
        <v/>
      </c>
      <c r="I383">
        <f>IF(AND(B383&lt;&gt;"",D383&lt;&gt;"",E383&lt;&gt;""),E383-D383+1,"")</f>
        <v/>
      </c>
      <c r="J383">
        <f>IF(OR(B383="",D383="",E383=""),"",IF(OR(L383&lt;'Coverage Rules'!E7,M383&lt;'Coverage Rules'!E8,N383&lt;'Coverage Rules'!C8,O383&lt;'Coverage Rules'!E9,P383&lt;'Coverage Rules'!E10,Q383&gt;='Coverage Rules'!B16,R383&gt;='Coverage Rules'!B17,IF(S383="",FALSE,S383&gt;='Coverage Rules'!D24)),"Denied","OK"))</f>
        <v/>
      </c>
      <c r="L383">
        <f>IF(B383="","",IFERROR(SUMPRODUCT((LEN(Employees!$A$3:$A$500)&gt;0)*(Employees!$T$3:$T$500=1)*(COUNTIFS($B$3:$B$500,Employees!$A$3:$A$500,$H$3:$H$500,"Approved",$D$3:$D$500,"&lt;="&amp;E383,$E$3:$E$500,"&gt;="&amp;D383,$A$3:$A$500,"&lt;&gt;"&amp;A383)=0)),0))</f>
        <v/>
      </c>
      <c r="M383">
        <f>IF(B383="","",IFERROR(SUMPRODUCT((LEN(Employees!$A$3:$A$500)&gt;0)*(Employees!$U$3:$U$500=1)*(COUNTIFS($B$3:$B$500,Employees!$A$3:$A$500,$H$3:$H$500,"Approved",$D$3:$D$500,"&lt;="&amp;E383,$E$3:$E$500,"&gt;="&amp;D383,$A$3:$A$500,"&lt;&gt;"&amp;A383)=0)),0))</f>
        <v/>
      </c>
      <c r="N383">
        <f>IF(B383="","",IFERROR(SUMPRODUCT((LEN(Employees!$A$3:$A$500)&gt;0)*(Employees!$B$3:$B$500="Manager")*(Employees!$U$3:$U$500=1)*(COUNTIFS($B$3:$B$500,Employees!$A$3:$A$500,$H$3:$H$500,"Approved",$D$3:$D$500,"&lt;="&amp;E383,$E$3:$E$500,"&gt;="&amp;D383,$A$3:$A$500,"&lt;&gt;"&amp;A383)=0)),0))</f>
        <v/>
      </c>
      <c r="O383">
        <f>IF(B383="","",IFERROR(SUMPRODUCT((LEN(Employees!$A$3:$A$500)&gt;0)*(Employees!$V$3:$V$500=1)*(COUNTIFS($B$3:$B$500,Employees!$A$3:$A$500,$H$3:$H$500,"Approved",$D$3:$D$500,"&lt;="&amp;E383,$E$3:$E$500,"&gt;="&amp;D383,$A$3:$A$500,"&lt;&gt;"&amp;A383)=0)),0))</f>
        <v/>
      </c>
      <c r="P383">
        <f>IF(B383="","",IFERROR(SUMPRODUCT((LEN(Employees!$A$3:$A$500)&gt;0)*(Employees!$W$3:$W$500=1)*(COUNTIFS($B$3:$B$500,Employees!$A$3:$A$500,$H$3:$H$500,"Approved",$D$3:$D$500,"&lt;="&amp;E383,$E$3:$E$500,"&gt;="&amp;D383,$A$3:$A$500,"&lt;&gt;"&amp;A383)=0)),0))</f>
        <v/>
      </c>
      <c r="Q383">
        <f>IF(B383="","",IFERROR(SUMPRODUCT((LEN(Employees!$A$3:$A$500)&gt;0)*(Employees!$N$3:$N$500=1)*(COUNTIFS($B$3:$B$500,Employees!$A$3:$A$500,$H$3:$H$500,"Approved",$D$3:$D$500,"&lt;="&amp;E383,$E$3:$E$500,"&gt;="&amp;D383,$A$3:$A$500,"&lt;&gt;"&amp;A383)&gt;0)),0))</f>
        <v/>
      </c>
      <c r="R383">
        <f>IF(B383="","",IFERROR(SUMPRODUCT((LEN(Employees!$A$3:$A$500)&gt;0)*(Employees!$O$3:$O$500=1)*(COUNTIFS($B$3:$B$500,Employees!$A$3:$A$500,$H$3:$H$500,"Approved",$D$3:$D$500,"&lt;="&amp;E383,$E$3:$E$500,"&gt;="&amp;D383,$A$3:$A$500,"&lt;&gt;"&amp;A383)&gt;0)),0))</f>
        <v/>
      </c>
      <c r="S383">
        <f>IF(OR(B383="",IFERROR(XLOOKUP(B383,Employees!$A$3:$A$500,Employees!$G$3:$G$500,""),"")=""),"",IFERROR(SUMPRODUCT((LEN(Employees!$A$3:$A$500)&gt;0)*(Employees!$G$3:$G$500=IFERROR(XLOOKUP(B383,Employees!$A$3:$A$500,Employees!$G$3:$G$500,""),""))*(COUNTIFS($B$3:$B$500,Employees!$A$3:$A$500,$H$3:$H$500,"Approved",$D$3:$D$500,"&lt;="&amp;E383,$E$3:$E$500,"&gt;="&amp;D383,$A$3:$A$500,"&lt;&gt;"&amp;A383)&gt;0)),0))</f>
        <v/>
      </c>
    </row>
    <row r="384">
      <c r="C384">
        <f>IFERROR(XLOOKUP(B384,Employees!$A$3:$A$500,Employees!$B$3:$B$500,""),"")</f>
        <v/>
      </c>
      <c r="I384">
        <f>IF(AND(B384&lt;&gt;"",D384&lt;&gt;"",E384&lt;&gt;""),E384-D384+1,"")</f>
        <v/>
      </c>
      <c r="J384">
        <f>IF(OR(B384="",D384="",E384=""),"",IF(OR(L384&lt;'Coverage Rules'!E7,M384&lt;'Coverage Rules'!E8,N384&lt;'Coverage Rules'!C8,O384&lt;'Coverage Rules'!E9,P384&lt;'Coverage Rules'!E10,Q384&gt;='Coverage Rules'!B16,R384&gt;='Coverage Rules'!B17,IF(S384="",FALSE,S384&gt;='Coverage Rules'!D24)),"Denied","OK"))</f>
        <v/>
      </c>
      <c r="L384">
        <f>IF(B384="","",IFERROR(SUMPRODUCT((LEN(Employees!$A$3:$A$500)&gt;0)*(Employees!$T$3:$T$500=1)*(COUNTIFS($B$3:$B$500,Employees!$A$3:$A$500,$H$3:$H$500,"Approved",$D$3:$D$500,"&lt;="&amp;E384,$E$3:$E$500,"&gt;="&amp;D384,$A$3:$A$500,"&lt;&gt;"&amp;A384)=0)),0))</f>
        <v/>
      </c>
      <c r="M384">
        <f>IF(B384="","",IFERROR(SUMPRODUCT((LEN(Employees!$A$3:$A$500)&gt;0)*(Employees!$U$3:$U$500=1)*(COUNTIFS($B$3:$B$500,Employees!$A$3:$A$500,$H$3:$H$500,"Approved",$D$3:$D$500,"&lt;="&amp;E384,$E$3:$E$500,"&gt;="&amp;D384,$A$3:$A$500,"&lt;&gt;"&amp;A384)=0)),0))</f>
        <v/>
      </c>
      <c r="N384">
        <f>IF(B384="","",IFERROR(SUMPRODUCT((LEN(Employees!$A$3:$A$500)&gt;0)*(Employees!$B$3:$B$500="Manager")*(Employees!$U$3:$U$500=1)*(COUNTIFS($B$3:$B$500,Employees!$A$3:$A$500,$H$3:$H$500,"Approved",$D$3:$D$500,"&lt;="&amp;E384,$E$3:$E$500,"&gt;="&amp;D384,$A$3:$A$500,"&lt;&gt;"&amp;A384)=0)),0))</f>
        <v/>
      </c>
      <c r="O384">
        <f>IF(B384="","",IFERROR(SUMPRODUCT((LEN(Employees!$A$3:$A$500)&gt;0)*(Employees!$V$3:$V$500=1)*(COUNTIFS($B$3:$B$500,Employees!$A$3:$A$500,$H$3:$H$500,"Approved",$D$3:$D$500,"&lt;="&amp;E384,$E$3:$E$500,"&gt;="&amp;D384,$A$3:$A$500,"&lt;&gt;"&amp;A384)=0)),0))</f>
        <v/>
      </c>
      <c r="P384">
        <f>IF(B384="","",IFERROR(SUMPRODUCT((LEN(Employees!$A$3:$A$500)&gt;0)*(Employees!$W$3:$W$500=1)*(COUNTIFS($B$3:$B$500,Employees!$A$3:$A$500,$H$3:$H$500,"Approved",$D$3:$D$500,"&lt;="&amp;E384,$E$3:$E$500,"&gt;="&amp;D384,$A$3:$A$500,"&lt;&gt;"&amp;A384)=0)),0))</f>
        <v/>
      </c>
      <c r="Q384">
        <f>IF(B384="","",IFERROR(SUMPRODUCT((LEN(Employees!$A$3:$A$500)&gt;0)*(Employees!$N$3:$N$500=1)*(COUNTIFS($B$3:$B$500,Employees!$A$3:$A$500,$H$3:$H$500,"Approved",$D$3:$D$500,"&lt;="&amp;E384,$E$3:$E$500,"&gt;="&amp;D384,$A$3:$A$500,"&lt;&gt;"&amp;A384)&gt;0)),0))</f>
        <v/>
      </c>
      <c r="R384">
        <f>IF(B384="","",IFERROR(SUMPRODUCT((LEN(Employees!$A$3:$A$500)&gt;0)*(Employees!$O$3:$O$500=1)*(COUNTIFS($B$3:$B$500,Employees!$A$3:$A$500,$H$3:$H$500,"Approved",$D$3:$D$500,"&lt;="&amp;E384,$E$3:$E$500,"&gt;="&amp;D384,$A$3:$A$500,"&lt;&gt;"&amp;A384)&gt;0)),0))</f>
        <v/>
      </c>
      <c r="S384">
        <f>IF(OR(B384="",IFERROR(XLOOKUP(B384,Employees!$A$3:$A$500,Employees!$G$3:$G$500,""),"")=""),"",IFERROR(SUMPRODUCT((LEN(Employees!$A$3:$A$500)&gt;0)*(Employees!$G$3:$G$500=IFERROR(XLOOKUP(B384,Employees!$A$3:$A$500,Employees!$G$3:$G$500,""),""))*(COUNTIFS($B$3:$B$500,Employees!$A$3:$A$500,$H$3:$H$500,"Approved",$D$3:$D$500,"&lt;="&amp;E384,$E$3:$E$500,"&gt;="&amp;D384,$A$3:$A$500,"&lt;&gt;"&amp;A384)&gt;0)),0))</f>
        <v/>
      </c>
    </row>
    <row r="385">
      <c r="C385">
        <f>IFERROR(XLOOKUP(B385,Employees!$A$3:$A$500,Employees!$B$3:$B$500,""),"")</f>
        <v/>
      </c>
      <c r="I385">
        <f>IF(AND(B385&lt;&gt;"",D385&lt;&gt;"",E385&lt;&gt;""),E385-D385+1,"")</f>
        <v/>
      </c>
      <c r="J385">
        <f>IF(OR(B385="",D385="",E385=""),"",IF(OR(L385&lt;'Coverage Rules'!E7,M385&lt;'Coverage Rules'!E8,N385&lt;'Coverage Rules'!C8,O385&lt;'Coverage Rules'!E9,P385&lt;'Coverage Rules'!E10,Q385&gt;='Coverage Rules'!B16,R385&gt;='Coverage Rules'!B17,IF(S385="",FALSE,S385&gt;='Coverage Rules'!D24)),"Denied","OK"))</f>
        <v/>
      </c>
      <c r="L385">
        <f>IF(B385="","",IFERROR(SUMPRODUCT((LEN(Employees!$A$3:$A$500)&gt;0)*(Employees!$T$3:$T$500=1)*(COUNTIFS($B$3:$B$500,Employees!$A$3:$A$500,$H$3:$H$500,"Approved",$D$3:$D$500,"&lt;="&amp;E385,$E$3:$E$500,"&gt;="&amp;D385,$A$3:$A$500,"&lt;&gt;"&amp;A385)=0)),0))</f>
        <v/>
      </c>
      <c r="M385">
        <f>IF(B385="","",IFERROR(SUMPRODUCT((LEN(Employees!$A$3:$A$500)&gt;0)*(Employees!$U$3:$U$500=1)*(COUNTIFS($B$3:$B$500,Employees!$A$3:$A$500,$H$3:$H$500,"Approved",$D$3:$D$500,"&lt;="&amp;E385,$E$3:$E$500,"&gt;="&amp;D385,$A$3:$A$500,"&lt;&gt;"&amp;A385)=0)),0))</f>
        <v/>
      </c>
      <c r="N385">
        <f>IF(B385="","",IFERROR(SUMPRODUCT((LEN(Employees!$A$3:$A$500)&gt;0)*(Employees!$B$3:$B$500="Manager")*(Employees!$U$3:$U$500=1)*(COUNTIFS($B$3:$B$500,Employees!$A$3:$A$500,$H$3:$H$500,"Approved",$D$3:$D$500,"&lt;="&amp;E385,$E$3:$E$500,"&gt;="&amp;D385,$A$3:$A$500,"&lt;&gt;"&amp;A385)=0)),0))</f>
        <v/>
      </c>
      <c r="O385">
        <f>IF(B385="","",IFERROR(SUMPRODUCT((LEN(Employees!$A$3:$A$500)&gt;0)*(Employees!$V$3:$V$500=1)*(COUNTIFS($B$3:$B$500,Employees!$A$3:$A$500,$H$3:$H$500,"Approved",$D$3:$D$500,"&lt;="&amp;E385,$E$3:$E$500,"&gt;="&amp;D385,$A$3:$A$500,"&lt;&gt;"&amp;A385)=0)),0))</f>
        <v/>
      </c>
      <c r="P385">
        <f>IF(B385="","",IFERROR(SUMPRODUCT((LEN(Employees!$A$3:$A$500)&gt;0)*(Employees!$W$3:$W$500=1)*(COUNTIFS($B$3:$B$500,Employees!$A$3:$A$500,$H$3:$H$500,"Approved",$D$3:$D$500,"&lt;="&amp;E385,$E$3:$E$500,"&gt;="&amp;D385,$A$3:$A$500,"&lt;&gt;"&amp;A385)=0)),0))</f>
        <v/>
      </c>
      <c r="Q385">
        <f>IF(B385="","",IFERROR(SUMPRODUCT((LEN(Employees!$A$3:$A$500)&gt;0)*(Employees!$N$3:$N$500=1)*(COUNTIFS($B$3:$B$500,Employees!$A$3:$A$500,$H$3:$H$500,"Approved",$D$3:$D$500,"&lt;="&amp;E385,$E$3:$E$500,"&gt;="&amp;D385,$A$3:$A$500,"&lt;&gt;"&amp;A385)&gt;0)),0))</f>
        <v/>
      </c>
      <c r="R385">
        <f>IF(B385="","",IFERROR(SUMPRODUCT((LEN(Employees!$A$3:$A$500)&gt;0)*(Employees!$O$3:$O$500=1)*(COUNTIFS($B$3:$B$500,Employees!$A$3:$A$500,$H$3:$H$500,"Approved",$D$3:$D$500,"&lt;="&amp;E385,$E$3:$E$500,"&gt;="&amp;D385,$A$3:$A$500,"&lt;&gt;"&amp;A385)&gt;0)),0))</f>
        <v/>
      </c>
      <c r="S385">
        <f>IF(OR(B385="",IFERROR(XLOOKUP(B385,Employees!$A$3:$A$500,Employees!$G$3:$G$500,""),"")=""),"",IFERROR(SUMPRODUCT((LEN(Employees!$A$3:$A$500)&gt;0)*(Employees!$G$3:$G$500=IFERROR(XLOOKUP(B385,Employees!$A$3:$A$500,Employees!$G$3:$G$500,""),""))*(COUNTIFS($B$3:$B$500,Employees!$A$3:$A$500,$H$3:$H$500,"Approved",$D$3:$D$500,"&lt;="&amp;E385,$E$3:$E$500,"&gt;="&amp;D385,$A$3:$A$500,"&lt;&gt;"&amp;A385)&gt;0)),0))</f>
        <v/>
      </c>
    </row>
    <row r="386">
      <c r="C386">
        <f>IFERROR(XLOOKUP(B386,Employees!$A$3:$A$500,Employees!$B$3:$B$500,""),"")</f>
        <v/>
      </c>
      <c r="I386">
        <f>IF(AND(B386&lt;&gt;"",D386&lt;&gt;"",E386&lt;&gt;""),E386-D386+1,"")</f>
        <v/>
      </c>
      <c r="J386">
        <f>IF(OR(B386="",D386="",E386=""),"",IF(OR(L386&lt;'Coverage Rules'!E7,M386&lt;'Coverage Rules'!E8,N386&lt;'Coverage Rules'!C8,O386&lt;'Coverage Rules'!E9,P386&lt;'Coverage Rules'!E10,Q386&gt;='Coverage Rules'!B16,R386&gt;='Coverage Rules'!B17,IF(S386="",FALSE,S386&gt;='Coverage Rules'!D24)),"Denied","OK"))</f>
        <v/>
      </c>
      <c r="L386">
        <f>IF(B386="","",IFERROR(SUMPRODUCT((LEN(Employees!$A$3:$A$500)&gt;0)*(Employees!$T$3:$T$500=1)*(COUNTIFS($B$3:$B$500,Employees!$A$3:$A$500,$H$3:$H$500,"Approved",$D$3:$D$500,"&lt;="&amp;E386,$E$3:$E$500,"&gt;="&amp;D386,$A$3:$A$500,"&lt;&gt;"&amp;A386)=0)),0))</f>
        <v/>
      </c>
      <c r="M386">
        <f>IF(B386="","",IFERROR(SUMPRODUCT((LEN(Employees!$A$3:$A$500)&gt;0)*(Employees!$U$3:$U$500=1)*(COUNTIFS($B$3:$B$500,Employees!$A$3:$A$500,$H$3:$H$500,"Approved",$D$3:$D$500,"&lt;="&amp;E386,$E$3:$E$500,"&gt;="&amp;D386,$A$3:$A$500,"&lt;&gt;"&amp;A386)=0)),0))</f>
        <v/>
      </c>
      <c r="N386">
        <f>IF(B386="","",IFERROR(SUMPRODUCT((LEN(Employees!$A$3:$A$500)&gt;0)*(Employees!$B$3:$B$500="Manager")*(Employees!$U$3:$U$500=1)*(COUNTIFS($B$3:$B$500,Employees!$A$3:$A$500,$H$3:$H$500,"Approved",$D$3:$D$500,"&lt;="&amp;E386,$E$3:$E$500,"&gt;="&amp;D386,$A$3:$A$500,"&lt;&gt;"&amp;A386)=0)),0))</f>
        <v/>
      </c>
      <c r="O386">
        <f>IF(B386="","",IFERROR(SUMPRODUCT((LEN(Employees!$A$3:$A$500)&gt;0)*(Employees!$V$3:$V$500=1)*(COUNTIFS($B$3:$B$500,Employees!$A$3:$A$500,$H$3:$H$500,"Approved",$D$3:$D$500,"&lt;="&amp;E386,$E$3:$E$500,"&gt;="&amp;D386,$A$3:$A$500,"&lt;&gt;"&amp;A386)=0)),0))</f>
        <v/>
      </c>
      <c r="P386">
        <f>IF(B386="","",IFERROR(SUMPRODUCT((LEN(Employees!$A$3:$A$500)&gt;0)*(Employees!$W$3:$W$500=1)*(COUNTIFS($B$3:$B$500,Employees!$A$3:$A$500,$H$3:$H$500,"Approved",$D$3:$D$500,"&lt;="&amp;E386,$E$3:$E$500,"&gt;="&amp;D386,$A$3:$A$500,"&lt;&gt;"&amp;A386)=0)),0))</f>
        <v/>
      </c>
      <c r="Q386">
        <f>IF(B386="","",IFERROR(SUMPRODUCT((LEN(Employees!$A$3:$A$500)&gt;0)*(Employees!$N$3:$N$500=1)*(COUNTIFS($B$3:$B$500,Employees!$A$3:$A$500,$H$3:$H$500,"Approved",$D$3:$D$500,"&lt;="&amp;E386,$E$3:$E$500,"&gt;="&amp;D386,$A$3:$A$500,"&lt;&gt;"&amp;A386)&gt;0)),0))</f>
        <v/>
      </c>
      <c r="R386">
        <f>IF(B386="","",IFERROR(SUMPRODUCT((LEN(Employees!$A$3:$A$500)&gt;0)*(Employees!$O$3:$O$500=1)*(COUNTIFS($B$3:$B$500,Employees!$A$3:$A$500,$H$3:$H$500,"Approved",$D$3:$D$500,"&lt;="&amp;E386,$E$3:$E$500,"&gt;="&amp;D386,$A$3:$A$500,"&lt;&gt;"&amp;A386)&gt;0)),0))</f>
        <v/>
      </c>
      <c r="S386">
        <f>IF(OR(B386="",IFERROR(XLOOKUP(B386,Employees!$A$3:$A$500,Employees!$G$3:$G$500,""),"")=""),"",IFERROR(SUMPRODUCT((LEN(Employees!$A$3:$A$500)&gt;0)*(Employees!$G$3:$G$500=IFERROR(XLOOKUP(B386,Employees!$A$3:$A$500,Employees!$G$3:$G$500,""),""))*(COUNTIFS($B$3:$B$500,Employees!$A$3:$A$500,$H$3:$H$500,"Approved",$D$3:$D$500,"&lt;="&amp;E386,$E$3:$E$500,"&gt;="&amp;D386,$A$3:$A$500,"&lt;&gt;"&amp;A386)&gt;0)),0))</f>
        <v/>
      </c>
    </row>
    <row r="387">
      <c r="C387">
        <f>IFERROR(XLOOKUP(B387,Employees!$A$3:$A$500,Employees!$B$3:$B$500,""),"")</f>
        <v/>
      </c>
      <c r="I387">
        <f>IF(AND(B387&lt;&gt;"",D387&lt;&gt;"",E387&lt;&gt;""),E387-D387+1,"")</f>
        <v/>
      </c>
      <c r="J387">
        <f>IF(OR(B387="",D387="",E387=""),"",IF(OR(L387&lt;'Coverage Rules'!E7,M387&lt;'Coverage Rules'!E8,N387&lt;'Coverage Rules'!C8,O387&lt;'Coverage Rules'!E9,P387&lt;'Coverage Rules'!E10,Q387&gt;='Coverage Rules'!B16,R387&gt;='Coverage Rules'!B17,IF(S387="",FALSE,S387&gt;='Coverage Rules'!D24)),"Denied","OK"))</f>
        <v/>
      </c>
      <c r="L387">
        <f>IF(B387="","",IFERROR(SUMPRODUCT((LEN(Employees!$A$3:$A$500)&gt;0)*(Employees!$T$3:$T$500=1)*(COUNTIFS($B$3:$B$500,Employees!$A$3:$A$500,$H$3:$H$500,"Approved",$D$3:$D$500,"&lt;="&amp;E387,$E$3:$E$500,"&gt;="&amp;D387,$A$3:$A$500,"&lt;&gt;"&amp;A387)=0)),0))</f>
        <v/>
      </c>
      <c r="M387">
        <f>IF(B387="","",IFERROR(SUMPRODUCT((LEN(Employees!$A$3:$A$500)&gt;0)*(Employees!$U$3:$U$500=1)*(COUNTIFS($B$3:$B$500,Employees!$A$3:$A$500,$H$3:$H$500,"Approved",$D$3:$D$500,"&lt;="&amp;E387,$E$3:$E$500,"&gt;="&amp;D387,$A$3:$A$500,"&lt;&gt;"&amp;A387)=0)),0))</f>
        <v/>
      </c>
      <c r="N387">
        <f>IF(B387="","",IFERROR(SUMPRODUCT((LEN(Employees!$A$3:$A$500)&gt;0)*(Employees!$B$3:$B$500="Manager")*(Employees!$U$3:$U$500=1)*(COUNTIFS($B$3:$B$500,Employees!$A$3:$A$500,$H$3:$H$500,"Approved",$D$3:$D$500,"&lt;="&amp;E387,$E$3:$E$500,"&gt;="&amp;D387,$A$3:$A$500,"&lt;&gt;"&amp;A387)=0)),0))</f>
        <v/>
      </c>
      <c r="O387">
        <f>IF(B387="","",IFERROR(SUMPRODUCT((LEN(Employees!$A$3:$A$500)&gt;0)*(Employees!$V$3:$V$500=1)*(COUNTIFS($B$3:$B$500,Employees!$A$3:$A$500,$H$3:$H$500,"Approved",$D$3:$D$500,"&lt;="&amp;E387,$E$3:$E$500,"&gt;="&amp;D387,$A$3:$A$500,"&lt;&gt;"&amp;A387)=0)),0))</f>
        <v/>
      </c>
      <c r="P387">
        <f>IF(B387="","",IFERROR(SUMPRODUCT((LEN(Employees!$A$3:$A$500)&gt;0)*(Employees!$W$3:$W$500=1)*(COUNTIFS($B$3:$B$500,Employees!$A$3:$A$500,$H$3:$H$500,"Approved",$D$3:$D$500,"&lt;="&amp;E387,$E$3:$E$500,"&gt;="&amp;D387,$A$3:$A$500,"&lt;&gt;"&amp;A387)=0)),0))</f>
        <v/>
      </c>
      <c r="Q387">
        <f>IF(B387="","",IFERROR(SUMPRODUCT((LEN(Employees!$A$3:$A$500)&gt;0)*(Employees!$N$3:$N$500=1)*(COUNTIFS($B$3:$B$500,Employees!$A$3:$A$500,$H$3:$H$500,"Approved",$D$3:$D$500,"&lt;="&amp;E387,$E$3:$E$500,"&gt;="&amp;D387,$A$3:$A$500,"&lt;&gt;"&amp;A387)&gt;0)),0))</f>
        <v/>
      </c>
      <c r="R387">
        <f>IF(B387="","",IFERROR(SUMPRODUCT((LEN(Employees!$A$3:$A$500)&gt;0)*(Employees!$O$3:$O$500=1)*(COUNTIFS($B$3:$B$500,Employees!$A$3:$A$500,$H$3:$H$500,"Approved",$D$3:$D$500,"&lt;="&amp;E387,$E$3:$E$500,"&gt;="&amp;D387,$A$3:$A$500,"&lt;&gt;"&amp;A387)&gt;0)),0))</f>
        <v/>
      </c>
      <c r="S387">
        <f>IF(OR(B387="",IFERROR(XLOOKUP(B387,Employees!$A$3:$A$500,Employees!$G$3:$G$500,""),"")=""),"",IFERROR(SUMPRODUCT((LEN(Employees!$A$3:$A$500)&gt;0)*(Employees!$G$3:$G$500=IFERROR(XLOOKUP(B387,Employees!$A$3:$A$500,Employees!$G$3:$G$500,""),""))*(COUNTIFS($B$3:$B$500,Employees!$A$3:$A$500,$H$3:$H$500,"Approved",$D$3:$D$500,"&lt;="&amp;E387,$E$3:$E$500,"&gt;="&amp;D387,$A$3:$A$500,"&lt;&gt;"&amp;A387)&gt;0)),0))</f>
        <v/>
      </c>
    </row>
    <row r="388">
      <c r="C388">
        <f>IFERROR(XLOOKUP(B388,Employees!$A$3:$A$500,Employees!$B$3:$B$500,""),"")</f>
        <v/>
      </c>
      <c r="I388">
        <f>IF(AND(B388&lt;&gt;"",D388&lt;&gt;"",E388&lt;&gt;""),E388-D388+1,"")</f>
        <v/>
      </c>
      <c r="J388">
        <f>IF(OR(B388="",D388="",E388=""),"",IF(OR(L388&lt;'Coverage Rules'!E7,M388&lt;'Coverage Rules'!E8,N388&lt;'Coverage Rules'!C8,O388&lt;'Coverage Rules'!E9,P388&lt;'Coverage Rules'!E10,Q388&gt;='Coverage Rules'!B16,R388&gt;='Coverage Rules'!B17,IF(S388="",FALSE,S388&gt;='Coverage Rules'!D24)),"Denied","OK"))</f>
        <v/>
      </c>
      <c r="L388">
        <f>IF(B388="","",IFERROR(SUMPRODUCT((LEN(Employees!$A$3:$A$500)&gt;0)*(Employees!$T$3:$T$500=1)*(COUNTIFS($B$3:$B$500,Employees!$A$3:$A$500,$H$3:$H$500,"Approved",$D$3:$D$500,"&lt;="&amp;E388,$E$3:$E$500,"&gt;="&amp;D388,$A$3:$A$500,"&lt;&gt;"&amp;A388)=0)),0))</f>
        <v/>
      </c>
      <c r="M388">
        <f>IF(B388="","",IFERROR(SUMPRODUCT((LEN(Employees!$A$3:$A$500)&gt;0)*(Employees!$U$3:$U$500=1)*(COUNTIFS($B$3:$B$500,Employees!$A$3:$A$500,$H$3:$H$500,"Approved",$D$3:$D$500,"&lt;="&amp;E388,$E$3:$E$500,"&gt;="&amp;D388,$A$3:$A$500,"&lt;&gt;"&amp;A388)=0)),0))</f>
        <v/>
      </c>
      <c r="N388">
        <f>IF(B388="","",IFERROR(SUMPRODUCT((LEN(Employees!$A$3:$A$500)&gt;0)*(Employees!$B$3:$B$500="Manager")*(Employees!$U$3:$U$500=1)*(COUNTIFS($B$3:$B$500,Employees!$A$3:$A$500,$H$3:$H$500,"Approved",$D$3:$D$500,"&lt;="&amp;E388,$E$3:$E$500,"&gt;="&amp;D388,$A$3:$A$500,"&lt;&gt;"&amp;A388)=0)),0))</f>
        <v/>
      </c>
      <c r="O388">
        <f>IF(B388="","",IFERROR(SUMPRODUCT((LEN(Employees!$A$3:$A$500)&gt;0)*(Employees!$V$3:$V$500=1)*(COUNTIFS($B$3:$B$500,Employees!$A$3:$A$500,$H$3:$H$500,"Approved",$D$3:$D$500,"&lt;="&amp;E388,$E$3:$E$500,"&gt;="&amp;D388,$A$3:$A$500,"&lt;&gt;"&amp;A388)=0)),0))</f>
        <v/>
      </c>
      <c r="P388">
        <f>IF(B388="","",IFERROR(SUMPRODUCT((LEN(Employees!$A$3:$A$500)&gt;0)*(Employees!$W$3:$W$500=1)*(COUNTIFS($B$3:$B$500,Employees!$A$3:$A$500,$H$3:$H$500,"Approved",$D$3:$D$500,"&lt;="&amp;E388,$E$3:$E$500,"&gt;="&amp;D388,$A$3:$A$500,"&lt;&gt;"&amp;A388)=0)),0))</f>
        <v/>
      </c>
      <c r="Q388">
        <f>IF(B388="","",IFERROR(SUMPRODUCT((LEN(Employees!$A$3:$A$500)&gt;0)*(Employees!$N$3:$N$500=1)*(COUNTIFS($B$3:$B$500,Employees!$A$3:$A$500,$H$3:$H$500,"Approved",$D$3:$D$500,"&lt;="&amp;E388,$E$3:$E$500,"&gt;="&amp;D388,$A$3:$A$500,"&lt;&gt;"&amp;A388)&gt;0)),0))</f>
        <v/>
      </c>
      <c r="R388">
        <f>IF(B388="","",IFERROR(SUMPRODUCT((LEN(Employees!$A$3:$A$500)&gt;0)*(Employees!$O$3:$O$500=1)*(COUNTIFS($B$3:$B$500,Employees!$A$3:$A$500,$H$3:$H$500,"Approved",$D$3:$D$500,"&lt;="&amp;E388,$E$3:$E$500,"&gt;="&amp;D388,$A$3:$A$500,"&lt;&gt;"&amp;A388)&gt;0)),0))</f>
        <v/>
      </c>
      <c r="S388">
        <f>IF(OR(B388="",IFERROR(XLOOKUP(B388,Employees!$A$3:$A$500,Employees!$G$3:$G$500,""),"")=""),"",IFERROR(SUMPRODUCT((LEN(Employees!$A$3:$A$500)&gt;0)*(Employees!$G$3:$G$500=IFERROR(XLOOKUP(B388,Employees!$A$3:$A$500,Employees!$G$3:$G$500,""),""))*(COUNTIFS($B$3:$B$500,Employees!$A$3:$A$500,$H$3:$H$500,"Approved",$D$3:$D$500,"&lt;="&amp;E388,$E$3:$E$500,"&gt;="&amp;D388,$A$3:$A$500,"&lt;&gt;"&amp;A388)&gt;0)),0))</f>
        <v/>
      </c>
    </row>
    <row r="389">
      <c r="C389">
        <f>IFERROR(XLOOKUP(B389,Employees!$A$3:$A$500,Employees!$B$3:$B$500,""),"")</f>
        <v/>
      </c>
      <c r="I389">
        <f>IF(AND(B389&lt;&gt;"",D389&lt;&gt;"",E389&lt;&gt;""),E389-D389+1,"")</f>
        <v/>
      </c>
      <c r="J389">
        <f>IF(OR(B389="",D389="",E389=""),"",IF(OR(L389&lt;'Coverage Rules'!E7,M389&lt;'Coverage Rules'!E8,N389&lt;'Coverage Rules'!C8,O389&lt;'Coverage Rules'!E9,P389&lt;'Coverage Rules'!E10,Q389&gt;='Coverage Rules'!B16,R389&gt;='Coverage Rules'!B17,IF(S389="",FALSE,S389&gt;='Coverage Rules'!D24)),"Denied","OK"))</f>
        <v/>
      </c>
      <c r="L389">
        <f>IF(B389="","",IFERROR(SUMPRODUCT((LEN(Employees!$A$3:$A$500)&gt;0)*(Employees!$T$3:$T$500=1)*(COUNTIFS($B$3:$B$500,Employees!$A$3:$A$500,$H$3:$H$500,"Approved",$D$3:$D$500,"&lt;="&amp;E389,$E$3:$E$500,"&gt;="&amp;D389,$A$3:$A$500,"&lt;&gt;"&amp;A389)=0)),0))</f>
        <v/>
      </c>
      <c r="M389">
        <f>IF(B389="","",IFERROR(SUMPRODUCT((LEN(Employees!$A$3:$A$500)&gt;0)*(Employees!$U$3:$U$500=1)*(COUNTIFS($B$3:$B$500,Employees!$A$3:$A$500,$H$3:$H$500,"Approved",$D$3:$D$500,"&lt;="&amp;E389,$E$3:$E$500,"&gt;="&amp;D389,$A$3:$A$500,"&lt;&gt;"&amp;A389)=0)),0))</f>
        <v/>
      </c>
      <c r="N389">
        <f>IF(B389="","",IFERROR(SUMPRODUCT((LEN(Employees!$A$3:$A$500)&gt;0)*(Employees!$B$3:$B$500="Manager")*(Employees!$U$3:$U$500=1)*(COUNTIFS($B$3:$B$500,Employees!$A$3:$A$500,$H$3:$H$500,"Approved",$D$3:$D$500,"&lt;="&amp;E389,$E$3:$E$500,"&gt;="&amp;D389,$A$3:$A$500,"&lt;&gt;"&amp;A389)=0)),0))</f>
        <v/>
      </c>
      <c r="O389">
        <f>IF(B389="","",IFERROR(SUMPRODUCT((LEN(Employees!$A$3:$A$500)&gt;0)*(Employees!$V$3:$V$500=1)*(COUNTIFS($B$3:$B$500,Employees!$A$3:$A$500,$H$3:$H$500,"Approved",$D$3:$D$500,"&lt;="&amp;E389,$E$3:$E$500,"&gt;="&amp;D389,$A$3:$A$500,"&lt;&gt;"&amp;A389)=0)),0))</f>
        <v/>
      </c>
      <c r="P389">
        <f>IF(B389="","",IFERROR(SUMPRODUCT((LEN(Employees!$A$3:$A$500)&gt;0)*(Employees!$W$3:$W$500=1)*(COUNTIFS($B$3:$B$500,Employees!$A$3:$A$500,$H$3:$H$500,"Approved",$D$3:$D$500,"&lt;="&amp;E389,$E$3:$E$500,"&gt;="&amp;D389,$A$3:$A$500,"&lt;&gt;"&amp;A389)=0)),0))</f>
        <v/>
      </c>
      <c r="Q389">
        <f>IF(B389="","",IFERROR(SUMPRODUCT((LEN(Employees!$A$3:$A$500)&gt;0)*(Employees!$N$3:$N$500=1)*(COUNTIFS($B$3:$B$500,Employees!$A$3:$A$500,$H$3:$H$500,"Approved",$D$3:$D$500,"&lt;="&amp;E389,$E$3:$E$500,"&gt;="&amp;D389,$A$3:$A$500,"&lt;&gt;"&amp;A389)&gt;0)),0))</f>
        <v/>
      </c>
      <c r="R389">
        <f>IF(B389="","",IFERROR(SUMPRODUCT((LEN(Employees!$A$3:$A$500)&gt;0)*(Employees!$O$3:$O$500=1)*(COUNTIFS($B$3:$B$500,Employees!$A$3:$A$500,$H$3:$H$500,"Approved",$D$3:$D$500,"&lt;="&amp;E389,$E$3:$E$500,"&gt;="&amp;D389,$A$3:$A$500,"&lt;&gt;"&amp;A389)&gt;0)),0))</f>
        <v/>
      </c>
      <c r="S389">
        <f>IF(OR(B389="",IFERROR(XLOOKUP(B389,Employees!$A$3:$A$500,Employees!$G$3:$G$500,""),"")=""),"",IFERROR(SUMPRODUCT((LEN(Employees!$A$3:$A$500)&gt;0)*(Employees!$G$3:$G$500=IFERROR(XLOOKUP(B389,Employees!$A$3:$A$500,Employees!$G$3:$G$500,""),""))*(COUNTIFS($B$3:$B$500,Employees!$A$3:$A$500,$H$3:$H$500,"Approved",$D$3:$D$500,"&lt;="&amp;E389,$E$3:$E$500,"&gt;="&amp;D389,$A$3:$A$500,"&lt;&gt;"&amp;A389)&gt;0)),0))</f>
        <v/>
      </c>
    </row>
    <row r="390">
      <c r="C390">
        <f>IFERROR(XLOOKUP(B390,Employees!$A$3:$A$500,Employees!$B$3:$B$500,""),"")</f>
        <v/>
      </c>
      <c r="I390">
        <f>IF(AND(B390&lt;&gt;"",D390&lt;&gt;"",E390&lt;&gt;""),E390-D390+1,"")</f>
        <v/>
      </c>
      <c r="J390">
        <f>IF(OR(B390="",D390="",E390=""),"",IF(OR(L390&lt;'Coverage Rules'!E7,M390&lt;'Coverage Rules'!E8,N390&lt;'Coverage Rules'!C8,O390&lt;'Coverage Rules'!E9,P390&lt;'Coverage Rules'!E10,Q390&gt;='Coverage Rules'!B16,R390&gt;='Coverage Rules'!B17,IF(S390="",FALSE,S390&gt;='Coverage Rules'!D24)),"Denied","OK"))</f>
        <v/>
      </c>
      <c r="L390">
        <f>IF(B390="","",IFERROR(SUMPRODUCT((LEN(Employees!$A$3:$A$500)&gt;0)*(Employees!$T$3:$T$500=1)*(COUNTIFS($B$3:$B$500,Employees!$A$3:$A$500,$H$3:$H$500,"Approved",$D$3:$D$500,"&lt;="&amp;E390,$E$3:$E$500,"&gt;="&amp;D390,$A$3:$A$500,"&lt;&gt;"&amp;A390)=0)),0))</f>
        <v/>
      </c>
      <c r="M390">
        <f>IF(B390="","",IFERROR(SUMPRODUCT((LEN(Employees!$A$3:$A$500)&gt;0)*(Employees!$U$3:$U$500=1)*(COUNTIFS($B$3:$B$500,Employees!$A$3:$A$500,$H$3:$H$500,"Approved",$D$3:$D$500,"&lt;="&amp;E390,$E$3:$E$500,"&gt;="&amp;D390,$A$3:$A$500,"&lt;&gt;"&amp;A390)=0)),0))</f>
        <v/>
      </c>
      <c r="N390">
        <f>IF(B390="","",IFERROR(SUMPRODUCT((LEN(Employees!$A$3:$A$500)&gt;0)*(Employees!$B$3:$B$500="Manager")*(Employees!$U$3:$U$500=1)*(COUNTIFS($B$3:$B$500,Employees!$A$3:$A$500,$H$3:$H$500,"Approved",$D$3:$D$500,"&lt;="&amp;E390,$E$3:$E$500,"&gt;="&amp;D390,$A$3:$A$500,"&lt;&gt;"&amp;A390)=0)),0))</f>
        <v/>
      </c>
      <c r="O390">
        <f>IF(B390="","",IFERROR(SUMPRODUCT((LEN(Employees!$A$3:$A$500)&gt;0)*(Employees!$V$3:$V$500=1)*(COUNTIFS($B$3:$B$500,Employees!$A$3:$A$500,$H$3:$H$500,"Approved",$D$3:$D$500,"&lt;="&amp;E390,$E$3:$E$500,"&gt;="&amp;D390,$A$3:$A$500,"&lt;&gt;"&amp;A390)=0)),0))</f>
        <v/>
      </c>
      <c r="P390">
        <f>IF(B390="","",IFERROR(SUMPRODUCT((LEN(Employees!$A$3:$A$500)&gt;0)*(Employees!$W$3:$W$500=1)*(COUNTIFS($B$3:$B$500,Employees!$A$3:$A$500,$H$3:$H$500,"Approved",$D$3:$D$500,"&lt;="&amp;E390,$E$3:$E$500,"&gt;="&amp;D390,$A$3:$A$500,"&lt;&gt;"&amp;A390)=0)),0))</f>
        <v/>
      </c>
      <c r="Q390">
        <f>IF(B390="","",IFERROR(SUMPRODUCT((LEN(Employees!$A$3:$A$500)&gt;0)*(Employees!$N$3:$N$500=1)*(COUNTIFS($B$3:$B$500,Employees!$A$3:$A$500,$H$3:$H$500,"Approved",$D$3:$D$500,"&lt;="&amp;E390,$E$3:$E$500,"&gt;="&amp;D390,$A$3:$A$500,"&lt;&gt;"&amp;A390)&gt;0)),0))</f>
        <v/>
      </c>
      <c r="R390">
        <f>IF(B390="","",IFERROR(SUMPRODUCT((LEN(Employees!$A$3:$A$500)&gt;0)*(Employees!$O$3:$O$500=1)*(COUNTIFS($B$3:$B$500,Employees!$A$3:$A$500,$H$3:$H$500,"Approved",$D$3:$D$500,"&lt;="&amp;E390,$E$3:$E$500,"&gt;="&amp;D390,$A$3:$A$500,"&lt;&gt;"&amp;A390)&gt;0)),0))</f>
        <v/>
      </c>
      <c r="S390">
        <f>IF(OR(B390="",IFERROR(XLOOKUP(B390,Employees!$A$3:$A$500,Employees!$G$3:$G$500,""),"")=""),"",IFERROR(SUMPRODUCT((LEN(Employees!$A$3:$A$500)&gt;0)*(Employees!$G$3:$G$500=IFERROR(XLOOKUP(B390,Employees!$A$3:$A$500,Employees!$G$3:$G$500,""),""))*(COUNTIFS($B$3:$B$500,Employees!$A$3:$A$500,$H$3:$H$500,"Approved",$D$3:$D$500,"&lt;="&amp;E390,$E$3:$E$500,"&gt;="&amp;D390,$A$3:$A$500,"&lt;&gt;"&amp;A390)&gt;0)),0))</f>
        <v/>
      </c>
    </row>
    <row r="391">
      <c r="C391">
        <f>IFERROR(XLOOKUP(B391,Employees!$A$3:$A$500,Employees!$B$3:$B$500,""),"")</f>
        <v/>
      </c>
      <c r="I391">
        <f>IF(AND(B391&lt;&gt;"",D391&lt;&gt;"",E391&lt;&gt;""),E391-D391+1,"")</f>
        <v/>
      </c>
      <c r="J391">
        <f>IF(OR(B391="",D391="",E391=""),"",IF(OR(L391&lt;'Coverage Rules'!E7,M391&lt;'Coverage Rules'!E8,N391&lt;'Coverage Rules'!C8,O391&lt;'Coverage Rules'!E9,P391&lt;'Coverage Rules'!E10,Q391&gt;='Coverage Rules'!B16,R391&gt;='Coverage Rules'!B17,IF(S391="",FALSE,S391&gt;='Coverage Rules'!D24)),"Denied","OK"))</f>
        <v/>
      </c>
      <c r="L391">
        <f>IF(B391="","",IFERROR(SUMPRODUCT((LEN(Employees!$A$3:$A$500)&gt;0)*(Employees!$T$3:$T$500=1)*(COUNTIFS($B$3:$B$500,Employees!$A$3:$A$500,$H$3:$H$500,"Approved",$D$3:$D$500,"&lt;="&amp;E391,$E$3:$E$500,"&gt;="&amp;D391,$A$3:$A$500,"&lt;&gt;"&amp;A391)=0)),0))</f>
        <v/>
      </c>
      <c r="M391">
        <f>IF(B391="","",IFERROR(SUMPRODUCT((LEN(Employees!$A$3:$A$500)&gt;0)*(Employees!$U$3:$U$500=1)*(COUNTIFS($B$3:$B$500,Employees!$A$3:$A$500,$H$3:$H$500,"Approved",$D$3:$D$500,"&lt;="&amp;E391,$E$3:$E$500,"&gt;="&amp;D391,$A$3:$A$500,"&lt;&gt;"&amp;A391)=0)),0))</f>
        <v/>
      </c>
      <c r="N391">
        <f>IF(B391="","",IFERROR(SUMPRODUCT((LEN(Employees!$A$3:$A$500)&gt;0)*(Employees!$B$3:$B$500="Manager")*(Employees!$U$3:$U$500=1)*(COUNTIFS($B$3:$B$500,Employees!$A$3:$A$500,$H$3:$H$500,"Approved",$D$3:$D$500,"&lt;="&amp;E391,$E$3:$E$500,"&gt;="&amp;D391,$A$3:$A$500,"&lt;&gt;"&amp;A391)=0)),0))</f>
        <v/>
      </c>
      <c r="O391">
        <f>IF(B391="","",IFERROR(SUMPRODUCT((LEN(Employees!$A$3:$A$500)&gt;0)*(Employees!$V$3:$V$500=1)*(COUNTIFS($B$3:$B$500,Employees!$A$3:$A$500,$H$3:$H$500,"Approved",$D$3:$D$500,"&lt;="&amp;E391,$E$3:$E$500,"&gt;="&amp;D391,$A$3:$A$500,"&lt;&gt;"&amp;A391)=0)),0))</f>
        <v/>
      </c>
      <c r="P391">
        <f>IF(B391="","",IFERROR(SUMPRODUCT((LEN(Employees!$A$3:$A$500)&gt;0)*(Employees!$W$3:$W$500=1)*(COUNTIFS($B$3:$B$500,Employees!$A$3:$A$500,$H$3:$H$500,"Approved",$D$3:$D$500,"&lt;="&amp;E391,$E$3:$E$500,"&gt;="&amp;D391,$A$3:$A$500,"&lt;&gt;"&amp;A391)=0)),0))</f>
        <v/>
      </c>
      <c r="Q391">
        <f>IF(B391="","",IFERROR(SUMPRODUCT((LEN(Employees!$A$3:$A$500)&gt;0)*(Employees!$N$3:$N$500=1)*(COUNTIFS($B$3:$B$500,Employees!$A$3:$A$500,$H$3:$H$500,"Approved",$D$3:$D$500,"&lt;="&amp;E391,$E$3:$E$500,"&gt;="&amp;D391,$A$3:$A$500,"&lt;&gt;"&amp;A391)&gt;0)),0))</f>
        <v/>
      </c>
      <c r="R391">
        <f>IF(B391="","",IFERROR(SUMPRODUCT((LEN(Employees!$A$3:$A$500)&gt;0)*(Employees!$O$3:$O$500=1)*(COUNTIFS($B$3:$B$500,Employees!$A$3:$A$500,$H$3:$H$500,"Approved",$D$3:$D$500,"&lt;="&amp;E391,$E$3:$E$500,"&gt;="&amp;D391,$A$3:$A$500,"&lt;&gt;"&amp;A391)&gt;0)),0))</f>
        <v/>
      </c>
      <c r="S391">
        <f>IF(OR(B391="",IFERROR(XLOOKUP(B391,Employees!$A$3:$A$500,Employees!$G$3:$G$500,""),"")=""),"",IFERROR(SUMPRODUCT((LEN(Employees!$A$3:$A$500)&gt;0)*(Employees!$G$3:$G$500=IFERROR(XLOOKUP(B391,Employees!$A$3:$A$500,Employees!$G$3:$G$500,""),""))*(COUNTIFS($B$3:$B$500,Employees!$A$3:$A$500,$H$3:$H$500,"Approved",$D$3:$D$500,"&lt;="&amp;E391,$E$3:$E$500,"&gt;="&amp;D391,$A$3:$A$500,"&lt;&gt;"&amp;A391)&gt;0)),0))</f>
        <v/>
      </c>
    </row>
    <row r="392">
      <c r="C392">
        <f>IFERROR(XLOOKUP(B392,Employees!$A$3:$A$500,Employees!$B$3:$B$500,""),"")</f>
        <v/>
      </c>
      <c r="I392">
        <f>IF(AND(B392&lt;&gt;"",D392&lt;&gt;"",E392&lt;&gt;""),E392-D392+1,"")</f>
        <v/>
      </c>
      <c r="J392">
        <f>IF(OR(B392="",D392="",E392=""),"",IF(OR(L392&lt;'Coverage Rules'!E7,M392&lt;'Coverage Rules'!E8,N392&lt;'Coverage Rules'!C8,O392&lt;'Coverage Rules'!E9,P392&lt;'Coverage Rules'!E10,Q392&gt;='Coverage Rules'!B16,R392&gt;='Coverage Rules'!B17,IF(S392="",FALSE,S392&gt;='Coverage Rules'!D24)),"Denied","OK"))</f>
        <v/>
      </c>
      <c r="L392">
        <f>IF(B392="","",IFERROR(SUMPRODUCT((LEN(Employees!$A$3:$A$500)&gt;0)*(Employees!$T$3:$T$500=1)*(COUNTIFS($B$3:$B$500,Employees!$A$3:$A$500,$H$3:$H$500,"Approved",$D$3:$D$500,"&lt;="&amp;E392,$E$3:$E$500,"&gt;="&amp;D392,$A$3:$A$500,"&lt;&gt;"&amp;A392)=0)),0))</f>
        <v/>
      </c>
      <c r="M392">
        <f>IF(B392="","",IFERROR(SUMPRODUCT((LEN(Employees!$A$3:$A$500)&gt;0)*(Employees!$U$3:$U$500=1)*(COUNTIFS($B$3:$B$500,Employees!$A$3:$A$500,$H$3:$H$500,"Approved",$D$3:$D$500,"&lt;="&amp;E392,$E$3:$E$500,"&gt;="&amp;D392,$A$3:$A$500,"&lt;&gt;"&amp;A392)=0)),0))</f>
        <v/>
      </c>
      <c r="N392">
        <f>IF(B392="","",IFERROR(SUMPRODUCT((LEN(Employees!$A$3:$A$500)&gt;0)*(Employees!$B$3:$B$500="Manager")*(Employees!$U$3:$U$500=1)*(COUNTIFS($B$3:$B$500,Employees!$A$3:$A$500,$H$3:$H$500,"Approved",$D$3:$D$500,"&lt;="&amp;E392,$E$3:$E$500,"&gt;="&amp;D392,$A$3:$A$500,"&lt;&gt;"&amp;A392)=0)),0))</f>
        <v/>
      </c>
      <c r="O392">
        <f>IF(B392="","",IFERROR(SUMPRODUCT((LEN(Employees!$A$3:$A$500)&gt;0)*(Employees!$V$3:$V$500=1)*(COUNTIFS($B$3:$B$500,Employees!$A$3:$A$500,$H$3:$H$500,"Approved",$D$3:$D$500,"&lt;="&amp;E392,$E$3:$E$500,"&gt;="&amp;D392,$A$3:$A$500,"&lt;&gt;"&amp;A392)=0)),0))</f>
        <v/>
      </c>
      <c r="P392">
        <f>IF(B392="","",IFERROR(SUMPRODUCT((LEN(Employees!$A$3:$A$500)&gt;0)*(Employees!$W$3:$W$500=1)*(COUNTIFS($B$3:$B$500,Employees!$A$3:$A$500,$H$3:$H$500,"Approved",$D$3:$D$500,"&lt;="&amp;E392,$E$3:$E$500,"&gt;="&amp;D392,$A$3:$A$500,"&lt;&gt;"&amp;A392)=0)),0))</f>
        <v/>
      </c>
      <c r="Q392">
        <f>IF(B392="","",IFERROR(SUMPRODUCT((LEN(Employees!$A$3:$A$500)&gt;0)*(Employees!$N$3:$N$500=1)*(COUNTIFS($B$3:$B$500,Employees!$A$3:$A$500,$H$3:$H$500,"Approved",$D$3:$D$500,"&lt;="&amp;E392,$E$3:$E$500,"&gt;="&amp;D392,$A$3:$A$500,"&lt;&gt;"&amp;A392)&gt;0)),0))</f>
        <v/>
      </c>
      <c r="R392">
        <f>IF(B392="","",IFERROR(SUMPRODUCT((LEN(Employees!$A$3:$A$500)&gt;0)*(Employees!$O$3:$O$500=1)*(COUNTIFS($B$3:$B$500,Employees!$A$3:$A$500,$H$3:$H$500,"Approved",$D$3:$D$500,"&lt;="&amp;E392,$E$3:$E$500,"&gt;="&amp;D392,$A$3:$A$500,"&lt;&gt;"&amp;A392)&gt;0)),0))</f>
        <v/>
      </c>
      <c r="S392">
        <f>IF(OR(B392="",IFERROR(XLOOKUP(B392,Employees!$A$3:$A$500,Employees!$G$3:$G$500,""),"")=""),"",IFERROR(SUMPRODUCT((LEN(Employees!$A$3:$A$500)&gt;0)*(Employees!$G$3:$G$500=IFERROR(XLOOKUP(B392,Employees!$A$3:$A$500,Employees!$G$3:$G$500,""),""))*(COUNTIFS($B$3:$B$500,Employees!$A$3:$A$500,$H$3:$H$500,"Approved",$D$3:$D$500,"&lt;="&amp;E392,$E$3:$E$500,"&gt;="&amp;D392,$A$3:$A$500,"&lt;&gt;"&amp;A392)&gt;0)),0))</f>
        <v/>
      </c>
    </row>
    <row r="393">
      <c r="C393">
        <f>IFERROR(XLOOKUP(B393,Employees!$A$3:$A$500,Employees!$B$3:$B$500,""),"")</f>
        <v/>
      </c>
      <c r="I393">
        <f>IF(AND(B393&lt;&gt;"",D393&lt;&gt;"",E393&lt;&gt;""),E393-D393+1,"")</f>
        <v/>
      </c>
      <c r="J393">
        <f>IF(OR(B393="",D393="",E393=""),"",IF(OR(L393&lt;'Coverage Rules'!E7,M393&lt;'Coverage Rules'!E8,N393&lt;'Coverage Rules'!C8,O393&lt;'Coverage Rules'!E9,P393&lt;'Coverage Rules'!E10,Q393&gt;='Coverage Rules'!B16,R393&gt;='Coverage Rules'!B17,IF(S393="",FALSE,S393&gt;='Coverage Rules'!D24)),"Denied","OK"))</f>
        <v/>
      </c>
      <c r="L393">
        <f>IF(B393="","",IFERROR(SUMPRODUCT((LEN(Employees!$A$3:$A$500)&gt;0)*(Employees!$T$3:$T$500=1)*(COUNTIFS($B$3:$B$500,Employees!$A$3:$A$500,$H$3:$H$500,"Approved",$D$3:$D$500,"&lt;="&amp;E393,$E$3:$E$500,"&gt;="&amp;D393,$A$3:$A$500,"&lt;&gt;"&amp;A393)=0)),0))</f>
        <v/>
      </c>
      <c r="M393">
        <f>IF(B393="","",IFERROR(SUMPRODUCT((LEN(Employees!$A$3:$A$500)&gt;0)*(Employees!$U$3:$U$500=1)*(COUNTIFS($B$3:$B$500,Employees!$A$3:$A$500,$H$3:$H$500,"Approved",$D$3:$D$500,"&lt;="&amp;E393,$E$3:$E$500,"&gt;="&amp;D393,$A$3:$A$500,"&lt;&gt;"&amp;A393)=0)),0))</f>
        <v/>
      </c>
      <c r="N393">
        <f>IF(B393="","",IFERROR(SUMPRODUCT((LEN(Employees!$A$3:$A$500)&gt;0)*(Employees!$B$3:$B$500="Manager")*(Employees!$U$3:$U$500=1)*(COUNTIFS($B$3:$B$500,Employees!$A$3:$A$500,$H$3:$H$500,"Approved",$D$3:$D$500,"&lt;="&amp;E393,$E$3:$E$500,"&gt;="&amp;D393,$A$3:$A$500,"&lt;&gt;"&amp;A393)=0)),0))</f>
        <v/>
      </c>
      <c r="O393">
        <f>IF(B393="","",IFERROR(SUMPRODUCT((LEN(Employees!$A$3:$A$500)&gt;0)*(Employees!$V$3:$V$500=1)*(COUNTIFS($B$3:$B$500,Employees!$A$3:$A$500,$H$3:$H$500,"Approved",$D$3:$D$500,"&lt;="&amp;E393,$E$3:$E$500,"&gt;="&amp;D393,$A$3:$A$500,"&lt;&gt;"&amp;A393)=0)),0))</f>
        <v/>
      </c>
      <c r="P393">
        <f>IF(B393="","",IFERROR(SUMPRODUCT((LEN(Employees!$A$3:$A$500)&gt;0)*(Employees!$W$3:$W$500=1)*(COUNTIFS($B$3:$B$500,Employees!$A$3:$A$500,$H$3:$H$500,"Approved",$D$3:$D$500,"&lt;="&amp;E393,$E$3:$E$500,"&gt;="&amp;D393,$A$3:$A$500,"&lt;&gt;"&amp;A393)=0)),0))</f>
        <v/>
      </c>
      <c r="Q393">
        <f>IF(B393="","",IFERROR(SUMPRODUCT((LEN(Employees!$A$3:$A$500)&gt;0)*(Employees!$N$3:$N$500=1)*(COUNTIFS($B$3:$B$500,Employees!$A$3:$A$500,$H$3:$H$500,"Approved",$D$3:$D$500,"&lt;="&amp;E393,$E$3:$E$500,"&gt;="&amp;D393,$A$3:$A$500,"&lt;&gt;"&amp;A393)&gt;0)),0))</f>
        <v/>
      </c>
      <c r="R393">
        <f>IF(B393="","",IFERROR(SUMPRODUCT((LEN(Employees!$A$3:$A$500)&gt;0)*(Employees!$O$3:$O$500=1)*(COUNTIFS($B$3:$B$500,Employees!$A$3:$A$500,$H$3:$H$500,"Approved",$D$3:$D$500,"&lt;="&amp;E393,$E$3:$E$500,"&gt;="&amp;D393,$A$3:$A$500,"&lt;&gt;"&amp;A393)&gt;0)),0))</f>
        <v/>
      </c>
      <c r="S393">
        <f>IF(OR(B393="",IFERROR(XLOOKUP(B393,Employees!$A$3:$A$500,Employees!$G$3:$G$500,""),"")=""),"",IFERROR(SUMPRODUCT((LEN(Employees!$A$3:$A$500)&gt;0)*(Employees!$G$3:$G$500=IFERROR(XLOOKUP(B393,Employees!$A$3:$A$500,Employees!$G$3:$G$500,""),""))*(COUNTIFS($B$3:$B$500,Employees!$A$3:$A$500,$H$3:$H$500,"Approved",$D$3:$D$500,"&lt;="&amp;E393,$E$3:$E$500,"&gt;="&amp;D393,$A$3:$A$500,"&lt;&gt;"&amp;A393)&gt;0)),0))</f>
        <v/>
      </c>
    </row>
    <row r="394">
      <c r="C394">
        <f>IFERROR(XLOOKUP(B394,Employees!$A$3:$A$500,Employees!$B$3:$B$500,""),"")</f>
        <v/>
      </c>
      <c r="I394">
        <f>IF(AND(B394&lt;&gt;"",D394&lt;&gt;"",E394&lt;&gt;""),E394-D394+1,"")</f>
        <v/>
      </c>
      <c r="J394">
        <f>IF(OR(B394="",D394="",E394=""),"",IF(OR(L394&lt;'Coverage Rules'!E7,M394&lt;'Coverage Rules'!E8,N394&lt;'Coverage Rules'!C8,O394&lt;'Coverage Rules'!E9,P394&lt;'Coverage Rules'!E10,Q394&gt;='Coverage Rules'!B16,R394&gt;='Coverage Rules'!B17,IF(S394="",FALSE,S394&gt;='Coverage Rules'!D24)),"Denied","OK"))</f>
        <v/>
      </c>
      <c r="L394">
        <f>IF(B394="","",IFERROR(SUMPRODUCT((LEN(Employees!$A$3:$A$500)&gt;0)*(Employees!$T$3:$T$500=1)*(COUNTIFS($B$3:$B$500,Employees!$A$3:$A$500,$H$3:$H$500,"Approved",$D$3:$D$500,"&lt;="&amp;E394,$E$3:$E$500,"&gt;="&amp;D394,$A$3:$A$500,"&lt;&gt;"&amp;A394)=0)),0))</f>
        <v/>
      </c>
      <c r="M394">
        <f>IF(B394="","",IFERROR(SUMPRODUCT((LEN(Employees!$A$3:$A$500)&gt;0)*(Employees!$U$3:$U$500=1)*(COUNTIFS($B$3:$B$500,Employees!$A$3:$A$500,$H$3:$H$500,"Approved",$D$3:$D$500,"&lt;="&amp;E394,$E$3:$E$500,"&gt;="&amp;D394,$A$3:$A$500,"&lt;&gt;"&amp;A394)=0)),0))</f>
        <v/>
      </c>
      <c r="N394">
        <f>IF(B394="","",IFERROR(SUMPRODUCT((LEN(Employees!$A$3:$A$500)&gt;0)*(Employees!$B$3:$B$500="Manager")*(Employees!$U$3:$U$500=1)*(COUNTIFS($B$3:$B$500,Employees!$A$3:$A$500,$H$3:$H$500,"Approved",$D$3:$D$500,"&lt;="&amp;E394,$E$3:$E$500,"&gt;="&amp;D394,$A$3:$A$500,"&lt;&gt;"&amp;A394)=0)),0))</f>
        <v/>
      </c>
      <c r="O394">
        <f>IF(B394="","",IFERROR(SUMPRODUCT((LEN(Employees!$A$3:$A$500)&gt;0)*(Employees!$V$3:$V$500=1)*(COUNTIFS($B$3:$B$500,Employees!$A$3:$A$500,$H$3:$H$500,"Approved",$D$3:$D$500,"&lt;="&amp;E394,$E$3:$E$500,"&gt;="&amp;D394,$A$3:$A$500,"&lt;&gt;"&amp;A394)=0)),0))</f>
        <v/>
      </c>
      <c r="P394">
        <f>IF(B394="","",IFERROR(SUMPRODUCT((LEN(Employees!$A$3:$A$500)&gt;0)*(Employees!$W$3:$W$500=1)*(COUNTIFS($B$3:$B$500,Employees!$A$3:$A$500,$H$3:$H$500,"Approved",$D$3:$D$500,"&lt;="&amp;E394,$E$3:$E$500,"&gt;="&amp;D394,$A$3:$A$500,"&lt;&gt;"&amp;A394)=0)),0))</f>
        <v/>
      </c>
      <c r="Q394">
        <f>IF(B394="","",IFERROR(SUMPRODUCT((LEN(Employees!$A$3:$A$500)&gt;0)*(Employees!$N$3:$N$500=1)*(COUNTIFS($B$3:$B$500,Employees!$A$3:$A$500,$H$3:$H$500,"Approved",$D$3:$D$500,"&lt;="&amp;E394,$E$3:$E$500,"&gt;="&amp;D394,$A$3:$A$500,"&lt;&gt;"&amp;A394)&gt;0)),0))</f>
        <v/>
      </c>
      <c r="R394">
        <f>IF(B394="","",IFERROR(SUMPRODUCT((LEN(Employees!$A$3:$A$500)&gt;0)*(Employees!$O$3:$O$500=1)*(COUNTIFS($B$3:$B$500,Employees!$A$3:$A$500,$H$3:$H$500,"Approved",$D$3:$D$500,"&lt;="&amp;E394,$E$3:$E$500,"&gt;="&amp;D394,$A$3:$A$500,"&lt;&gt;"&amp;A394)&gt;0)),0))</f>
        <v/>
      </c>
      <c r="S394">
        <f>IF(OR(B394="",IFERROR(XLOOKUP(B394,Employees!$A$3:$A$500,Employees!$G$3:$G$500,""),"")=""),"",IFERROR(SUMPRODUCT((LEN(Employees!$A$3:$A$500)&gt;0)*(Employees!$G$3:$G$500=IFERROR(XLOOKUP(B394,Employees!$A$3:$A$500,Employees!$G$3:$G$500,""),""))*(COUNTIFS($B$3:$B$500,Employees!$A$3:$A$500,$H$3:$H$500,"Approved",$D$3:$D$500,"&lt;="&amp;E394,$E$3:$E$500,"&gt;="&amp;D394,$A$3:$A$500,"&lt;&gt;"&amp;A394)&gt;0)),0))</f>
        <v/>
      </c>
    </row>
    <row r="395">
      <c r="C395">
        <f>IFERROR(XLOOKUP(B395,Employees!$A$3:$A$500,Employees!$B$3:$B$500,""),"")</f>
        <v/>
      </c>
      <c r="I395">
        <f>IF(AND(B395&lt;&gt;"",D395&lt;&gt;"",E395&lt;&gt;""),E395-D395+1,"")</f>
        <v/>
      </c>
      <c r="J395">
        <f>IF(OR(B395="",D395="",E395=""),"",IF(OR(L395&lt;'Coverage Rules'!E7,M395&lt;'Coverage Rules'!E8,N395&lt;'Coverage Rules'!C8,O395&lt;'Coverage Rules'!E9,P395&lt;'Coverage Rules'!E10,Q395&gt;='Coverage Rules'!B16,R395&gt;='Coverage Rules'!B17,IF(S395="",FALSE,S395&gt;='Coverage Rules'!D24)),"Denied","OK"))</f>
        <v/>
      </c>
      <c r="L395">
        <f>IF(B395="","",IFERROR(SUMPRODUCT((LEN(Employees!$A$3:$A$500)&gt;0)*(Employees!$T$3:$T$500=1)*(COUNTIFS($B$3:$B$500,Employees!$A$3:$A$500,$H$3:$H$500,"Approved",$D$3:$D$500,"&lt;="&amp;E395,$E$3:$E$500,"&gt;="&amp;D395,$A$3:$A$500,"&lt;&gt;"&amp;A395)=0)),0))</f>
        <v/>
      </c>
      <c r="M395">
        <f>IF(B395="","",IFERROR(SUMPRODUCT((LEN(Employees!$A$3:$A$500)&gt;0)*(Employees!$U$3:$U$500=1)*(COUNTIFS($B$3:$B$500,Employees!$A$3:$A$500,$H$3:$H$500,"Approved",$D$3:$D$500,"&lt;="&amp;E395,$E$3:$E$500,"&gt;="&amp;D395,$A$3:$A$500,"&lt;&gt;"&amp;A395)=0)),0))</f>
        <v/>
      </c>
      <c r="N395">
        <f>IF(B395="","",IFERROR(SUMPRODUCT((LEN(Employees!$A$3:$A$500)&gt;0)*(Employees!$B$3:$B$500="Manager")*(Employees!$U$3:$U$500=1)*(COUNTIFS($B$3:$B$500,Employees!$A$3:$A$500,$H$3:$H$500,"Approved",$D$3:$D$500,"&lt;="&amp;E395,$E$3:$E$500,"&gt;="&amp;D395,$A$3:$A$500,"&lt;&gt;"&amp;A395)=0)),0))</f>
        <v/>
      </c>
      <c r="O395">
        <f>IF(B395="","",IFERROR(SUMPRODUCT((LEN(Employees!$A$3:$A$500)&gt;0)*(Employees!$V$3:$V$500=1)*(COUNTIFS($B$3:$B$500,Employees!$A$3:$A$500,$H$3:$H$500,"Approved",$D$3:$D$500,"&lt;="&amp;E395,$E$3:$E$500,"&gt;="&amp;D395,$A$3:$A$500,"&lt;&gt;"&amp;A395)=0)),0))</f>
        <v/>
      </c>
      <c r="P395">
        <f>IF(B395="","",IFERROR(SUMPRODUCT((LEN(Employees!$A$3:$A$500)&gt;0)*(Employees!$W$3:$W$500=1)*(COUNTIFS($B$3:$B$500,Employees!$A$3:$A$500,$H$3:$H$500,"Approved",$D$3:$D$500,"&lt;="&amp;E395,$E$3:$E$500,"&gt;="&amp;D395,$A$3:$A$500,"&lt;&gt;"&amp;A395)=0)),0))</f>
        <v/>
      </c>
      <c r="Q395">
        <f>IF(B395="","",IFERROR(SUMPRODUCT((LEN(Employees!$A$3:$A$500)&gt;0)*(Employees!$N$3:$N$500=1)*(COUNTIFS($B$3:$B$500,Employees!$A$3:$A$500,$H$3:$H$500,"Approved",$D$3:$D$500,"&lt;="&amp;E395,$E$3:$E$500,"&gt;="&amp;D395,$A$3:$A$500,"&lt;&gt;"&amp;A395)&gt;0)),0))</f>
        <v/>
      </c>
      <c r="R395">
        <f>IF(B395="","",IFERROR(SUMPRODUCT((LEN(Employees!$A$3:$A$500)&gt;0)*(Employees!$O$3:$O$500=1)*(COUNTIFS($B$3:$B$500,Employees!$A$3:$A$500,$H$3:$H$500,"Approved",$D$3:$D$500,"&lt;="&amp;E395,$E$3:$E$500,"&gt;="&amp;D395,$A$3:$A$500,"&lt;&gt;"&amp;A395)&gt;0)),0))</f>
        <v/>
      </c>
      <c r="S395">
        <f>IF(OR(B395="",IFERROR(XLOOKUP(B395,Employees!$A$3:$A$500,Employees!$G$3:$G$500,""),"")=""),"",IFERROR(SUMPRODUCT((LEN(Employees!$A$3:$A$500)&gt;0)*(Employees!$G$3:$G$500=IFERROR(XLOOKUP(B395,Employees!$A$3:$A$500,Employees!$G$3:$G$500,""),""))*(COUNTIFS($B$3:$B$500,Employees!$A$3:$A$500,$H$3:$H$500,"Approved",$D$3:$D$500,"&lt;="&amp;E395,$E$3:$E$500,"&gt;="&amp;D395,$A$3:$A$500,"&lt;&gt;"&amp;A395)&gt;0)),0))</f>
        <v/>
      </c>
    </row>
    <row r="396">
      <c r="C396">
        <f>IFERROR(XLOOKUP(B396,Employees!$A$3:$A$500,Employees!$B$3:$B$500,""),"")</f>
        <v/>
      </c>
      <c r="I396">
        <f>IF(AND(B396&lt;&gt;"",D396&lt;&gt;"",E396&lt;&gt;""),E396-D396+1,"")</f>
        <v/>
      </c>
      <c r="J396">
        <f>IF(OR(B396="",D396="",E396=""),"",IF(OR(L396&lt;'Coverage Rules'!E7,M396&lt;'Coverage Rules'!E8,N396&lt;'Coverage Rules'!C8,O396&lt;'Coverage Rules'!E9,P396&lt;'Coverage Rules'!E10,Q396&gt;='Coverage Rules'!B16,R396&gt;='Coverage Rules'!B17,IF(S396="",FALSE,S396&gt;='Coverage Rules'!D24)),"Denied","OK"))</f>
        <v/>
      </c>
      <c r="L396">
        <f>IF(B396="","",IFERROR(SUMPRODUCT((LEN(Employees!$A$3:$A$500)&gt;0)*(Employees!$T$3:$T$500=1)*(COUNTIFS($B$3:$B$500,Employees!$A$3:$A$500,$H$3:$H$500,"Approved",$D$3:$D$500,"&lt;="&amp;E396,$E$3:$E$500,"&gt;="&amp;D396,$A$3:$A$500,"&lt;&gt;"&amp;A396)=0)),0))</f>
        <v/>
      </c>
      <c r="M396">
        <f>IF(B396="","",IFERROR(SUMPRODUCT((LEN(Employees!$A$3:$A$500)&gt;0)*(Employees!$U$3:$U$500=1)*(COUNTIFS($B$3:$B$500,Employees!$A$3:$A$500,$H$3:$H$500,"Approved",$D$3:$D$500,"&lt;="&amp;E396,$E$3:$E$500,"&gt;="&amp;D396,$A$3:$A$500,"&lt;&gt;"&amp;A396)=0)),0))</f>
        <v/>
      </c>
      <c r="N396">
        <f>IF(B396="","",IFERROR(SUMPRODUCT((LEN(Employees!$A$3:$A$500)&gt;0)*(Employees!$B$3:$B$500="Manager")*(Employees!$U$3:$U$500=1)*(COUNTIFS($B$3:$B$500,Employees!$A$3:$A$500,$H$3:$H$500,"Approved",$D$3:$D$500,"&lt;="&amp;E396,$E$3:$E$500,"&gt;="&amp;D396,$A$3:$A$500,"&lt;&gt;"&amp;A396)=0)),0))</f>
        <v/>
      </c>
      <c r="O396">
        <f>IF(B396="","",IFERROR(SUMPRODUCT((LEN(Employees!$A$3:$A$500)&gt;0)*(Employees!$V$3:$V$500=1)*(COUNTIFS($B$3:$B$500,Employees!$A$3:$A$500,$H$3:$H$500,"Approved",$D$3:$D$500,"&lt;="&amp;E396,$E$3:$E$500,"&gt;="&amp;D396,$A$3:$A$500,"&lt;&gt;"&amp;A396)=0)),0))</f>
        <v/>
      </c>
      <c r="P396">
        <f>IF(B396="","",IFERROR(SUMPRODUCT((LEN(Employees!$A$3:$A$500)&gt;0)*(Employees!$W$3:$W$500=1)*(COUNTIFS($B$3:$B$500,Employees!$A$3:$A$500,$H$3:$H$500,"Approved",$D$3:$D$500,"&lt;="&amp;E396,$E$3:$E$500,"&gt;="&amp;D396,$A$3:$A$500,"&lt;&gt;"&amp;A396)=0)),0))</f>
        <v/>
      </c>
      <c r="Q396">
        <f>IF(B396="","",IFERROR(SUMPRODUCT((LEN(Employees!$A$3:$A$500)&gt;0)*(Employees!$N$3:$N$500=1)*(COUNTIFS($B$3:$B$500,Employees!$A$3:$A$500,$H$3:$H$500,"Approved",$D$3:$D$500,"&lt;="&amp;E396,$E$3:$E$500,"&gt;="&amp;D396,$A$3:$A$500,"&lt;&gt;"&amp;A396)&gt;0)),0))</f>
        <v/>
      </c>
      <c r="R396">
        <f>IF(B396="","",IFERROR(SUMPRODUCT((LEN(Employees!$A$3:$A$500)&gt;0)*(Employees!$O$3:$O$500=1)*(COUNTIFS($B$3:$B$500,Employees!$A$3:$A$500,$H$3:$H$500,"Approved",$D$3:$D$500,"&lt;="&amp;E396,$E$3:$E$500,"&gt;="&amp;D396,$A$3:$A$500,"&lt;&gt;"&amp;A396)&gt;0)),0))</f>
        <v/>
      </c>
      <c r="S396">
        <f>IF(OR(B396="",IFERROR(XLOOKUP(B396,Employees!$A$3:$A$500,Employees!$G$3:$G$500,""),"")=""),"",IFERROR(SUMPRODUCT((LEN(Employees!$A$3:$A$500)&gt;0)*(Employees!$G$3:$G$500=IFERROR(XLOOKUP(B396,Employees!$A$3:$A$500,Employees!$G$3:$G$500,""),""))*(COUNTIFS($B$3:$B$500,Employees!$A$3:$A$500,$H$3:$H$500,"Approved",$D$3:$D$500,"&lt;="&amp;E396,$E$3:$E$500,"&gt;="&amp;D396,$A$3:$A$500,"&lt;&gt;"&amp;A396)&gt;0)),0))</f>
        <v/>
      </c>
    </row>
    <row r="397">
      <c r="C397">
        <f>IFERROR(XLOOKUP(B397,Employees!$A$3:$A$500,Employees!$B$3:$B$500,""),"")</f>
        <v/>
      </c>
      <c r="I397">
        <f>IF(AND(B397&lt;&gt;"",D397&lt;&gt;"",E397&lt;&gt;""),E397-D397+1,"")</f>
        <v/>
      </c>
      <c r="J397">
        <f>IF(OR(B397="",D397="",E397=""),"",IF(OR(L397&lt;'Coverage Rules'!E7,M397&lt;'Coverage Rules'!E8,N397&lt;'Coverage Rules'!C8,O397&lt;'Coverage Rules'!E9,P397&lt;'Coverage Rules'!E10,Q397&gt;='Coverage Rules'!B16,R397&gt;='Coverage Rules'!B17,IF(S397="",FALSE,S397&gt;='Coverage Rules'!D24)),"Denied","OK"))</f>
        <v/>
      </c>
      <c r="L397">
        <f>IF(B397="","",IFERROR(SUMPRODUCT((LEN(Employees!$A$3:$A$500)&gt;0)*(Employees!$T$3:$T$500=1)*(COUNTIFS($B$3:$B$500,Employees!$A$3:$A$500,$H$3:$H$500,"Approved",$D$3:$D$500,"&lt;="&amp;E397,$E$3:$E$500,"&gt;="&amp;D397,$A$3:$A$500,"&lt;&gt;"&amp;A397)=0)),0))</f>
        <v/>
      </c>
      <c r="M397">
        <f>IF(B397="","",IFERROR(SUMPRODUCT((LEN(Employees!$A$3:$A$500)&gt;0)*(Employees!$U$3:$U$500=1)*(COUNTIFS($B$3:$B$500,Employees!$A$3:$A$500,$H$3:$H$500,"Approved",$D$3:$D$500,"&lt;="&amp;E397,$E$3:$E$500,"&gt;="&amp;D397,$A$3:$A$500,"&lt;&gt;"&amp;A397)=0)),0))</f>
        <v/>
      </c>
      <c r="N397">
        <f>IF(B397="","",IFERROR(SUMPRODUCT((LEN(Employees!$A$3:$A$500)&gt;0)*(Employees!$B$3:$B$500="Manager")*(Employees!$U$3:$U$500=1)*(COUNTIFS($B$3:$B$500,Employees!$A$3:$A$500,$H$3:$H$500,"Approved",$D$3:$D$500,"&lt;="&amp;E397,$E$3:$E$500,"&gt;="&amp;D397,$A$3:$A$500,"&lt;&gt;"&amp;A397)=0)),0))</f>
        <v/>
      </c>
      <c r="O397">
        <f>IF(B397="","",IFERROR(SUMPRODUCT((LEN(Employees!$A$3:$A$500)&gt;0)*(Employees!$V$3:$V$500=1)*(COUNTIFS($B$3:$B$500,Employees!$A$3:$A$500,$H$3:$H$500,"Approved",$D$3:$D$500,"&lt;="&amp;E397,$E$3:$E$500,"&gt;="&amp;D397,$A$3:$A$500,"&lt;&gt;"&amp;A397)=0)),0))</f>
        <v/>
      </c>
      <c r="P397">
        <f>IF(B397="","",IFERROR(SUMPRODUCT((LEN(Employees!$A$3:$A$500)&gt;0)*(Employees!$W$3:$W$500=1)*(COUNTIFS($B$3:$B$500,Employees!$A$3:$A$500,$H$3:$H$500,"Approved",$D$3:$D$500,"&lt;="&amp;E397,$E$3:$E$500,"&gt;="&amp;D397,$A$3:$A$500,"&lt;&gt;"&amp;A397)=0)),0))</f>
        <v/>
      </c>
      <c r="Q397">
        <f>IF(B397="","",IFERROR(SUMPRODUCT((LEN(Employees!$A$3:$A$500)&gt;0)*(Employees!$N$3:$N$500=1)*(COUNTIFS($B$3:$B$500,Employees!$A$3:$A$500,$H$3:$H$500,"Approved",$D$3:$D$500,"&lt;="&amp;E397,$E$3:$E$500,"&gt;="&amp;D397,$A$3:$A$500,"&lt;&gt;"&amp;A397)&gt;0)),0))</f>
        <v/>
      </c>
      <c r="R397">
        <f>IF(B397="","",IFERROR(SUMPRODUCT((LEN(Employees!$A$3:$A$500)&gt;0)*(Employees!$O$3:$O$500=1)*(COUNTIFS($B$3:$B$500,Employees!$A$3:$A$500,$H$3:$H$500,"Approved",$D$3:$D$500,"&lt;="&amp;E397,$E$3:$E$500,"&gt;="&amp;D397,$A$3:$A$500,"&lt;&gt;"&amp;A397)&gt;0)),0))</f>
        <v/>
      </c>
      <c r="S397">
        <f>IF(OR(B397="",IFERROR(XLOOKUP(B397,Employees!$A$3:$A$500,Employees!$G$3:$G$500,""),"")=""),"",IFERROR(SUMPRODUCT((LEN(Employees!$A$3:$A$500)&gt;0)*(Employees!$G$3:$G$500=IFERROR(XLOOKUP(B397,Employees!$A$3:$A$500,Employees!$G$3:$G$500,""),""))*(COUNTIFS($B$3:$B$500,Employees!$A$3:$A$500,$H$3:$H$500,"Approved",$D$3:$D$500,"&lt;="&amp;E397,$E$3:$E$500,"&gt;="&amp;D397,$A$3:$A$500,"&lt;&gt;"&amp;A397)&gt;0)),0))</f>
        <v/>
      </c>
    </row>
    <row r="398">
      <c r="C398">
        <f>IFERROR(XLOOKUP(B398,Employees!$A$3:$A$500,Employees!$B$3:$B$500,""),"")</f>
        <v/>
      </c>
      <c r="I398">
        <f>IF(AND(B398&lt;&gt;"",D398&lt;&gt;"",E398&lt;&gt;""),E398-D398+1,"")</f>
        <v/>
      </c>
      <c r="J398">
        <f>IF(OR(B398="",D398="",E398=""),"",IF(OR(L398&lt;'Coverage Rules'!E7,M398&lt;'Coverage Rules'!E8,N398&lt;'Coverage Rules'!C8,O398&lt;'Coverage Rules'!E9,P398&lt;'Coverage Rules'!E10,Q398&gt;='Coverage Rules'!B16,R398&gt;='Coverage Rules'!B17,IF(S398="",FALSE,S398&gt;='Coverage Rules'!D24)),"Denied","OK"))</f>
        <v/>
      </c>
      <c r="L398">
        <f>IF(B398="","",IFERROR(SUMPRODUCT((LEN(Employees!$A$3:$A$500)&gt;0)*(Employees!$T$3:$T$500=1)*(COUNTIFS($B$3:$B$500,Employees!$A$3:$A$500,$H$3:$H$500,"Approved",$D$3:$D$500,"&lt;="&amp;E398,$E$3:$E$500,"&gt;="&amp;D398,$A$3:$A$500,"&lt;&gt;"&amp;A398)=0)),0))</f>
        <v/>
      </c>
      <c r="M398">
        <f>IF(B398="","",IFERROR(SUMPRODUCT((LEN(Employees!$A$3:$A$500)&gt;0)*(Employees!$U$3:$U$500=1)*(COUNTIFS($B$3:$B$500,Employees!$A$3:$A$500,$H$3:$H$500,"Approved",$D$3:$D$500,"&lt;="&amp;E398,$E$3:$E$500,"&gt;="&amp;D398,$A$3:$A$500,"&lt;&gt;"&amp;A398)=0)),0))</f>
        <v/>
      </c>
      <c r="N398">
        <f>IF(B398="","",IFERROR(SUMPRODUCT((LEN(Employees!$A$3:$A$500)&gt;0)*(Employees!$B$3:$B$500="Manager")*(Employees!$U$3:$U$500=1)*(COUNTIFS($B$3:$B$500,Employees!$A$3:$A$500,$H$3:$H$500,"Approved",$D$3:$D$500,"&lt;="&amp;E398,$E$3:$E$500,"&gt;="&amp;D398,$A$3:$A$500,"&lt;&gt;"&amp;A398)=0)),0))</f>
        <v/>
      </c>
      <c r="O398">
        <f>IF(B398="","",IFERROR(SUMPRODUCT((LEN(Employees!$A$3:$A$500)&gt;0)*(Employees!$V$3:$V$500=1)*(COUNTIFS($B$3:$B$500,Employees!$A$3:$A$500,$H$3:$H$500,"Approved",$D$3:$D$500,"&lt;="&amp;E398,$E$3:$E$500,"&gt;="&amp;D398,$A$3:$A$500,"&lt;&gt;"&amp;A398)=0)),0))</f>
        <v/>
      </c>
      <c r="P398">
        <f>IF(B398="","",IFERROR(SUMPRODUCT((LEN(Employees!$A$3:$A$500)&gt;0)*(Employees!$W$3:$W$500=1)*(COUNTIFS($B$3:$B$500,Employees!$A$3:$A$500,$H$3:$H$500,"Approved",$D$3:$D$500,"&lt;="&amp;E398,$E$3:$E$500,"&gt;="&amp;D398,$A$3:$A$500,"&lt;&gt;"&amp;A398)=0)),0))</f>
        <v/>
      </c>
      <c r="Q398">
        <f>IF(B398="","",IFERROR(SUMPRODUCT((LEN(Employees!$A$3:$A$500)&gt;0)*(Employees!$N$3:$N$500=1)*(COUNTIFS($B$3:$B$500,Employees!$A$3:$A$500,$H$3:$H$500,"Approved",$D$3:$D$500,"&lt;="&amp;E398,$E$3:$E$500,"&gt;="&amp;D398,$A$3:$A$500,"&lt;&gt;"&amp;A398)&gt;0)),0))</f>
        <v/>
      </c>
      <c r="R398">
        <f>IF(B398="","",IFERROR(SUMPRODUCT((LEN(Employees!$A$3:$A$500)&gt;0)*(Employees!$O$3:$O$500=1)*(COUNTIFS($B$3:$B$500,Employees!$A$3:$A$500,$H$3:$H$500,"Approved",$D$3:$D$500,"&lt;="&amp;E398,$E$3:$E$500,"&gt;="&amp;D398,$A$3:$A$500,"&lt;&gt;"&amp;A398)&gt;0)),0))</f>
        <v/>
      </c>
      <c r="S398">
        <f>IF(OR(B398="",IFERROR(XLOOKUP(B398,Employees!$A$3:$A$500,Employees!$G$3:$G$500,""),"")=""),"",IFERROR(SUMPRODUCT((LEN(Employees!$A$3:$A$500)&gt;0)*(Employees!$G$3:$G$500=IFERROR(XLOOKUP(B398,Employees!$A$3:$A$500,Employees!$G$3:$G$500,""),""))*(COUNTIFS($B$3:$B$500,Employees!$A$3:$A$500,$H$3:$H$500,"Approved",$D$3:$D$500,"&lt;="&amp;E398,$E$3:$E$500,"&gt;="&amp;D398,$A$3:$A$500,"&lt;&gt;"&amp;A398)&gt;0)),0))</f>
        <v/>
      </c>
    </row>
    <row r="399">
      <c r="C399">
        <f>IFERROR(XLOOKUP(B399,Employees!$A$3:$A$500,Employees!$B$3:$B$500,""),"")</f>
        <v/>
      </c>
      <c r="I399">
        <f>IF(AND(B399&lt;&gt;"",D399&lt;&gt;"",E399&lt;&gt;""),E399-D399+1,"")</f>
        <v/>
      </c>
      <c r="J399">
        <f>IF(OR(B399="",D399="",E399=""),"",IF(OR(L399&lt;'Coverage Rules'!E7,M399&lt;'Coverage Rules'!E8,N399&lt;'Coverage Rules'!C8,O399&lt;'Coverage Rules'!E9,P399&lt;'Coverage Rules'!E10,Q399&gt;='Coverage Rules'!B16,R399&gt;='Coverage Rules'!B17,IF(S399="",FALSE,S399&gt;='Coverage Rules'!D24)),"Denied","OK"))</f>
        <v/>
      </c>
      <c r="L399">
        <f>IF(B399="","",IFERROR(SUMPRODUCT((LEN(Employees!$A$3:$A$500)&gt;0)*(Employees!$T$3:$T$500=1)*(COUNTIFS($B$3:$B$500,Employees!$A$3:$A$500,$H$3:$H$500,"Approved",$D$3:$D$500,"&lt;="&amp;E399,$E$3:$E$500,"&gt;="&amp;D399,$A$3:$A$500,"&lt;&gt;"&amp;A399)=0)),0))</f>
        <v/>
      </c>
      <c r="M399">
        <f>IF(B399="","",IFERROR(SUMPRODUCT((LEN(Employees!$A$3:$A$500)&gt;0)*(Employees!$U$3:$U$500=1)*(COUNTIFS($B$3:$B$500,Employees!$A$3:$A$500,$H$3:$H$500,"Approved",$D$3:$D$500,"&lt;="&amp;E399,$E$3:$E$500,"&gt;="&amp;D399,$A$3:$A$500,"&lt;&gt;"&amp;A399)=0)),0))</f>
        <v/>
      </c>
      <c r="N399">
        <f>IF(B399="","",IFERROR(SUMPRODUCT((LEN(Employees!$A$3:$A$500)&gt;0)*(Employees!$B$3:$B$500="Manager")*(Employees!$U$3:$U$500=1)*(COUNTIFS($B$3:$B$500,Employees!$A$3:$A$500,$H$3:$H$500,"Approved",$D$3:$D$500,"&lt;="&amp;E399,$E$3:$E$500,"&gt;="&amp;D399,$A$3:$A$500,"&lt;&gt;"&amp;A399)=0)),0))</f>
        <v/>
      </c>
      <c r="O399">
        <f>IF(B399="","",IFERROR(SUMPRODUCT((LEN(Employees!$A$3:$A$500)&gt;0)*(Employees!$V$3:$V$500=1)*(COUNTIFS($B$3:$B$500,Employees!$A$3:$A$500,$H$3:$H$500,"Approved",$D$3:$D$500,"&lt;="&amp;E399,$E$3:$E$500,"&gt;="&amp;D399,$A$3:$A$500,"&lt;&gt;"&amp;A399)=0)),0))</f>
        <v/>
      </c>
      <c r="P399">
        <f>IF(B399="","",IFERROR(SUMPRODUCT((LEN(Employees!$A$3:$A$500)&gt;0)*(Employees!$W$3:$W$500=1)*(COUNTIFS($B$3:$B$500,Employees!$A$3:$A$500,$H$3:$H$500,"Approved",$D$3:$D$500,"&lt;="&amp;E399,$E$3:$E$500,"&gt;="&amp;D399,$A$3:$A$500,"&lt;&gt;"&amp;A399)=0)),0))</f>
        <v/>
      </c>
      <c r="Q399">
        <f>IF(B399="","",IFERROR(SUMPRODUCT((LEN(Employees!$A$3:$A$500)&gt;0)*(Employees!$N$3:$N$500=1)*(COUNTIFS($B$3:$B$500,Employees!$A$3:$A$500,$H$3:$H$500,"Approved",$D$3:$D$500,"&lt;="&amp;E399,$E$3:$E$500,"&gt;="&amp;D399,$A$3:$A$500,"&lt;&gt;"&amp;A399)&gt;0)),0))</f>
        <v/>
      </c>
      <c r="R399">
        <f>IF(B399="","",IFERROR(SUMPRODUCT((LEN(Employees!$A$3:$A$500)&gt;0)*(Employees!$O$3:$O$500=1)*(COUNTIFS($B$3:$B$500,Employees!$A$3:$A$500,$H$3:$H$500,"Approved",$D$3:$D$500,"&lt;="&amp;E399,$E$3:$E$500,"&gt;="&amp;D399,$A$3:$A$500,"&lt;&gt;"&amp;A399)&gt;0)),0))</f>
        <v/>
      </c>
      <c r="S399">
        <f>IF(OR(B399="",IFERROR(XLOOKUP(B399,Employees!$A$3:$A$500,Employees!$G$3:$G$500,""),"")=""),"",IFERROR(SUMPRODUCT((LEN(Employees!$A$3:$A$500)&gt;0)*(Employees!$G$3:$G$500=IFERROR(XLOOKUP(B399,Employees!$A$3:$A$500,Employees!$G$3:$G$500,""),""))*(COUNTIFS($B$3:$B$500,Employees!$A$3:$A$500,$H$3:$H$500,"Approved",$D$3:$D$500,"&lt;="&amp;E399,$E$3:$E$500,"&gt;="&amp;D399,$A$3:$A$500,"&lt;&gt;"&amp;A399)&gt;0)),0))</f>
        <v/>
      </c>
    </row>
    <row r="400">
      <c r="C400">
        <f>IFERROR(XLOOKUP(B400,Employees!$A$3:$A$500,Employees!$B$3:$B$500,""),"")</f>
        <v/>
      </c>
      <c r="I400">
        <f>IF(AND(B400&lt;&gt;"",D400&lt;&gt;"",E400&lt;&gt;""),E400-D400+1,"")</f>
        <v/>
      </c>
      <c r="J400">
        <f>IF(OR(B400="",D400="",E400=""),"",IF(OR(L400&lt;'Coverage Rules'!E7,M400&lt;'Coverage Rules'!E8,N400&lt;'Coverage Rules'!C8,O400&lt;'Coverage Rules'!E9,P400&lt;'Coverage Rules'!E10,Q400&gt;='Coverage Rules'!B16,R400&gt;='Coverage Rules'!B17,IF(S400="",FALSE,S400&gt;='Coverage Rules'!D24)),"Denied","OK"))</f>
        <v/>
      </c>
      <c r="L400">
        <f>IF(B400="","",IFERROR(SUMPRODUCT((LEN(Employees!$A$3:$A$500)&gt;0)*(Employees!$T$3:$T$500=1)*(COUNTIFS($B$3:$B$500,Employees!$A$3:$A$500,$H$3:$H$500,"Approved",$D$3:$D$500,"&lt;="&amp;E400,$E$3:$E$500,"&gt;="&amp;D400,$A$3:$A$500,"&lt;&gt;"&amp;A400)=0)),0))</f>
        <v/>
      </c>
      <c r="M400">
        <f>IF(B400="","",IFERROR(SUMPRODUCT((LEN(Employees!$A$3:$A$500)&gt;0)*(Employees!$U$3:$U$500=1)*(COUNTIFS($B$3:$B$500,Employees!$A$3:$A$500,$H$3:$H$500,"Approved",$D$3:$D$500,"&lt;="&amp;E400,$E$3:$E$500,"&gt;="&amp;D400,$A$3:$A$500,"&lt;&gt;"&amp;A400)=0)),0))</f>
        <v/>
      </c>
      <c r="N400">
        <f>IF(B400="","",IFERROR(SUMPRODUCT((LEN(Employees!$A$3:$A$500)&gt;0)*(Employees!$B$3:$B$500="Manager")*(Employees!$U$3:$U$500=1)*(COUNTIFS($B$3:$B$500,Employees!$A$3:$A$500,$H$3:$H$500,"Approved",$D$3:$D$500,"&lt;="&amp;E400,$E$3:$E$500,"&gt;="&amp;D400,$A$3:$A$500,"&lt;&gt;"&amp;A400)=0)),0))</f>
        <v/>
      </c>
      <c r="O400">
        <f>IF(B400="","",IFERROR(SUMPRODUCT((LEN(Employees!$A$3:$A$500)&gt;0)*(Employees!$V$3:$V$500=1)*(COUNTIFS($B$3:$B$500,Employees!$A$3:$A$500,$H$3:$H$500,"Approved",$D$3:$D$500,"&lt;="&amp;E400,$E$3:$E$500,"&gt;="&amp;D400,$A$3:$A$500,"&lt;&gt;"&amp;A400)=0)),0))</f>
        <v/>
      </c>
      <c r="P400">
        <f>IF(B400="","",IFERROR(SUMPRODUCT((LEN(Employees!$A$3:$A$500)&gt;0)*(Employees!$W$3:$W$500=1)*(COUNTIFS($B$3:$B$500,Employees!$A$3:$A$500,$H$3:$H$500,"Approved",$D$3:$D$500,"&lt;="&amp;E400,$E$3:$E$500,"&gt;="&amp;D400,$A$3:$A$500,"&lt;&gt;"&amp;A400)=0)),0))</f>
        <v/>
      </c>
      <c r="Q400">
        <f>IF(B400="","",IFERROR(SUMPRODUCT((LEN(Employees!$A$3:$A$500)&gt;0)*(Employees!$N$3:$N$500=1)*(COUNTIFS($B$3:$B$500,Employees!$A$3:$A$500,$H$3:$H$500,"Approved",$D$3:$D$500,"&lt;="&amp;E400,$E$3:$E$500,"&gt;="&amp;D400,$A$3:$A$500,"&lt;&gt;"&amp;A400)&gt;0)),0))</f>
        <v/>
      </c>
      <c r="R400">
        <f>IF(B400="","",IFERROR(SUMPRODUCT((LEN(Employees!$A$3:$A$500)&gt;0)*(Employees!$O$3:$O$500=1)*(COUNTIFS($B$3:$B$500,Employees!$A$3:$A$500,$H$3:$H$500,"Approved",$D$3:$D$500,"&lt;="&amp;E400,$E$3:$E$500,"&gt;="&amp;D400,$A$3:$A$500,"&lt;&gt;"&amp;A400)&gt;0)),0))</f>
        <v/>
      </c>
      <c r="S400">
        <f>IF(OR(B400="",IFERROR(XLOOKUP(B400,Employees!$A$3:$A$500,Employees!$G$3:$G$500,""),"")=""),"",IFERROR(SUMPRODUCT((LEN(Employees!$A$3:$A$500)&gt;0)*(Employees!$G$3:$G$500=IFERROR(XLOOKUP(B400,Employees!$A$3:$A$500,Employees!$G$3:$G$500,""),""))*(COUNTIFS($B$3:$B$500,Employees!$A$3:$A$500,$H$3:$H$500,"Approved",$D$3:$D$500,"&lt;="&amp;E400,$E$3:$E$500,"&gt;="&amp;D400,$A$3:$A$500,"&lt;&gt;"&amp;A400)&gt;0)),0))</f>
        <v/>
      </c>
    </row>
    <row r="401">
      <c r="C401">
        <f>IFERROR(XLOOKUP(B401,Employees!$A$3:$A$500,Employees!$B$3:$B$500,""),"")</f>
        <v/>
      </c>
      <c r="I401">
        <f>IF(AND(B401&lt;&gt;"",D401&lt;&gt;"",E401&lt;&gt;""),E401-D401+1,"")</f>
        <v/>
      </c>
      <c r="J401">
        <f>IF(OR(B401="",D401="",E401=""),"",IF(OR(L401&lt;'Coverage Rules'!E7,M401&lt;'Coverage Rules'!E8,N401&lt;'Coverage Rules'!C8,O401&lt;'Coverage Rules'!E9,P401&lt;'Coverage Rules'!E10,Q401&gt;='Coverage Rules'!B16,R401&gt;='Coverage Rules'!B17,IF(S401="",FALSE,S401&gt;='Coverage Rules'!D24)),"Denied","OK"))</f>
        <v/>
      </c>
      <c r="L401">
        <f>IF(B401="","",IFERROR(SUMPRODUCT((LEN(Employees!$A$3:$A$500)&gt;0)*(Employees!$T$3:$T$500=1)*(COUNTIFS($B$3:$B$500,Employees!$A$3:$A$500,$H$3:$H$500,"Approved",$D$3:$D$500,"&lt;="&amp;E401,$E$3:$E$500,"&gt;="&amp;D401,$A$3:$A$500,"&lt;&gt;"&amp;A401)=0)),0))</f>
        <v/>
      </c>
      <c r="M401">
        <f>IF(B401="","",IFERROR(SUMPRODUCT((LEN(Employees!$A$3:$A$500)&gt;0)*(Employees!$U$3:$U$500=1)*(COUNTIFS($B$3:$B$500,Employees!$A$3:$A$500,$H$3:$H$500,"Approved",$D$3:$D$500,"&lt;="&amp;E401,$E$3:$E$500,"&gt;="&amp;D401,$A$3:$A$500,"&lt;&gt;"&amp;A401)=0)),0))</f>
        <v/>
      </c>
      <c r="N401">
        <f>IF(B401="","",IFERROR(SUMPRODUCT((LEN(Employees!$A$3:$A$500)&gt;0)*(Employees!$B$3:$B$500="Manager")*(Employees!$U$3:$U$500=1)*(COUNTIFS($B$3:$B$500,Employees!$A$3:$A$500,$H$3:$H$500,"Approved",$D$3:$D$500,"&lt;="&amp;E401,$E$3:$E$500,"&gt;="&amp;D401,$A$3:$A$500,"&lt;&gt;"&amp;A401)=0)),0))</f>
        <v/>
      </c>
      <c r="O401">
        <f>IF(B401="","",IFERROR(SUMPRODUCT((LEN(Employees!$A$3:$A$500)&gt;0)*(Employees!$V$3:$V$500=1)*(COUNTIFS($B$3:$B$500,Employees!$A$3:$A$500,$H$3:$H$500,"Approved",$D$3:$D$500,"&lt;="&amp;E401,$E$3:$E$500,"&gt;="&amp;D401,$A$3:$A$500,"&lt;&gt;"&amp;A401)=0)),0))</f>
        <v/>
      </c>
      <c r="P401">
        <f>IF(B401="","",IFERROR(SUMPRODUCT((LEN(Employees!$A$3:$A$500)&gt;0)*(Employees!$W$3:$W$500=1)*(COUNTIFS($B$3:$B$500,Employees!$A$3:$A$500,$H$3:$H$500,"Approved",$D$3:$D$500,"&lt;="&amp;E401,$E$3:$E$500,"&gt;="&amp;D401,$A$3:$A$500,"&lt;&gt;"&amp;A401)=0)),0))</f>
        <v/>
      </c>
      <c r="Q401">
        <f>IF(B401="","",IFERROR(SUMPRODUCT((LEN(Employees!$A$3:$A$500)&gt;0)*(Employees!$N$3:$N$500=1)*(COUNTIFS($B$3:$B$500,Employees!$A$3:$A$500,$H$3:$H$500,"Approved",$D$3:$D$500,"&lt;="&amp;E401,$E$3:$E$500,"&gt;="&amp;D401,$A$3:$A$500,"&lt;&gt;"&amp;A401)&gt;0)),0))</f>
        <v/>
      </c>
      <c r="R401">
        <f>IF(B401="","",IFERROR(SUMPRODUCT((LEN(Employees!$A$3:$A$500)&gt;0)*(Employees!$O$3:$O$500=1)*(COUNTIFS($B$3:$B$500,Employees!$A$3:$A$500,$H$3:$H$500,"Approved",$D$3:$D$500,"&lt;="&amp;E401,$E$3:$E$500,"&gt;="&amp;D401,$A$3:$A$500,"&lt;&gt;"&amp;A401)&gt;0)),0))</f>
        <v/>
      </c>
      <c r="S401">
        <f>IF(OR(B401="",IFERROR(XLOOKUP(B401,Employees!$A$3:$A$500,Employees!$G$3:$G$500,""),"")=""),"",IFERROR(SUMPRODUCT((LEN(Employees!$A$3:$A$500)&gt;0)*(Employees!$G$3:$G$500=IFERROR(XLOOKUP(B401,Employees!$A$3:$A$500,Employees!$G$3:$G$500,""),""))*(COUNTIFS($B$3:$B$500,Employees!$A$3:$A$500,$H$3:$H$500,"Approved",$D$3:$D$500,"&lt;="&amp;E401,$E$3:$E$500,"&gt;="&amp;D401,$A$3:$A$500,"&lt;&gt;"&amp;A401)&gt;0)),0))</f>
        <v/>
      </c>
    </row>
    <row r="402">
      <c r="C402">
        <f>IFERROR(XLOOKUP(B402,Employees!$A$3:$A$500,Employees!$B$3:$B$500,""),"")</f>
        <v/>
      </c>
      <c r="I402">
        <f>IF(AND(B402&lt;&gt;"",D402&lt;&gt;"",E402&lt;&gt;""),E402-D402+1,"")</f>
        <v/>
      </c>
      <c r="J402">
        <f>IF(OR(B402="",D402="",E402=""),"",IF(OR(L402&lt;'Coverage Rules'!E7,M402&lt;'Coverage Rules'!E8,N402&lt;'Coverage Rules'!C8,O402&lt;'Coverage Rules'!E9,P402&lt;'Coverage Rules'!E10,Q402&gt;='Coverage Rules'!B16,R402&gt;='Coverage Rules'!B17,IF(S402="",FALSE,S402&gt;='Coverage Rules'!D24)),"Denied","OK"))</f>
        <v/>
      </c>
      <c r="L402">
        <f>IF(B402="","",IFERROR(SUMPRODUCT((LEN(Employees!$A$3:$A$500)&gt;0)*(Employees!$T$3:$T$500=1)*(COUNTIFS($B$3:$B$500,Employees!$A$3:$A$500,$H$3:$H$500,"Approved",$D$3:$D$500,"&lt;="&amp;E402,$E$3:$E$500,"&gt;="&amp;D402,$A$3:$A$500,"&lt;&gt;"&amp;A402)=0)),0))</f>
        <v/>
      </c>
      <c r="M402">
        <f>IF(B402="","",IFERROR(SUMPRODUCT((LEN(Employees!$A$3:$A$500)&gt;0)*(Employees!$U$3:$U$500=1)*(COUNTIFS($B$3:$B$500,Employees!$A$3:$A$500,$H$3:$H$500,"Approved",$D$3:$D$500,"&lt;="&amp;E402,$E$3:$E$500,"&gt;="&amp;D402,$A$3:$A$500,"&lt;&gt;"&amp;A402)=0)),0))</f>
        <v/>
      </c>
      <c r="N402">
        <f>IF(B402="","",IFERROR(SUMPRODUCT((LEN(Employees!$A$3:$A$500)&gt;0)*(Employees!$B$3:$B$500="Manager")*(Employees!$U$3:$U$500=1)*(COUNTIFS($B$3:$B$500,Employees!$A$3:$A$500,$H$3:$H$500,"Approved",$D$3:$D$500,"&lt;="&amp;E402,$E$3:$E$500,"&gt;="&amp;D402,$A$3:$A$500,"&lt;&gt;"&amp;A402)=0)),0))</f>
        <v/>
      </c>
      <c r="O402">
        <f>IF(B402="","",IFERROR(SUMPRODUCT((LEN(Employees!$A$3:$A$500)&gt;0)*(Employees!$V$3:$V$500=1)*(COUNTIFS($B$3:$B$500,Employees!$A$3:$A$500,$H$3:$H$500,"Approved",$D$3:$D$500,"&lt;="&amp;E402,$E$3:$E$500,"&gt;="&amp;D402,$A$3:$A$500,"&lt;&gt;"&amp;A402)=0)),0))</f>
        <v/>
      </c>
      <c r="P402">
        <f>IF(B402="","",IFERROR(SUMPRODUCT((LEN(Employees!$A$3:$A$500)&gt;0)*(Employees!$W$3:$W$500=1)*(COUNTIFS($B$3:$B$500,Employees!$A$3:$A$500,$H$3:$H$500,"Approved",$D$3:$D$500,"&lt;="&amp;E402,$E$3:$E$500,"&gt;="&amp;D402,$A$3:$A$500,"&lt;&gt;"&amp;A402)=0)),0))</f>
        <v/>
      </c>
      <c r="Q402">
        <f>IF(B402="","",IFERROR(SUMPRODUCT((LEN(Employees!$A$3:$A$500)&gt;0)*(Employees!$N$3:$N$500=1)*(COUNTIFS($B$3:$B$500,Employees!$A$3:$A$500,$H$3:$H$500,"Approved",$D$3:$D$500,"&lt;="&amp;E402,$E$3:$E$500,"&gt;="&amp;D402,$A$3:$A$500,"&lt;&gt;"&amp;A402)&gt;0)),0))</f>
        <v/>
      </c>
      <c r="R402">
        <f>IF(B402="","",IFERROR(SUMPRODUCT((LEN(Employees!$A$3:$A$500)&gt;0)*(Employees!$O$3:$O$500=1)*(COUNTIFS($B$3:$B$500,Employees!$A$3:$A$500,$H$3:$H$500,"Approved",$D$3:$D$500,"&lt;="&amp;E402,$E$3:$E$500,"&gt;="&amp;D402,$A$3:$A$500,"&lt;&gt;"&amp;A402)&gt;0)),0))</f>
        <v/>
      </c>
      <c r="S402">
        <f>IF(OR(B402="",IFERROR(XLOOKUP(B402,Employees!$A$3:$A$500,Employees!$G$3:$G$500,""),"")=""),"",IFERROR(SUMPRODUCT((LEN(Employees!$A$3:$A$500)&gt;0)*(Employees!$G$3:$G$500=IFERROR(XLOOKUP(B402,Employees!$A$3:$A$500,Employees!$G$3:$G$500,""),""))*(COUNTIFS($B$3:$B$500,Employees!$A$3:$A$500,$H$3:$H$500,"Approved",$D$3:$D$500,"&lt;="&amp;E402,$E$3:$E$500,"&gt;="&amp;D402,$A$3:$A$500,"&lt;&gt;"&amp;A402)&gt;0)),0))</f>
        <v/>
      </c>
    </row>
    <row r="403">
      <c r="C403">
        <f>IFERROR(XLOOKUP(B403,Employees!$A$3:$A$500,Employees!$B$3:$B$500,""),"")</f>
        <v/>
      </c>
      <c r="I403">
        <f>IF(AND(B403&lt;&gt;"",D403&lt;&gt;"",E403&lt;&gt;""),E403-D403+1,"")</f>
        <v/>
      </c>
      <c r="J403">
        <f>IF(OR(B403="",D403="",E403=""),"",IF(OR(L403&lt;'Coverage Rules'!E7,M403&lt;'Coverage Rules'!E8,N403&lt;'Coverage Rules'!C8,O403&lt;'Coverage Rules'!E9,P403&lt;'Coverage Rules'!E10,Q403&gt;='Coverage Rules'!B16,R403&gt;='Coverage Rules'!B17,IF(S403="",FALSE,S403&gt;='Coverage Rules'!D24)),"Denied","OK"))</f>
        <v/>
      </c>
      <c r="L403">
        <f>IF(B403="","",IFERROR(SUMPRODUCT((LEN(Employees!$A$3:$A$500)&gt;0)*(Employees!$T$3:$T$500=1)*(COUNTIFS($B$3:$B$500,Employees!$A$3:$A$500,$H$3:$H$500,"Approved",$D$3:$D$500,"&lt;="&amp;E403,$E$3:$E$500,"&gt;="&amp;D403,$A$3:$A$500,"&lt;&gt;"&amp;A403)=0)),0))</f>
        <v/>
      </c>
      <c r="M403">
        <f>IF(B403="","",IFERROR(SUMPRODUCT((LEN(Employees!$A$3:$A$500)&gt;0)*(Employees!$U$3:$U$500=1)*(COUNTIFS($B$3:$B$500,Employees!$A$3:$A$500,$H$3:$H$500,"Approved",$D$3:$D$500,"&lt;="&amp;E403,$E$3:$E$500,"&gt;="&amp;D403,$A$3:$A$500,"&lt;&gt;"&amp;A403)=0)),0))</f>
        <v/>
      </c>
      <c r="N403">
        <f>IF(B403="","",IFERROR(SUMPRODUCT((LEN(Employees!$A$3:$A$500)&gt;0)*(Employees!$B$3:$B$500="Manager")*(Employees!$U$3:$U$500=1)*(COUNTIFS($B$3:$B$500,Employees!$A$3:$A$500,$H$3:$H$500,"Approved",$D$3:$D$500,"&lt;="&amp;E403,$E$3:$E$500,"&gt;="&amp;D403,$A$3:$A$500,"&lt;&gt;"&amp;A403)=0)),0))</f>
        <v/>
      </c>
      <c r="O403">
        <f>IF(B403="","",IFERROR(SUMPRODUCT((LEN(Employees!$A$3:$A$500)&gt;0)*(Employees!$V$3:$V$500=1)*(COUNTIFS($B$3:$B$500,Employees!$A$3:$A$500,$H$3:$H$500,"Approved",$D$3:$D$500,"&lt;="&amp;E403,$E$3:$E$500,"&gt;="&amp;D403,$A$3:$A$500,"&lt;&gt;"&amp;A403)=0)),0))</f>
        <v/>
      </c>
      <c r="P403">
        <f>IF(B403="","",IFERROR(SUMPRODUCT((LEN(Employees!$A$3:$A$500)&gt;0)*(Employees!$W$3:$W$500=1)*(COUNTIFS($B$3:$B$500,Employees!$A$3:$A$500,$H$3:$H$500,"Approved",$D$3:$D$500,"&lt;="&amp;E403,$E$3:$E$500,"&gt;="&amp;D403,$A$3:$A$500,"&lt;&gt;"&amp;A403)=0)),0))</f>
        <v/>
      </c>
      <c r="Q403">
        <f>IF(B403="","",IFERROR(SUMPRODUCT((LEN(Employees!$A$3:$A$500)&gt;0)*(Employees!$N$3:$N$500=1)*(COUNTIFS($B$3:$B$500,Employees!$A$3:$A$500,$H$3:$H$500,"Approved",$D$3:$D$500,"&lt;="&amp;E403,$E$3:$E$500,"&gt;="&amp;D403,$A$3:$A$500,"&lt;&gt;"&amp;A403)&gt;0)),0))</f>
        <v/>
      </c>
      <c r="R403">
        <f>IF(B403="","",IFERROR(SUMPRODUCT((LEN(Employees!$A$3:$A$500)&gt;0)*(Employees!$O$3:$O$500=1)*(COUNTIFS($B$3:$B$500,Employees!$A$3:$A$500,$H$3:$H$500,"Approved",$D$3:$D$500,"&lt;="&amp;E403,$E$3:$E$500,"&gt;="&amp;D403,$A$3:$A$500,"&lt;&gt;"&amp;A403)&gt;0)),0))</f>
        <v/>
      </c>
      <c r="S403">
        <f>IF(OR(B403="",IFERROR(XLOOKUP(B403,Employees!$A$3:$A$500,Employees!$G$3:$G$500,""),"")=""),"",IFERROR(SUMPRODUCT((LEN(Employees!$A$3:$A$500)&gt;0)*(Employees!$G$3:$G$500=IFERROR(XLOOKUP(B403,Employees!$A$3:$A$500,Employees!$G$3:$G$500,""),""))*(COUNTIFS($B$3:$B$500,Employees!$A$3:$A$500,$H$3:$H$500,"Approved",$D$3:$D$500,"&lt;="&amp;E403,$E$3:$E$500,"&gt;="&amp;D403,$A$3:$A$500,"&lt;&gt;"&amp;A403)&gt;0)),0))</f>
        <v/>
      </c>
    </row>
    <row r="404">
      <c r="C404">
        <f>IFERROR(XLOOKUP(B404,Employees!$A$3:$A$500,Employees!$B$3:$B$500,""),"")</f>
        <v/>
      </c>
      <c r="I404">
        <f>IF(AND(B404&lt;&gt;"",D404&lt;&gt;"",E404&lt;&gt;""),E404-D404+1,"")</f>
        <v/>
      </c>
      <c r="J404">
        <f>IF(OR(B404="",D404="",E404=""),"",IF(OR(L404&lt;'Coverage Rules'!E7,M404&lt;'Coverage Rules'!E8,N404&lt;'Coverage Rules'!C8,O404&lt;'Coverage Rules'!E9,P404&lt;'Coverage Rules'!E10,Q404&gt;='Coverage Rules'!B16,R404&gt;='Coverage Rules'!B17,IF(S404="",FALSE,S404&gt;='Coverage Rules'!D24)),"Denied","OK"))</f>
        <v/>
      </c>
      <c r="L404">
        <f>IF(B404="","",IFERROR(SUMPRODUCT((LEN(Employees!$A$3:$A$500)&gt;0)*(Employees!$T$3:$T$500=1)*(COUNTIFS($B$3:$B$500,Employees!$A$3:$A$500,$H$3:$H$500,"Approved",$D$3:$D$500,"&lt;="&amp;E404,$E$3:$E$500,"&gt;="&amp;D404,$A$3:$A$500,"&lt;&gt;"&amp;A404)=0)),0))</f>
        <v/>
      </c>
      <c r="M404">
        <f>IF(B404="","",IFERROR(SUMPRODUCT((LEN(Employees!$A$3:$A$500)&gt;0)*(Employees!$U$3:$U$500=1)*(COUNTIFS($B$3:$B$500,Employees!$A$3:$A$500,$H$3:$H$500,"Approved",$D$3:$D$500,"&lt;="&amp;E404,$E$3:$E$500,"&gt;="&amp;D404,$A$3:$A$500,"&lt;&gt;"&amp;A404)=0)),0))</f>
        <v/>
      </c>
      <c r="N404">
        <f>IF(B404="","",IFERROR(SUMPRODUCT((LEN(Employees!$A$3:$A$500)&gt;0)*(Employees!$B$3:$B$500="Manager")*(Employees!$U$3:$U$500=1)*(COUNTIFS($B$3:$B$500,Employees!$A$3:$A$500,$H$3:$H$500,"Approved",$D$3:$D$500,"&lt;="&amp;E404,$E$3:$E$500,"&gt;="&amp;D404,$A$3:$A$500,"&lt;&gt;"&amp;A404)=0)),0))</f>
        <v/>
      </c>
      <c r="O404">
        <f>IF(B404="","",IFERROR(SUMPRODUCT((LEN(Employees!$A$3:$A$500)&gt;0)*(Employees!$V$3:$V$500=1)*(COUNTIFS($B$3:$B$500,Employees!$A$3:$A$500,$H$3:$H$500,"Approved",$D$3:$D$500,"&lt;="&amp;E404,$E$3:$E$500,"&gt;="&amp;D404,$A$3:$A$500,"&lt;&gt;"&amp;A404)=0)),0))</f>
        <v/>
      </c>
      <c r="P404">
        <f>IF(B404="","",IFERROR(SUMPRODUCT((LEN(Employees!$A$3:$A$500)&gt;0)*(Employees!$W$3:$W$500=1)*(COUNTIFS($B$3:$B$500,Employees!$A$3:$A$500,$H$3:$H$500,"Approved",$D$3:$D$500,"&lt;="&amp;E404,$E$3:$E$500,"&gt;="&amp;D404,$A$3:$A$500,"&lt;&gt;"&amp;A404)=0)),0))</f>
        <v/>
      </c>
      <c r="Q404">
        <f>IF(B404="","",IFERROR(SUMPRODUCT((LEN(Employees!$A$3:$A$500)&gt;0)*(Employees!$N$3:$N$500=1)*(COUNTIFS($B$3:$B$500,Employees!$A$3:$A$500,$H$3:$H$500,"Approved",$D$3:$D$500,"&lt;="&amp;E404,$E$3:$E$500,"&gt;="&amp;D404,$A$3:$A$500,"&lt;&gt;"&amp;A404)&gt;0)),0))</f>
        <v/>
      </c>
      <c r="R404">
        <f>IF(B404="","",IFERROR(SUMPRODUCT((LEN(Employees!$A$3:$A$500)&gt;0)*(Employees!$O$3:$O$500=1)*(COUNTIFS($B$3:$B$500,Employees!$A$3:$A$500,$H$3:$H$500,"Approved",$D$3:$D$500,"&lt;="&amp;E404,$E$3:$E$500,"&gt;="&amp;D404,$A$3:$A$500,"&lt;&gt;"&amp;A404)&gt;0)),0))</f>
        <v/>
      </c>
      <c r="S404">
        <f>IF(OR(B404="",IFERROR(XLOOKUP(B404,Employees!$A$3:$A$500,Employees!$G$3:$G$500,""),"")=""),"",IFERROR(SUMPRODUCT((LEN(Employees!$A$3:$A$500)&gt;0)*(Employees!$G$3:$G$500=IFERROR(XLOOKUP(B404,Employees!$A$3:$A$500,Employees!$G$3:$G$500,""),""))*(COUNTIFS($B$3:$B$500,Employees!$A$3:$A$500,$H$3:$H$500,"Approved",$D$3:$D$500,"&lt;="&amp;E404,$E$3:$E$500,"&gt;="&amp;D404,$A$3:$A$500,"&lt;&gt;"&amp;A404)&gt;0)),0))</f>
        <v/>
      </c>
    </row>
    <row r="405">
      <c r="C405">
        <f>IFERROR(XLOOKUP(B405,Employees!$A$3:$A$500,Employees!$B$3:$B$500,""),"")</f>
        <v/>
      </c>
      <c r="I405">
        <f>IF(AND(B405&lt;&gt;"",D405&lt;&gt;"",E405&lt;&gt;""),E405-D405+1,"")</f>
        <v/>
      </c>
      <c r="J405">
        <f>IF(OR(B405="",D405="",E405=""),"",IF(OR(L405&lt;'Coverage Rules'!E7,M405&lt;'Coverage Rules'!E8,N405&lt;'Coverage Rules'!C8,O405&lt;'Coverage Rules'!E9,P405&lt;'Coverage Rules'!E10,Q405&gt;='Coverage Rules'!B16,R405&gt;='Coverage Rules'!B17,IF(S405="",FALSE,S405&gt;='Coverage Rules'!D24)),"Denied","OK"))</f>
        <v/>
      </c>
      <c r="L405">
        <f>IF(B405="","",IFERROR(SUMPRODUCT((LEN(Employees!$A$3:$A$500)&gt;0)*(Employees!$T$3:$T$500=1)*(COUNTIFS($B$3:$B$500,Employees!$A$3:$A$500,$H$3:$H$500,"Approved",$D$3:$D$500,"&lt;="&amp;E405,$E$3:$E$500,"&gt;="&amp;D405,$A$3:$A$500,"&lt;&gt;"&amp;A405)=0)),0))</f>
        <v/>
      </c>
      <c r="M405">
        <f>IF(B405="","",IFERROR(SUMPRODUCT((LEN(Employees!$A$3:$A$500)&gt;0)*(Employees!$U$3:$U$500=1)*(COUNTIFS($B$3:$B$500,Employees!$A$3:$A$500,$H$3:$H$500,"Approved",$D$3:$D$500,"&lt;="&amp;E405,$E$3:$E$500,"&gt;="&amp;D405,$A$3:$A$500,"&lt;&gt;"&amp;A405)=0)),0))</f>
        <v/>
      </c>
      <c r="N405">
        <f>IF(B405="","",IFERROR(SUMPRODUCT((LEN(Employees!$A$3:$A$500)&gt;0)*(Employees!$B$3:$B$500="Manager")*(Employees!$U$3:$U$500=1)*(COUNTIFS($B$3:$B$500,Employees!$A$3:$A$500,$H$3:$H$500,"Approved",$D$3:$D$500,"&lt;="&amp;E405,$E$3:$E$500,"&gt;="&amp;D405,$A$3:$A$500,"&lt;&gt;"&amp;A405)=0)),0))</f>
        <v/>
      </c>
      <c r="O405">
        <f>IF(B405="","",IFERROR(SUMPRODUCT((LEN(Employees!$A$3:$A$500)&gt;0)*(Employees!$V$3:$V$500=1)*(COUNTIFS($B$3:$B$500,Employees!$A$3:$A$500,$H$3:$H$500,"Approved",$D$3:$D$500,"&lt;="&amp;E405,$E$3:$E$500,"&gt;="&amp;D405,$A$3:$A$500,"&lt;&gt;"&amp;A405)=0)),0))</f>
        <v/>
      </c>
      <c r="P405">
        <f>IF(B405="","",IFERROR(SUMPRODUCT((LEN(Employees!$A$3:$A$500)&gt;0)*(Employees!$W$3:$W$500=1)*(COUNTIFS($B$3:$B$500,Employees!$A$3:$A$500,$H$3:$H$500,"Approved",$D$3:$D$500,"&lt;="&amp;E405,$E$3:$E$500,"&gt;="&amp;D405,$A$3:$A$500,"&lt;&gt;"&amp;A405)=0)),0))</f>
        <v/>
      </c>
      <c r="Q405">
        <f>IF(B405="","",IFERROR(SUMPRODUCT((LEN(Employees!$A$3:$A$500)&gt;0)*(Employees!$N$3:$N$500=1)*(COUNTIFS($B$3:$B$500,Employees!$A$3:$A$500,$H$3:$H$500,"Approved",$D$3:$D$500,"&lt;="&amp;E405,$E$3:$E$500,"&gt;="&amp;D405,$A$3:$A$500,"&lt;&gt;"&amp;A405)&gt;0)),0))</f>
        <v/>
      </c>
      <c r="R405">
        <f>IF(B405="","",IFERROR(SUMPRODUCT((LEN(Employees!$A$3:$A$500)&gt;0)*(Employees!$O$3:$O$500=1)*(COUNTIFS($B$3:$B$500,Employees!$A$3:$A$500,$H$3:$H$500,"Approved",$D$3:$D$500,"&lt;="&amp;E405,$E$3:$E$500,"&gt;="&amp;D405,$A$3:$A$500,"&lt;&gt;"&amp;A405)&gt;0)),0))</f>
        <v/>
      </c>
      <c r="S405">
        <f>IF(OR(B405="",IFERROR(XLOOKUP(B405,Employees!$A$3:$A$500,Employees!$G$3:$G$500,""),"")=""),"",IFERROR(SUMPRODUCT((LEN(Employees!$A$3:$A$500)&gt;0)*(Employees!$G$3:$G$500=IFERROR(XLOOKUP(B405,Employees!$A$3:$A$500,Employees!$G$3:$G$500,""),""))*(COUNTIFS($B$3:$B$500,Employees!$A$3:$A$500,$H$3:$H$500,"Approved",$D$3:$D$500,"&lt;="&amp;E405,$E$3:$E$500,"&gt;="&amp;D405,$A$3:$A$500,"&lt;&gt;"&amp;A405)&gt;0)),0))</f>
        <v/>
      </c>
    </row>
    <row r="406">
      <c r="C406">
        <f>IFERROR(XLOOKUP(B406,Employees!$A$3:$A$500,Employees!$B$3:$B$500,""),"")</f>
        <v/>
      </c>
      <c r="I406">
        <f>IF(AND(B406&lt;&gt;"",D406&lt;&gt;"",E406&lt;&gt;""),E406-D406+1,"")</f>
        <v/>
      </c>
      <c r="J406">
        <f>IF(OR(B406="",D406="",E406=""),"",IF(OR(L406&lt;'Coverage Rules'!E7,M406&lt;'Coverage Rules'!E8,N406&lt;'Coverage Rules'!C8,O406&lt;'Coverage Rules'!E9,P406&lt;'Coverage Rules'!E10,Q406&gt;='Coverage Rules'!B16,R406&gt;='Coverage Rules'!B17,IF(S406="",FALSE,S406&gt;='Coverage Rules'!D24)),"Denied","OK"))</f>
        <v/>
      </c>
      <c r="L406">
        <f>IF(B406="","",IFERROR(SUMPRODUCT((LEN(Employees!$A$3:$A$500)&gt;0)*(Employees!$T$3:$T$500=1)*(COUNTIFS($B$3:$B$500,Employees!$A$3:$A$500,$H$3:$H$500,"Approved",$D$3:$D$500,"&lt;="&amp;E406,$E$3:$E$500,"&gt;="&amp;D406,$A$3:$A$500,"&lt;&gt;"&amp;A406)=0)),0))</f>
        <v/>
      </c>
      <c r="M406">
        <f>IF(B406="","",IFERROR(SUMPRODUCT((LEN(Employees!$A$3:$A$500)&gt;0)*(Employees!$U$3:$U$500=1)*(COUNTIFS($B$3:$B$500,Employees!$A$3:$A$500,$H$3:$H$500,"Approved",$D$3:$D$500,"&lt;="&amp;E406,$E$3:$E$500,"&gt;="&amp;D406,$A$3:$A$500,"&lt;&gt;"&amp;A406)=0)),0))</f>
        <v/>
      </c>
      <c r="N406">
        <f>IF(B406="","",IFERROR(SUMPRODUCT((LEN(Employees!$A$3:$A$500)&gt;0)*(Employees!$B$3:$B$500="Manager")*(Employees!$U$3:$U$500=1)*(COUNTIFS($B$3:$B$500,Employees!$A$3:$A$500,$H$3:$H$500,"Approved",$D$3:$D$500,"&lt;="&amp;E406,$E$3:$E$500,"&gt;="&amp;D406,$A$3:$A$500,"&lt;&gt;"&amp;A406)=0)),0))</f>
        <v/>
      </c>
      <c r="O406">
        <f>IF(B406="","",IFERROR(SUMPRODUCT((LEN(Employees!$A$3:$A$500)&gt;0)*(Employees!$V$3:$V$500=1)*(COUNTIFS($B$3:$B$500,Employees!$A$3:$A$500,$H$3:$H$500,"Approved",$D$3:$D$500,"&lt;="&amp;E406,$E$3:$E$500,"&gt;="&amp;D406,$A$3:$A$500,"&lt;&gt;"&amp;A406)=0)),0))</f>
        <v/>
      </c>
      <c r="P406">
        <f>IF(B406="","",IFERROR(SUMPRODUCT((LEN(Employees!$A$3:$A$500)&gt;0)*(Employees!$W$3:$W$500=1)*(COUNTIFS($B$3:$B$500,Employees!$A$3:$A$500,$H$3:$H$500,"Approved",$D$3:$D$500,"&lt;="&amp;E406,$E$3:$E$500,"&gt;="&amp;D406,$A$3:$A$500,"&lt;&gt;"&amp;A406)=0)),0))</f>
        <v/>
      </c>
      <c r="Q406">
        <f>IF(B406="","",IFERROR(SUMPRODUCT((LEN(Employees!$A$3:$A$500)&gt;0)*(Employees!$N$3:$N$500=1)*(COUNTIFS($B$3:$B$500,Employees!$A$3:$A$500,$H$3:$H$500,"Approved",$D$3:$D$500,"&lt;="&amp;E406,$E$3:$E$500,"&gt;="&amp;D406,$A$3:$A$500,"&lt;&gt;"&amp;A406)&gt;0)),0))</f>
        <v/>
      </c>
      <c r="R406">
        <f>IF(B406="","",IFERROR(SUMPRODUCT((LEN(Employees!$A$3:$A$500)&gt;0)*(Employees!$O$3:$O$500=1)*(COUNTIFS($B$3:$B$500,Employees!$A$3:$A$500,$H$3:$H$500,"Approved",$D$3:$D$500,"&lt;="&amp;E406,$E$3:$E$500,"&gt;="&amp;D406,$A$3:$A$500,"&lt;&gt;"&amp;A406)&gt;0)),0))</f>
        <v/>
      </c>
      <c r="S406">
        <f>IF(OR(B406="",IFERROR(XLOOKUP(B406,Employees!$A$3:$A$500,Employees!$G$3:$G$500,""),"")=""),"",IFERROR(SUMPRODUCT((LEN(Employees!$A$3:$A$500)&gt;0)*(Employees!$G$3:$G$500=IFERROR(XLOOKUP(B406,Employees!$A$3:$A$500,Employees!$G$3:$G$500,""),""))*(COUNTIFS($B$3:$B$500,Employees!$A$3:$A$500,$H$3:$H$500,"Approved",$D$3:$D$500,"&lt;="&amp;E406,$E$3:$E$500,"&gt;="&amp;D406,$A$3:$A$500,"&lt;&gt;"&amp;A406)&gt;0)),0))</f>
        <v/>
      </c>
    </row>
    <row r="407">
      <c r="C407">
        <f>IFERROR(XLOOKUP(B407,Employees!$A$3:$A$500,Employees!$B$3:$B$500,""),"")</f>
        <v/>
      </c>
      <c r="I407">
        <f>IF(AND(B407&lt;&gt;"",D407&lt;&gt;"",E407&lt;&gt;""),E407-D407+1,"")</f>
        <v/>
      </c>
      <c r="J407">
        <f>IF(OR(B407="",D407="",E407=""),"",IF(OR(L407&lt;'Coverage Rules'!E7,M407&lt;'Coverage Rules'!E8,N407&lt;'Coverage Rules'!C8,O407&lt;'Coverage Rules'!E9,P407&lt;'Coverage Rules'!E10,Q407&gt;='Coverage Rules'!B16,R407&gt;='Coverage Rules'!B17,IF(S407="",FALSE,S407&gt;='Coverage Rules'!D24)),"Denied","OK"))</f>
        <v/>
      </c>
      <c r="L407">
        <f>IF(B407="","",IFERROR(SUMPRODUCT((LEN(Employees!$A$3:$A$500)&gt;0)*(Employees!$T$3:$T$500=1)*(COUNTIFS($B$3:$B$500,Employees!$A$3:$A$500,$H$3:$H$500,"Approved",$D$3:$D$500,"&lt;="&amp;E407,$E$3:$E$500,"&gt;="&amp;D407,$A$3:$A$500,"&lt;&gt;"&amp;A407)=0)),0))</f>
        <v/>
      </c>
      <c r="M407">
        <f>IF(B407="","",IFERROR(SUMPRODUCT((LEN(Employees!$A$3:$A$500)&gt;0)*(Employees!$U$3:$U$500=1)*(COUNTIFS($B$3:$B$500,Employees!$A$3:$A$500,$H$3:$H$500,"Approved",$D$3:$D$500,"&lt;="&amp;E407,$E$3:$E$500,"&gt;="&amp;D407,$A$3:$A$500,"&lt;&gt;"&amp;A407)=0)),0))</f>
        <v/>
      </c>
      <c r="N407">
        <f>IF(B407="","",IFERROR(SUMPRODUCT((LEN(Employees!$A$3:$A$500)&gt;0)*(Employees!$B$3:$B$500="Manager")*(Employees!$U$3:$U$500=1)*(COUNTIFS($B$3:$B$500,Employees!$A$3:$A$500,$H$3:$H$500,"Approved",$D$3:$D$500,"&lt;="&amp;E407,$E$3:$E$500,"&gt;="&amp;D407,$A$3:$A$500,"&lt;&gt;"&amp;A407)=0)),0))</f>
        <v/>
      </c>
      <c r="O407">
        <f>IF(B407="","",IFERROR(SUMPRODUCT((LEN(Employees!$A$3:$A$500)&gt;0)*(Employees!$V$3:$V$500=1)*(COUNTIFS($B$3:$B$500,Employees!$A$3:$A$500,$H$3:$H$500,"Approved",$D$3:$D$500,"&lt;="&amp;E407,$E$3:$E$500,"&gt;="&amp;D407,$A$3:$A$500,"&lt;&gt;"&amp;A407)=0)),0))</f>
        <v/>
      </c>
      <c r="P407">
        <f>IF(B407="","",IFERROR(SUMPRODUCT((LEN(Employees!$A$3:$A$500)&gt;0)*(Employees!$W$3:$W$500=1)*(COUNTIFS($B$3:$B$500,Employees!$A$3:$A$500,$H$3:$H$500,"Approved",$D$3:$D$500,"&lt;="&amp;E407,$E$3:$E$500,"&gt;="&amp;D407,$A$3:$A$500,"&lt;&gt;"&amp;A407)=0)),0))</f>
        <v/>
      </c>
      <c r="Q407">
        <f>IF(B407="","",IFERROR(SUMPRODUCT((LEN(Employees!$A$3:$A$500)&gt;0)*(Employees!$N$3:$N$500=1)*(COUNTIFS($B$3:$B$500,Employees!$A$3:$A$500,$H$3:$H$500,"Approved",$D$3:$D$500,"&lt;="&amp;E407,$E$3:$E$500,"&gt;="&amp;D407,$A$3:$A$500,"&lt;&gt;"&amp;A407)&gt;0)),0))</f>
        <v/>
      </c>
      <c r="R407">
        <f>IF(B407="","",IFERROR(SUMPRODUCT((LEN(Employees!$A$3:$A$500)&gt;0)*(Employees!$O$3:$O$500=1)*(COUNTIFS($B$3:$B$500,Employees!$A$3:$A$500,$H$3:$H$500,"Approved",$D$3:$D$500,"&lt;="&amp;E407,$E$3:$E$500,"&gt;="&amp;D407,$A$3:$A$500,"&lt;&gt;"&amp;A407)&gt;0)),0))</f>
        <v/>
      </c>
      <c r="S407">
        <f>IF(OR(B407="",IFERROR(XLOOKUP(B407,Employees!$A$3:$A$500,Employees!$G$3:$G$500,""),"")=""),"",IFERROR(SUMPRODUCT((LEN(Employees!$A$3:$A$500)&gt;0)*(Employees!$G$3:$G$500=IFERROR(XLOOKUP(B407,Employees!$A$3:$A$500,Employees!$G$3:$G$500,""),""))*(COUNTIFS($B$3:$B$500,Employees!$A$3:$A$500,$H$3:$H$500,"Approved",$D$3:$D$500,"&lt;="&amp;E407,$E$3:$E$500,"&gt;="&amp;D407,$A$3:$A$500,"&lt;&gt;"&amp;A407)&gt;0)),0))</f>
        <v/>
      </c>
    </row>
    <row r="408">
      <c r="C408">
        <f>IFERROR(XLOOKUP(B408,Employees!$A$3:$A$500,Employees!$B$3:$B$500,""),"")</f>
        <v/>
      </c>
      <c r="I408">
        <f>IF(AND(B408&lt;&gt;"",D408&lt;&gt;"",E408&lt;&gt;""),E408-D408+1,"")</f>
        <v/>
      </c>
      <c r="J408">
        <f>IF(OR(B408="",D408="",E408=""),"",IF(OR(L408&lt;'Coverage Rules'!E7,M408&lt;'Coverage Rules'!E8,N408&lt;'Coverage Rules'!C8,O408&lt;'Coverage Rules'!E9,P408&lt;'Coverage Rules'!E10,Q408&gt;='Coverage Rules'!B16,R408&gt;='Coverage Rules'!B17,IF(S408="",FALSE,S408&gt;='Coverage Rules'!D24)),"Denied","OK"))</f>
        <v/>
      </c>
      <c r="L408">
        <f>IF(B408="","",IFERROR(SUMPRODUCT((LEN(Employees!$A$3:$A$500)&gt;0)*(Employees!$T$3:$T$500=1)*(COUNTIFS($B$3:$B$500,Employees!$A$3:$A$500,$H$3:$H$500,"Approved",$D$3:$D$500,"&lt;="&amp;E408,$E$3:$E$500,"&gt;="&amp;D408,$A$3:$A$500,"&lt;&gt;"&amp;A408)=0)),0))</f>
        <v/>
      </c>
      <c r="M408">
        <f>IF(B408="","",IFERROR(SUMPRODUCT((LEN(Employees!$A$3:$A$500)&gt;0)*(Employees!$U$3:$U$500=1)*(COUNTIFS($B$3:$B$500,Employees!$A$3:$A$500,$H$3:$H$500,"Approved",$D$3:$D$500,"&lt;="&amp;E408,$E$3:$E$500,"&gt;="&amp;D408,$A$3:$A$500,"&lt;&gt;"&amp;A408)=0)),0))</f>
        <v/>
      </c>
      <c r="N408">
        <f>IF(B408="","",IFERROR(SUMPRODUCT((LEN(Employees!$A$3:$A$500)&gt;0)*(Employees!$B$3:$B$500="Manager")*(Employees!$U$3:$U$500=1)*(COUNTIFS($B$3:$B$500,Employees!$A$3:$A$500,$H$3:$H$500,"Approved",$D$3:$D$500,"&lt;="&amp;E408,$E$3:$E$500,"&gt;="&amp;D408,$A$3:$A$500,"&lt;&gt;"&amp;A408)=0)),0))</f>
        <v/>
      </c>
      <c r="O408">
        <f>IF(B408="","",IFERROR(SUMPRODUCT((LEN(Employees!$A$3:$A$500)&gt;0)*(Employees!$V$3:$V$500=1)*(COUNTIFS($B$3:$B$500,Employees!$A$3:$A$500,$H$3:$H$500,"Approved",$D$3:$D$500,"&lt;="&amp;E408,$E$3:$E$500,"&gt;="&amp;D408,$A$3:$A$500,"&lt;&gt;"&amp;A408)=0)),0))</f>
        <v/>
      </c>
      <c r="P408">
        <f>IF(B408="","",IFERROR(SUMPRODUCT((LEN(Employees!$A$3:$A$500)&gt;0)*(Employees!$W$3:$W$500=1)*(COUNTIFS($B$3:$B$500,Employees!$A$3:$A$500,$H$3:$H$500,"Approved",$D$3:$D$500,"&lt;="&amp;E408,$E$3:$E$500,"&gt;="&amp;D408,$A$3:$A$500,"&lt;&gt;"&amp;A408)=0)),0))</f>
        <v/>
      </c>
      <c r="Q408">
        <f>IF(B408="","",IFERROR(SUMPRODUCT((LEN(Employees!$A$3:$A$500)&gt;0)*(Employees!$N$3:$N$500=1)*(COUNTIFS($B$3:$B$500,Employees!$A$3:$A$500,$H$3:$H$500,"Approved",$D$3:$D$500,"&lt;="&amp;E408,$E$3:$E$500,"&gt;="&amp;D408,$A$3:$A$500,"&lt;&gt;"&amp;A408)&gt;0)),0))</f>
        <v/>
      </c>
      <c r="R408">
        <f>IF(B408="","",IFERROR(SUMPRODUCT((LEN(Employees!$A$3:$A$500)&gt;0)*(Employees!$O$3:$O$500=1)*(COUNTIFS($B$3:$B$500,Employees!$A$3:$A$500,$H$3:$H$500,"Approved",$D$3:$D$500,"&lt;="&amp;E408,$E$3:$E$500,"&gt;="&amp;D408,$A$3:$A$500,"&lt;&gt;"&amp;A408)&gt;0)),0))</f>
        <v/>
      </c>
      <c r="S408">
        <f>IF(OR(B408="",IFERROR(XLOOKUP(B408,Employees!$A$3:$A$500,Employees!$G$3:$G$500,""),"")=""),"",IFERROR(SUMPRODUCT((LEN(Employees!$A$3:$A$500)&gt;0)*(Employees!$G$3:$G$500=IFERROR(XLOOKUP(B408,Employees!$A$3:$A$500,Employees!$G$3:$G$500,""),""))*(COUNTIFS($B$3:$B$500,Employees!$A$3:$A$500,$H$3:$H$500,"Approved",$D$3:$D$500,"&lt;="&amp;E408,$E$3:$E$500,"&gt;="&amp;D408,$A$3:$A$500,"&lt;&gt;"&amp;A408)&gt;0)),0))</f>
        <v/>
      </c>
    </row>
    <row r="409">
      <c r="C409">
        <f>IFERROR(XLOOKUP(B409,Employees!$A$3:$A$500,Employees!$B$3:$B$500,""),"")</f>
        <v/>
      </c>
      <c r="I409">
        <f>IF(AND(B409&lt;&gt;"",D409&lt;&gt;"",E409&lt;&gt;""),E409-D409+1,"")</f>
        <v/>
      </c>
      <c r="J409">
        <f>IF(OR(B409="",D409="",E409=""),"",IF(OR(L409&lt;'Coverage Rules'!E7,M409&lt;'Coverage Rules'!E8,N409&lt;'Coverage Rules'!C8,O409&lt;'Coverage Rules'!E9,P409&lt;'Coverage Rules'!E10,Q409&gt;='Coverage Rules'!B16,R409&gt;='Coverage Rules'!B17,IF(S409="",FALSE,S409&gt;='Coverage Rules'!D24)),"Denied","OK"))</f>
        <v/>
      </c>
      <c r="L409">
        <f>IF(B409="","",IFERROR(SUMPRODUCT((LEN(Employees!$A$3:$A$500)&gt;0)*(Employees!$T$3:$T$500=1)*(COUNTIFS($B$3:$B$500,Employees!$A$3:$A$500,$H$3:$H$500,"Approved",$D$3:$D$500,"&lt;="&amp;E409,$E$3:$E$500,"&gt;="&amp;D409,$A$3:$A$500,"&lt;&gt;"&amp;A409)=0)),0))</f>
        <v/>
      </c>
      <c r="M409">
        <f>IF(B409="","",IFERROR(SUMPRODUCT((LEN(Employees!$A$3:$A$500)&gt;0)*(Employees!$U$3:$U$500=1)*(COUNTIFS($B$3:$B$500,Employees!$A$3:$A$500,$H$3:$H$500,"Approved",$D$3:$D$500,"&lt;="&amp;E409,$E$3:$E$500,"&gt;="&amp;D409,$A$3:$A$500,"&lt;&gt;"&amp;A409)=0)),0))</f>
        <v/>
      </c>
      <c r="N409">
        <f>IF(B409="","",IFERROR(SUMPRODUCT((LEN(Employees!$A$3:$A$500)&gt;0)*(Employees!$B$3:$B$500="Manager")*(Employees!$U$3:$U$500=1)*(COUNTIFS($B$3:$B$500,Employees!$A$3:$A$500,$H$3:$H$500,"Approved",$D$3:$D$500,"&lt;="&amp;E409,$E$3:$E$500,"&gt;="&amp;D409,$A$3:$A$500,"&lt;&gt;"&amp;A409)=0)),0))</f>
        <v/>
      </c>
      <c r="O409">
        <f>IF(B409="","",IFERROR(SUMPRODUCT((LEN(Employees!$A$3:$A$500)&gt;0)*(Employees!$V$3:$V$500=1)*(COUNTIFS($B$3:$B$500,Employees!$A$3:$A$500,$H$3:$H$500,"Approved",$D$3:$D$500,"&lt;="&amp;E409,$E$3:$E$500,"&gt;="&amp;D409,$A$3:$A$500,"&lt;&gt;"&amp;A409)=0)),0))</f>
        <v/>
      </c>
      <c r="P409">
        <f>IF(B409="","",IFERROR(SUMPRODUCT((LEN(Employees!$A$3:$A$500)&gt;0)*(Employees!$W$3:$W$500=1)*(COUNTIFS($B$3:$B$500,Employees!$A$3:$A$500,$H$3:$H$500,"Approved",$D$3:$D$500,"&lt;="&amp;E409,$E$3:$E$500,"&gt;="&amp;D409,$A$3:$A$500,"&lt;&gt;"&amp;A409)=0)),0))</f>
        <v/>
      </c>
      <c r="Q409">
        <f>IF(B409="","",IFERROR(SUMPRODUCT((LEN(Employees!$A$3:$A$500)&gt;0)*(Employees!$N$3:$N$500=1)*(COUNTIFS($B$3:$B$500,Employees!$A$3:$A$500,$H$3:$H$500,"Approved",$D$3:$D$500,"&lt;="&amp;E409,$E$3:$E$500,"&gt;="&amp;D409,$A$3:$A$500,"&lt;&gt;"&amp;A409)&gt;0)),0))</f>
        <v/>
      </c>
      <c r="R409">
        <f>IF(B409="","",IFERROR(SUMPRODUCT((LEN(Employees!$A$3:$A$500)&gt;0)*(Employees!$O$3:$O$500=1)*(COUNTIFS($B$3:$B$500,Employees!$A$3:$A$500,$H$3:$H$500,"Approved",$D$3:$D$500,"&lt;="&amp;E409,$E$3:$E$500,"&gt;="&amp;D409,$A$3:$A$500,"&lt;&gt;"&amp;A409)&gt;0)),0))</f>
        <v/>
      </c>
      <c r="S409">
        <f>IF(OR(B409="",IFERROR(XLOOKUP(B409,Employees!$A$3:$A$500,Employees!$G$3:$G$500,""),"")=""),"",IFERROR(SUMPRODUCT((LEN(Employees!$A$3:$A$500)&gt;0)*(Employees!$G$3:$G$500=IFERROR(XLOOKUP(B409,Employees!$A$3:$A$500,Employees!$G$3:$G$500,""),""))*(COUNTIFS($B$3:$B$500,Employees!$A$3:$A$500,$H$3:$H$500,"Approved",$D$3:$D$500,"&lt;="&amp;E409,$E$3:$E$500,"&gt;="&amp;D409,$A$3:$A$500,"&lt;&gt;"&amp;A409)&gt;0)),0))</f>
        <v/>
      </c>
    </row>
    <row r="410">
      <c r="C410">
        <f>IFERROR(XLOOKUP(B410,Employees!$A$3:$A$500,Employees!$B$3:$B$500,""),"")</f>
        <v/>
      </c>
      <c r="I410">
        <f>IF(AND(B410&lt;&gt;"",D410&lt;&gt;"",E410&lt;&gt;""),E410-D410+1,"")</f>
        <v/>
      </c>
      <c r="J410">
        <f>IF(OR(B410="",D410="",E410=""),"",IF(OR(L410&lt;'Coverage Rules'!E7,M410&lt;'Coverage Rules'!E8,N410&lt;'Coverage Rules'!C8,O410&lt;'Coverage Rules'!E9,P410&lt;'Coverage Rules'!E10,Q410&gt;='Coverage Rules'!B16,R410&gt;='Coverage Rules'!B17,IF(S410="",FALSE,S410&gt;='Coverage Rules'!D24)),"Denied","OK"))</f>
        <v/>
      </c>
      <c r="L410">
        <f>IF(B410="","",IFERROR(SUMPRODUCT((LEN(Employees!$A$3:$A$500)&gt;0)*(Employees!$T$3:$T$500=1)*(COUNTIFS($B$3:$B$500,Employees!$A$3:$A$500,$H$3:$H$500,"Approved",$D$3:$D$500,"&lt;="&amp;E410,$E$3:$E$500,"&gt;="&amp;D410,$A$3:$A$500,"&lt;&gt;"&amp;A410)=0)),0))</f>
        <v/>
      </c>
      <c r="M410">
        <f>IF(B410="","",IFERROR(SUMPRODUCT((LEN(Employees!$A$3:$A$500)&gt;0)*(Employees!$U$3:$U$500=1)*(COUNTIFS($B$3:$B$500,Employees!$A$3:$A$500,$H$3:$H$500,"Approved",$D$3:$D$500,"&lt;="&amp;E410,$E$3:$E$500,"&gt;="&amp;D410,$A$3:$A$500,"&lt;&gt;"&amp;A410)=0)),0))</f>
        <v/>
      </c>
      <c r="N410">
        <f>IF(B410="","",IFERROR(SUMPRODUCT((LEN(Employees!$A$3:$A$500)&gt;0)*(Employees!$B$3:$B$500="Manager")*(Employees!$U$3:$U$500=1)*(COUNTIFS($B$3:$B$500,Employees!$A$3:$A$500,$H$3:$H$500,"Approved",$D$3:$D$500,"&lt;="&amp;E410,$E$3:$E$500,"&gt;="&amp;D410,$A$3:$A$500,"&lt;&gt;"&amp;A410)=0)),0))</f>
        <v/>
      </c>
      <c r="O410">
        <f>IF(B410="","",IFERROR(SUMPRODUCT((LEN(Employees!$A$3:$A$500)&gt;0)*(Employees!$V$3:$V$500=1)*(COUNTIFS($B$3:$B$500,Employees!$A$3:$A$500,$H$3:$H$500,"Approved",$D$3:$D$500,"&lt;="&amp;E410,$E$3:$E$500,"&gt;="&amp;D410,$A$3:$A$500,"&lt;&gt;"&amp;A410)=0)),0))</f>
        <v/>
      </c>
      <c r="P410">
        <f>IF(B410="","",IFERROR(SUMPRODUCT((LEN(Employees!$A$3:$A$500)&gt;0)*(Employees!$W$3:$W$500=1)*(COUNTIFS($B$3:$B$500,Employees!$A$3:$A$500,$H$3:$H$500,"Approved",$D$3:$D$500,"&lt;="&amp;E410,$E$3:$E$500,"&gt;="&amp;D410,$A$3:$A$500,"&lt;&gt;"&amp;A410)=0)),0))</f>
        <v/>
      </c>
      <c r="Q410">
        <f>IF(B410="","",IFERROR(SUMPRODUCT((LEN(Employees!$A$3:$A$500)&gt;0)*(Employees!$N$3:$N$500=1)*(COUNTIFS($B$3:$B$500,Employees!$A$3:$A$500,$H$3:$H$500,"Approved",$D$3:$D$500,"&lt;="&amp;E410,$E$3:$E$500,"&gt;="&amp;D410,$A$3:$A$500,"&lt;&gt;"&amp;A410)&gt;0)),0))</f>
        <v/>
      </c>
      <c r="R410">
        <f>IF(B410="","",IFERROR(SUMPRODUCT((LEN(Employees!$A$3:$A$500)&gt;0)*(Employees!$O$3:$O$500=1)*(COUNTIFS($B$3:$B$500,Employees!$A$3:$A$500,$H$3:$H$500,"Approved",$D$3:$D$500,"&lt;="&amp;E410,$E$3:$E$500,"&gt;="&amp;D410,$A$3:$A$500,"&lt;&gt;"&amp;A410)&gt;0)),0))</f>
        <v/>
      </c>
      <c r="S410">
        <f>IF(OR(B410="",IFERROR(XLOOKUP(B410,Employees!$A$3:$A$500,Employees!$G$3:$G$500,""),"")=""),"",IFERROR(SUMPRODUCT((LEN(Employees!$A$3:$A$500)&gt;0)*(Employees!$G$3:$G$500=IFERROR(XLOOKUP(B410,Employees!$A$3:$A$500,Employees!$G$3:$G$500,""),""))*(COUNTIFS($B$3:$B$500,Employees!$A$3:$A$500,$H$3:$H$500,"Approved",$D$3:$D$500,"&lt;="&amp;E410,$E$3:$E$500,"&gt;="&amp;D410,$A$3:$A$500,"&lt;&gt;"&amp;A410)&gt;0)),0))</f>
        <v/>
      </c>
    </row>
    <row r="411">
      <c r="C411">
        <f>IFERROR(XLOOKUP(B411,Employees!$A$3:$A$500,Employees!$B$3:$B$500,""),"")</f>
        <v/>
      </c>
      <c r="I411">
        <f>IF(AND(B411&lt;&gt;"",D411&lt;&gt;"",E411&lt;&gt;""),E411-D411+1,"")</f>
        <v/>
      </c>
      <c r="J411">
        <f>IF(OR(B411="",D411="",E411=""),"",IF(OR(L411&lt;'Coverage Rules'!E7,M411&lt;'Coverage Rules'!E8,N411&lt;'Coverage Rules'!C8,O411&lt;'Coverage Rules'!E9,P411&lt;'Coverage Rules'!E10,Q411&gt;='Coverage Rules'!B16,R411&gt;='Coverage Rules'!B17,IF(S411="",FALSE,S411&gt;='Coverage Rules'!D24)),"Denied","OK"))</f>
        <v/>
      </c>
      <c r="L411">
        <f>IF(B411="","",IFERROR(SUMPRODUCT((LEN(Employees!$A$3:$A$500)&gt;0)*(Employees!$T$3:$T$500=1)*(COUNTIFS($B$3:$B$500,Employees!$A$3:$A$500,$H$3:$H$500,"Approved",$D$3:$D$500,"&lt;="&amp;E411,$E$3:$E$500,"&gt;="&amp;D411,$A$3:$A$500,"&lt;&gt;"&amp;A411)=0)),0))</f>
        <v/>
      </c>
      <c r="M411">
        <f>IF(B411="","",IFERROR(SUMPRODUCT((LEN(Employees!$A$3:$A$500)&gt;0)*(Employees!$U$3:$U$500=1)*(COUNTIFS($B$3:$B$500,Employees!$A$3:$A$500,$H$3:$H$500,"Approved",$D$3:$D$500,"&lt;="&amp;E411,$E$3:$E$500,"&gt;="&amp;D411,$A$3:$A$500,"&lt;&gt;"&amp;A411)=0)),0))</f>
        <v/>
      </c>
      <c r="N411">
        <f>IF(B411="","",IFERROR(SUMPRODUCT((LEN(Employees!$A$3:$A$500)&gt;0)*(Employees!$B$3:$B$500="Manager")*(Employees!$U$3:$U$500=1)*(COUNTIFS($B$3:$B$500,Employees!$A$3:$A$500,$H$3:$H$500,"Approved",$D$3:$D$500,"&lt;="&amp;E411,$E$3:$E$500,"&gt;="&amp;D411,$A$3:$A$500,"&lt;&gt;"&amp;A411)=0)),0))</f>
        <v/>
      </c>
      <c r="O411">
        <f>IF(B411="","",IFERROR(SUMPRODUCT((LEN(Employees!$A$3:$A$500)&gt;0)*(Employees!$V$3:$V$500=1)*(COUNTIFS($B$3:$B$500,Employees!$A$3:$A$500,$H$3:$H$500,"Approved",$D$3:$D$500,"&lt;="&amp;E411,$E$3:$E$500,"&gt;="&amp;D411,$A$3:$A$500,"&lt;&gt;"&amp;A411)=0)),0))</f>
        <v/>
      </c>
      <c r="P411">
        <f>IF(B411="","",IFERROR(SUMPRODUCT((LEN(Employees!$A$3:$A$500)&gt;0)*(Employees!$W$3:$W$500=1)*(COUNTIFS($B$3:$B$500,Employees!$A$3:$A$500,$H$3:$H$500,"Approved",$D$3:$D$500,"&lt;="&amp;E411,$E$3:$E$500,"&gt;="&amp;D411,$A$3:$A$500,"&lt;&gt;"&amp;A411)=0)),0))</f>
        <v/>
      </c>
      <c r="Q411">
        <f>IF(B411="","",IFERROR(SUMPRODUCT((LEN(Employees!$A$3:$A$500)&gt;0)*(Employees!$N$3:$N$500=1)*(COUNTIFS($B$3:$B$500,Employees!$A$3:$A$500,$H$3:$H$500,"Approved",$D$3:$D$500,"&lt;="&amp;E411,$E$3:$E$500,"&gt;="&amp;D411,$A$3:$A$500,"&lt;&gt;"&amp;A411)&gt;0)),0))</f>
        <v/>
      </c>
      <c r="R411">
        <f>IF(B411="","",IFERROR(SUMPRODUCT((LEN(Employees!$A$3:$A$500)&gt;0)*(Employees!$O$3:$O$500=1)*(COUNTIFS($B$3:$B$500,Employees!$A$3:$A$500,$H$3:$H$500,"Approved",$D$3:$D$500,"&lt;="&amp;E411,$E$3:$E$500,"&gt;="&amp;D411,$A$3:$A$500,"&lt;&gt;"&amp;A411)&gt;0)),0))</f>
        <v/>
      </c>
      <c r="S411">
        <f>IF(OR(B411="",IFERROR(XLOOKUP(B411,Employees!$A$3:$A$500,Employees!$G$3:$G$500,""),"")=""),"",IFERROR(SUMPRODUCT((LEN(Employees!$A$3:$A$500)&gt;0)*(Employees!$G$3:$G$500=IFERROR(XLOOKUP(B411,Employees!$A$3:$A$500,Employees!$G$3:$G$500,""),""))*(COUNTIFS($B$3:$B$500,Employees!$A$3:$A$500,$H$3:$H$500,"Approved",$D$3:$D$500,"&lt;="&amp;E411,$E$3:$E$500,"&gt;="&amp;D411,$A$3:$A$500,"&lt;&gt;"&amp;A411)&gt;0)),0))</f>
        <v/>
      </c>
    </row>
    <row r="412">
      <c r="C412">
        <f>IFERROR(XLOOKUP(B412,Employees!$A$3:$A$500,Employees!$B$3:$B$500,""),"")</f>
        <v/>
      </c>
      <c r="I412">
        <f>IF(AND(B412&lt;&gt;"",D412&lt;&gt;"",E412&lt;&gt;""),E412-D412+1,"")</f>
        <v/>
      </c>
      <c r="J412">
        <f>IF(OR(B412="",D412="",E412=""),"",IF(OR(L412&lt;'Coverage Rules'!E7,M412&lt;'Coverage Rules'!E8,N412&lt;'Coverage Rules'!C8,O412&lt;'Coverage Rules'!E9,P412&lt;'Coverage Rules'!E10,Q412&gt;='Coverage Rules'!B16,R412&gt;='Coverage Rules'!B17,IF(S412="",FALSE,S412&gt;='Coverage Rules'!D24)),"Denied","OK"))</f>
        <v/>
      </c>
      <c r="L412">
        <f>IF(B412="","",IFERROR(SUMPRODUCT((LEN(Employees!$A$3:$A$500)&gt;0)*(Employees!$T$3:$T$500=1)*(COUNTIFS($B$3:$B$500,Employees!$A$3:$A$500,$H$3:$H$500,"Approved",$D$3:$D$500,"&lt;="&amp;E412,$E$3:$E$500,"&gt;="&amp;D412,$A$3:$A$500,"&lt;&gt;"&amp;A412)=0)),0))</f>
        <v/>
      </c>
      <c r="M412">
        <f>IF(B412="","",IFERROR(SUMPRODUCT((LEN(Employees!$A$3:$A$500)&gt;0)*(Employees!$U$3:$U$500=1)*(COUNTIFS($B$3:$B$500,Employees!$A$3:$A$500,$H$3:$H$500,"Approved",$D$3:$D$500,"&lt;="&amp;E412,$E$3:$E$500,"&gt;="&amp;D412,$A$3:$A$500,"&lt;&gt;"&amp;A412)=0)),0))</f>
        <v/>
      </c>
      <c r="N412">
        <f>IF(B412="","",IFERROR(SUMPRODUCT((LEN(Employees!$A$3:$A$500)&gt;0)*(Employees!$B$3:$B$500="Manager")*(Employees!$U$3:$U$500=1)*(COUNTIFS($B$3:$B$500,Employees!$A$3:$A$500,$H$3:$H$500,"Approved",$D$3:$D$500,"&lt;="&amp;E412,$E$3:$E$500,"&gt;="&amp;D412,$A$3:$A$500,"&lt;&gt;"&amp;A412)=0)),0))</f>
        <v/>
      </c>
      <c r="O412">
        <f>IF(B412="","",IFERROR(SUMPRODUCT((LEN(Employees!$A$3:$A$500)&gt;0)*(Employees!$V$3:$V$500=1)*(COUNTIFS($B$3:$B$500,Employees!$A$3:$A$500,$H$3:$H$500,"Approved",$D$3:$D$500,"&lt;="&amp;E412,$E$3:$E$500,"&gt;="&amp;D412,$A$3:$A$500,"&lt;&gt;"&amp;A412)=0)),0))</f>
        <v/>
      </c>
      <c r="P412">
        <f>IF(B412="","",IFERROR(SUMPRODUCT((LEN(Employees!$A$3:$A$500)&gt;0)*(Employees!$W$3:$W$500=1)*(COUNTIFS($B$3:$B$500,Employees!$A$3:$A$500,$H$3:$H$500,"Approved",$D$3:$D$500,"&lt;="&amp;E412,$E$3:$E$500,"&gt;="&amp;D412,$A$3:$A$500,"&lt;&gt;"&amp;A412)=0)),0))</f>
        <v/>
      </c>
      <c r="Q412">
        <f>IF(B412="","",IFERROR(SUMPRODUCT((LEN(Employees!$A$3:$A$500)&gt;0)*(Employees!$N$3:$N$500=1)*(COUNTIFS($B$3:$B$500,Employees!$A$3:$A$500,$H$3:$H$500,"Approved",$D$3:$D$500,"&lt;="&amp;E412,$E$3:$E$500,"&gt;="&amp;D412,$A$3:$A$500,"&lt;&gt;"&amp;A412)&gt;0)),0))</f>
        <v/>
      </c>
      <c r="R412">
        <f>IF(B412="","",IFERROR(SUMPRODUCT((LEN(Employees!$A$3:$A$500)&gt;0)*(Employees!$O$3:$O$500=1)*(COUNTIFS($B$3:$B$500,Employees!$A$3:$A$500,$H$3:$H$500,"Approved",$D$3:$D$500,"&lt;="&amp;E412,$E$3:$E$500,"&gt;="&amp;D412,$A$3:$A$500,"&lt;&gt;"&amp;A412)&gt;0)),0))</f>
        <v/>
      </c>
      <c r="S412">
        <f>IF(OR(B412="",IFERROR(XLOOKUP(B412,Employees!$A$3:$A$500,Employees!$G$3:$G$500,""),"")=""),"",IFERROR(SUMPRODUCT((LEN(Employees!$A$3:$A$500)&gt;0)*(Employees!$G$3:$G$500=IFERROR(XLOOKUP(B412,Employees!$A$3:$A$500,Employees!$G$3:$G$500,""),""))*(COUNTIFS($B$3:$B$500,Employees!$A$3:$A$500,$H$3:$H$500,"Approved",$D$3:$D$500,"&lt;="&amp;E412,$E$3:$E$500,"&gt;="&amp;D412,$A$3:$A$500,"&lt;&gt;"&amp;A412)&gt;0)),0))</f>
        <v/>
      </c>
    </row>
    <row r="413">
      <c r="C413">
        <f>IFERROR(XLOOKUP(B413,Employees!$A$3:$A$500,Employees!$B$3:$B$500,""),"")</f>
        <v/>
      </c>
      <c r="I413">
        <f>IF(AND(B413&lt;&gt;"",D413&lt;&gt;"",E413&lt;&gt;""),E413-D413+1,"")</f>
        <v/>
      </c>
      <c r="J413">
        <f>IF(OR(B413="",D413="",E413=""),"",IF(OR(L413&lt;'Coverage Rules'!E7,M413&lt;'Coverage Rules'!E8,N413&lt;'Coverage Rules'!C8,O413&lt;'Coverage Rules'!E9,P413&lt;'Coverage Rules'!E10,Q413&gt;='Coverage Rules'!B16,R413&gt;='Coverage Rules'!B17,IF(S413="",FALSE,S413&gt;='Coverage Rules'!D24)),"Denied","OK"))</f>
        <v/>
      </c>
      <c r="L413">
        <f>IF(B413="","",IFERROR(SUMPRODUCT((LEN(Employees!$A$3:$A$500)&gt;0)*(Employees!$T$3:$T$500=1)*(COUNTIFS($B$3:$B$500,Employees!$A$3:$A$500,$H$3:$H$500,"Approved",$D$3:$D$500,"&lt;="&amp;E413,$E$3:$E$500,"&gt;="&amp;D413,$A$3:$A$500,"&lt;&gt;"&amp;A413)=0)),0))</f>
        <v/>
      </c>
      <c r="M413">
        <f>IF(B413="","",IFERROR(SUMPRODUCT((LEN(Employees!$A$3:$A$500)&gt;0)*(Employees!$U$3:$U$500=1)*(COUNTIFS($B$3:$B$500,Employees!$A$3:$A$500,$H$3:$H$500,"Approved",$D$3:$D$500,"&lt;="&amp;E413,$E$3:$E$500,"&gt;="&amp;D413,$A$3:$A$500,"&lt;&gt;"&amp;A413)=0)),0))</f>
        <v/>
      </c>
      <c r="N413">
        <f>IF(B413="","",IFERROR(SUMPRODUCT((LEN(Employees!$A$3:$A$500)&gt;0)*(Employees!$B$3:$B$500="Manager")*(Employees!$U$3:$U$500=1)*(COUNTIFS($B$3:$B$500,Employees!$A$3:$A$500,$H$3:$H$500,"Approved",$D$3:$D$500,"&lt;="&amp;E413,$E$3:$E$500,"&gt;="&amp;D413,$A$3:$A$500,"&lt;&gt;"&amp;A413)=0)),0))</f>
        <v/>
      </c>
      <c r="O413">
        <f>IF(B413="","",IFERROR(SUMPRODUCT((LEN(Employees!$A$3:$A$500)&gt;0)*(Employees!$V$3:$V$500=1)*(COUNTIFS($B$3:$B$500,Employees!$A$3:$A$500,$H$3:$H$500,"Approved",$D$3:$D$500,"&lt;="&amp;E413,$E$3:$E$500,"&gt;="&amp;D413,$A$3:$A$500,"&lt;&gt;"&amp;A413)=0)),0))</f>
        <v/>
      </c>
      <c r="P413">
        <f>IF(B413="","",IFERROR(SUMPRODUCT((LEN(Employees!$A$3:$A$500)&gt;0)*(Employees!$W$3:$W$500=1)*(COUNTIFS($B$3:$B$500,Employees!$A$3:$A$500,$H$3:$H$500,"Approved",$D$3:$D$500,"&lt;="&amp;E413,$E$3:$E$500,"&gt;="&amp;D413,$A$3:$A$500,"&lt;&gt;"&amp;A413)=0)),0))</f>
        <v/>
      </c>
      <c r="Q413">
        <f>IF(B413="","",IFERROR(SUMPRODUCT((LEN(Employees!$A$3:$A$500)&gt;0)*(Employees!$N$3:$N$500=1)*(COUNTIFS($B$3:$B$500,Employees!$A$3:$A$500,$H$3:$H$500,"Approved",$D$3:$D$500,"&lt;="&amp;E413,$E$3:$E$500,"&gt;="&amp;D413,$A$3:$A$500,"&lt;&gt;"&amp;A413)&gt;0)),0))</f>
        <v/>
      </c>
      <c r="R413">
        <f>IF(B413="","",IFERROR(SUMPRODUCT((LEN(Employees!$A$3:$A$500)&gt;0)*(Employees!$O$3:$O$500=1)*(COUNTIFS($B$3:$B$500,Employees!$A$3:$A$500,$H$3:$H$500,"Approved",$D$3:$D$500,"&lt;="&amp;E413,$E$3:$E$500,"&gt;="&amp;D413,$A$3:$A$500,"&lt;&gt;"&amp;A413)&gt;0)),0))</f>
        <v/>
      </c>
      <c r="S413">
        <f>IF(OR(B413="",IFERROR(XLOOKUP(B413,Employees!$A$3:$A$500,Employees!$G$3:$G$500,""),"")=""),"",IFERROR(SUMPRODUCT((LEN(Employees!$A$3:$A$500)&gt;0)*(Employees!$G$3:$G$500=IFERROR(XLOOKUP(B413,Employees!$A$3:$A$500,Employees!$G$3:$G$500,""),""))*(COUNTIFS($B$3:$B$500,Employees!$A$3:$A$500,$H$3:$H$500,"Approved",$D$3:$D$500,"&lt;="&amp;E413,$E$3:$E$500,"&gt;="&amp;D413,$A$3:$A$500,"&lt;&gt;"&amp;A413)&gt;0)),0))</f>
        <v/>
      </c>
    </row>
    <row r="414">
      <c r="C414">
        <f>IFERROR(XLOOKUP(B414,Employees!$A$3:$A$500,Employees!$B$3:$B$500,""),"")</f>
        <v/>
      </c>
      <c r="I414">
        <f>IF(AND(B414&lt;&gt;"",D414&lt;&gt;"",E414&lt;&gt;""),E414-D414+1,"")</f>
        <v/>
      </c>
      <c r="J414">
        <f>IF(OR(B414="",D414="",E414=""),"",IF(OR(L414&lt;'Coverage Rules'!E7,M414&lt;'Coverage Rules'!E8,N414&lt;'Coverage Rules'!C8,O414&lt;'Coverage Rules'!E9,P414&lt;'Coverage Rules'!E10,Q414&gt;='Coverage Rules'!B16,R414&gt;='Coverage Rules'!B17,IF(S414="",FALSE,S414&gt;='Coverage Rules'!D24)),"Denied","OK"))</f>
        <v/>
      </c>
      <c r="L414">
        <f>IF(B414="","",IFERROR(SUMPRODUCT((LEN(Employees!$A$3:$A$500)&gt;0)*(Employees!$T$3:$T$500=1)*(COUNTIFS($B$3:$B$500,Employees!$A$3:$A$500,$H$3:$H$500,"Approved",$D$3:$D$500,"&lt;="&amp;E414,$E$3:$E$500,"&gt;="&amp;D414,$A$3:$A$500,"&lt;&gt;"&amp;A414)=0)),0))</f>
        <v/>
      </c>
      <c r="M414">
        <f>IF(B414="","",IFERROR(SUMPRODUCT((LEN(Employees!$A$3:$A$500)&gt;0)*(Employees!$U$3:$U$500=1)*(COUNTIFS($B$3:$B$500,Employees!$A$3:$A$500,$H$3:$H$500,"Approved",$D$3:$D$500,"&lt;="&amp;E414,$E$3:$E$500,"&gt;="&amp;D414,$A$3:$A$500,"&lt;&gt;"&amp;A414)=0)),0))</f>
        <v/>
      </c>
      <c r="N414">
        <f>IF(B414="","",IFERROR(SUMPRODUCT((LEN(Employees!$A$3:$A$500)&gt;0)*(Employees!$B$3:$B$500="Manager")*(Employees!$U$3:$U$500=1)*(COUNTIFS($B$3:$B$500,Employees!$A$3:$A$500,$H$3:$H$500,"Approved",$D$3:$D$500,"&lt;="&amp;E414,$E$3:$E$500,"&gt;="&amp;D414,$A$3:$A$500,"&lt;&gt;"&amp;A414)=0)),0))</f>
        <v/>
      </c>
      <c r="O414">
        <f>IF(B414="","",IFERROR(SUMPRODUCT((LEN(Employees!$A$3:$A$500)&gt;0)*(Employees!$V$3:$V$500=1)*(COUNTIFS($B$3:$B$500,Employees!$A$3:$A$500,$H$3:$H$500,"Approved",$D$3:$D$500,"&lt;="&amp;E414,$E$3:$E$500,"&gt;="&amp;D414,$A$3:$A$500,"&lt;&gt;"&amp;A414)=0)),0))</f>
        <v/>
      </c>
      <c r="P414">
        <f>IF(B414="","",IFERROR(SUMPRODUCT((LEN(Employees!$A$3:$A$500)&gt;0)*(Employees!$W$3:$W$500=1)*(COUNTIFS($B$3:$B$500,Employees!$A$3:$A$500,$H$3:$H$500,"Approved",$D$3:$D$500,"&lt;="&amp;E414,$E$3:$E$500,"&gt;="&amp;D414,$A$3:$A$500,"&lt;&gt;"&amp;A414)=0)),0))</f>
        <v/>
      </c>
      <c r="Q414">
        <f>IF(B414="","",IFERROR(SUMPRODUCT((LEN(Employees!$A$3:$A$500)&gt;0)*(Employees!$N$3:$N$500=1)*(COUNTIFS($B$3:$B$500,Employees!$A$3:$A$500,$H$3:$H$500,"Approved",$D$3:$D$500,"&lt;="&amp;E414,$E$3:$E$500,"&gt;="&amp;D414,$A$3:$A$500,"&lt;&gt;"&amp;A414)&gt;0)),0))</f>
        <v/>
      </c>
      <c r="R414">
        <f>IF(B414="","",IFERROR(SUMPRODUCT((LEN(Employees!$A$3:$A$500)&gt;0)*(Employees!$O$3:$O$500=1)*(COUNTIFS($B$3:$B$500,Employees!$A$3:$A$500,$H$3:$H$500,"Approved",$D$3:$D$500,"&lt;="&amp;E414,$E$3:$E$500,"&gt;="&amp;D414,$A$3:$A$500,"&lt;&gt;"&amp;A414)&gt;0)),0))</f>
        <v/>
      </c>
      <c r="S414">
        <f>IF(OR(B414="",IFERROR(XLOOKUP(B414,Employees!$A$3:$A$500,Employees!$G$3:$G$500,""),"")=""),"",IFERROR(SUMPRODUCT((LEN(Employees!$A$3:$A$500)&gt;0)*(Employees!$G$3:$G$500=IFERROR(XLOOKUP(B414,Employees!$A$3:$A$500,Employees!$G$3:$G$500,""),""))*(COUNTIFS($B$3:$B$500,Employees!$A$3:$A$500,$H$3:$H$500,"Approved",$D$3:$D$500,"&lt;="&amp;E414,$E$3:$E$500,"&gt;="&amp;D414,$A$3:$A$500,"&lt;&gt;"&amp;A414)&gt;0)),0))</f>
        <v/>
      </c>
    </row>
    <row r="415">
      <c r="C415">
        <f>IFERROR(XLOOKUP(B415,Employees!$A$3:$A$500,Employees!$B$3:$B$500,""),"")</f>
        <v/>
      </c>
      <c r="I415">
        <f>IF(AND(B415&lt;&gt;"",D415&lt;&gt;"",E415&lt;&gt;""),E415-D415+1,"")</f>
        <v/>
      </c>
      <c r="J415">
        <f>IF(OR(B415="",D415="",E415=""),"",IF(OR(L415&lt;'Coverage Rules'!E7,M415&lt;'Coverage Rules'!E8,N415&lt;'Coverage Rules'!C8,O415&lt;'Coverage Rules'!E9,P415&lt;'Coverage Rules'!E10,Q415&gt;='Coverage Rules'!B16,R415&gt;='Coverage Rules'!B17,IF(S415="",FALSE,S415&gt;='Coverage Rules'!D24)),"Denied","OK"))</f>
        <v/>
      </c>
      <c r="L415">
        <f>IF(B415="","",IFERROR(SUMPRODUCT((LEN(Employees!$A$3:$A$500)&gt;0)*(Employees!$T$3:$T$500=1)*(COUNTIFS($B$3:$B$500,Employees!$A$3:$A$500,$H$3:$H$500,"Approved",$D$3:$D$500,"&lt;="&amp;E415,$E$3:$E$500,"&gt;="&amp;D415,$A$3:$A$500,"&lt;&gt;"&amp;A415)=0)),0))</f>
        <v/>
      </c>
      <c r="M415">
        <f>IF(B415="","",IFERROR(SUMPRODUCT((LEN(Employees!$A$3:$A$500)&gt;0)*(Employees!$U$3:$U$500=1)*(COUNTIFS($B$3:$B$500,Employees!$A$3:$A$500,$H$3:$H$500,"Approved",$D$3:$D$500,"&lt;="&amp;E415,$E$3:$E$500,"&gt;="&amp;D415,$A$3:$A$500,"&lt;&gt;"&amp;A415)=0)),0))</f>
        <v/>
      </c>
      <c r="N415">
        <f>IF(B415="","",IFERROR(SUMPRODUCT((LEN(Employees!$A$3:$A$500)&gt;0)*(Employees!$B$3:$B$500="Manager")*(Employees!$U$3:$U$500=1)*(COUNTIFS($B$3:$B$500,Employees!$A$3:$A$500,$H$3:$H$500,"Approved",$D$3:$D$500,"&lt;="&amp;E415,$E$3:$E$500,"&gt;="&amp;D415,$A$3:$A$500,"&lt;&gt;"&amp;A415)=0)),0))</f>
        <v/>
      </c>
      <c r="O415">
        <f>IF(B415="","",IFERROR(SUMPRODUCT((LEN(Employees!$A$3:$A$500)&gt;0)*(Employees!$V$3:$V$500=1)*(COUNTIFS($B$3:$B$500,Employees!$A$3:$A$500,$H$3:$H$500,"Approved",$D$3:$D$500,"&lt;="&amp;E415,$E$3:$E$500,"&gt;="&amp;D415,$A$3:$A$500,"&lt;&gt;"&amp;A415)=0)),0))</f>
        <v/>
      </c>
      <c r="P415">
        <f>IF(B415="","",IFERROR(SUMPRODUCT((LEN(Employees!$A$3:$A$500)&gt;0)*(Employees!$W$3:$W$500=1)*(COUNTIFS($B$3:$B$500,Employees!$A$3:$A$500,$H$3:$H$500,"Approved",$D$3:$D$500,"&lt;="&amp;E415,$E$3:$E$500,"&gt;="&amp;D415,$A$3:$A$500,"&lt;&gt;"&amp;A415)=0)),0))</f>
        <v/>
      </c>
      <c r="Q415">
        <f>IF(B415="","",IFERROR(SUMPRODUCT((LEN(Employees!$A$3:$A$500)&gt;0)*(Employees!$N$3:$N$500=1)*(COUNTIFS($B$3:$B$500,Employees!$A$3:$A$500,$H$3:$H$500,"Approved",$D$3:$D$500,"&lt;="&amp;E415,$E$3:$E$500,"&gt;="&amp;D415,$A$3:$A$500,"&lt;&gt;"&amp;A415)&gt;0)),0))</f>
        <v/>
      </c>
      <c r="R415">
        <f>IF(B415="","",IFERROR(SUMPRODUCT((LEN(Employees!$A$3:$A$500)&gt;0)*(Employees!$O$3:$O$500=1)*(COUNTIFS($B$3:$B$500,Employees!$A$3:$A$500,$H$3:$H$500,"Approved",$D$3:$D$500,"&lt;="&amp;E415,$E$3:$E$500,"&gt;="&amp;D415,$A$3:$A$500,"&lt;&gt;"&amp;A415)&gt;0)),0))</f>
        <v/>
      </c>
      <c r="S415">
        <f>IF(OR(B415="",IFERROR(XLOOKUP(B415,Employees!$A$3:$A$500,Employees!$G$3:$G$500,""),"")=""),"",IFERROR(SUMPRODUCT((LEN(Employees!$A$3:$A$500)&gt;0)*(Employees!$G$3:$G$500=IFERROR(XLOOKUP(B415,Employees!$A$3:$A$500,Employees!$G$3:$G$500,""),""))*(COUNTIFS($B$3:$B$500,Employees!$A$3:$A$500,$H$3:$H$500,"Approved",$D$3:$D$500,"&lt;="&amp;E415,$E$3:$E$500,"&gt;="&amp;D415,$A$3:$A$500,"&lt;&gt;"&amp;A415)&gt;0)),0))</f>
        <v/>
      </c>
    </row>
    <row r="416">
      <c r="C416">
        <f>IFERROR(XLOOKUP(B416,Employees!$A$3:$A$500,Employees!$B$3:$B$500,""),"")</f>
        <v/>
      </c>
      <c r="I416">
        <f>IF(AND(B416&lt;&gt;"",D416&lt;&gt;"",E416&lt;&gt;""),E416-D416+1,"")</f>
        <v/>
      </c>
      <c r="J416">
        <f>IF(OR(B416="",D416="",E416=""),"",IF(OR(L416&lt;'Coverage Rules'!E7,M416&lt;'Coverage Rules'!E8,N416&lt;'Coverage Rules'!C8,O416&lt;'Coverage Rules'!E9,P416&lt;'Coverage Rules'!E10,Q416&gt;='Coverage Rules'!B16,R416&gt;='Coverage Rules'!B17,IF(S416="",FALSE,S416&gt;='Coverage Rules'!D24)),"Denied","OK"))</f>
        <v/>
      </c>
      <c r="L416">
        <f>IF(B416="","",IFERROR(SUMPRODUCT((LEN(Employees!$A$3:$A$500)&gt;0)*(Employees!$T$3:$T$500=1)*(COUNTIFS($B$3:$B$500,Employees!$A$3:$A$500,$H$3:$H$500,"Approved",$D$3:$D$500,"&lt;="&amp;E416,$E$3:$E$500,"&gt;="&amp;D416,$A$3:$A$500,"&lt;&gt;"&amp;A416)=0)),0))</f>
        <v/>
      </c>
      <c r="M416">
        <f>IF(B416="","",IFERROR(SUMPRODUCT((LEN(Employees!$A$3:$A$500)&gt;0)*(Employees!$U$3:$U$500=1)*(COUNTIFS($B$3:$B$500,Employees!$A$3:$A$500,$H$3:$H$500,"Approved",$D$3:$D$500,"&lt;="&amp;E416,$E$3:$E$500,"&gt;="&amp;D416,$A$3:$A$500,"&lt;&gt;"&amp;A416)=0)),0))</f>
        <v/>
      </c>
      <c r="N416">
        <f>IF(B416="","",IFERROR(SUMPRODUCT((LEN(Employees!$A$3:$A$500)&gt;0)*(Employees!$B$3:$B$500="Manager")*(Employees!$U$3:$U$500=1)*(COUNTIFS($B$3:$B$500,Employees!$A$3:$A$500,$H$3:$H$500,"Approved",$D$3:$D$500,"&lt;="&amp;E416,$E$3:$E$500,"&gt;="&amp;D416,$A$3:$A$500,"&lt;&gt;"&amp;A416)=0)),0))</f>
        <v/>
      </c>
      <c r="O416">
        <f>IF(B416="","",IFERROR(SUMPRODUCT((LEN(Employees!$A$3:$A$500)&gt;0)*(Employees!$V$3:$V$500=1)*(COUNTIFS($B$3:$B$500,Employees!$A$3:$A$500,$H$3:$H$500,"Approved",$D$3:$D$500,"&lt;="&amp;E416,$E$3:$E$500,"&gt;="&amp;D416,$A$3:$A$500,"&lt;&gt;"&amp;A416)=0)),0))</f>
        <v/>
      </c>
      <c r="P416">
        <f>IF(B416="","",IFERROR(SUMPRODUCT((LEN(Employees!$A$3:$A$500)&gt;0)*(Employees!$W$3:$W$500=1)*(COUNTIFS($B$3:$B$500,Employees!$A$3:$A$500,$H$3:$H$500,"Approved",$D$3:$D$500,"&lt;="&amp;E416,$E$3:$E$500,"&gt;="&amp;D416,$A$3:$A$500,"&lt;&gt;"&amp;A416)=0)),0))</f>
        <v/>
      </c>
      <c r="Q416">
        <f>IF(B416="","",IFERROR(SUMPRODUCT((LEN(Employees!$A$3:$A$500)&gt;0)*(Employees!$N$3:$N$500=1)*(COUNTIFS($B$3:$B$500,Employees!$A$3:$A$500,$H$3:$H$500,"Approved",$D$3:$D$500,"&lt;="&amp;E416,$E$3:$E$500,"&gt;="&amp;D416,$A$3:$A$500,"&lt;&gt;"&amp;A416)&gt;0)),0))</f>
        <v/>
      </c>
      <c r="R416">
        <f>IF(B416="","",IFERROR(SUMPRODUCT((LEN(Employees!$A$3:$A$500)&gt;0)*(Employees!$O$3:$O$500=1)*(COUNTIFS($B$3:$B$500,Employees!$A$3:$A$500,$H$3:$H$500,"Approved",$D$3:$D$500,"&lt;="&amp;E416,$E$3:$E$500,"&gt;="&amp;D416,$A$3:$A$500,"&lt;&gt;"&amp;A416)&gt;0)),0))</f>
        <v/>
      </c>
      <c r="S416">
        <f>IF(OR(B416="",IFERROR(XLOOKUP(B416,Employees!$A$3:$A$500,Employees!$G$3:$G$500,""),"")=""),"",IFERROR(SUMPRODUCT((LEN(Employees!$A$3:$A$500)&gt;0)*(Employees!$G$3:$G$500=IFERROR(XLOOKUP(B416,Employees!$A$3:$A$500,Employees!$G$3:$G$500,""),""))*(COUNTIFS($B$3:$B$500,Employees!$A$3:$A$500,$H$3:$H$500,"Approved",$D$3:$D$500,"&lt;="&amp;E416,$E$3:$E$500,"&gt;="&amp;D416,$A$3:$A$500,"&lt;&gt;"&amp;A416)&gt;0)),0))</f>
        <v/>
      </c>
    </row>
    <row r="417">
      <c r="C417">
        <f>IFERROR(XLOOKUP(B417,Employees!$A$3:$A$500,Employees!$B$3:$B$500,""),"")</f>
        <v/>
      </c>
      <c r="I417">
        <f>IF(AND(B417&lt;&gt;"",D417&lt;&gt;"",E417&lt;&gt;""),E417-D417+1,"")</f>
        <v/>
      </c>
      <c r="J417">
        <f>IF(OR(B417="",D417="",E417=""),"",IF(OR(L417&lt;'Coverage Rules'!E7,M417&lt;'Coverage Rules'!E8,N417&lt;'Coverage Rules'!C8,O417&lt;'Coverage Rules'!E9,P417&lt;'Coverage Rules'!E10,Q417&gt;='Coverage Rules'!B16,R417&gt;='Coverage Rules'!B17,IF(S417="",FALSE,S417&gt;='Coverage Rules'!D24)),"Denied","OK"))</f>
        <v/>
      </c>
      <c r="L417">
        <f>IF(B417="","",IFERROR(SUMPRODUCT((LEN(Employees!$A$3:$A$500)&gt;0)*(Employees!$T$3:$T$500=1)*(COUNTIFS($B$3:$B$500,Employees!$A$3:$A$500,$H$3:$H$500,"Approved",$D$3:$D$500,"&lt;="&amp;E417,$E$3:$E$500,"&gt;="&amp;D417,$A$3:$A$500,"&lt;&gt;"&amp;A417)=0)),0))</f>
        <v/>
      </c>
      <c r="M417">
        <f>IF(B417="","",IFERROR(SUMPRODUCT((LEN(Employees!$A$3:$A$500)&gt;0)*(Employees!$U$3:$U$500=1)*(COUNTIFS($B$3:$B$500,Employees!$A$3:$A$500,$H$3:$H$500,"Approved",$D$3:$D$500,"&lt;="&amp;E417,$E$3:$E$500,"&gt;="&amp;D417,$A$3:$A$500,"&lt;&gt;"&amp;A417)=0)),0))</f>
        <v/>
      </c>
      <c r="N417">
        <f>IF(B417="","",IFERROR(SUMPRODUCT((LEN(Employees!$A$3:$A$500)&gt;0)*(Employees!$B$3:$B$500="Manager")*(Employees!$U$3:$U$500=1)*(COUNTIFS($B$3:$B$500,Employees!$A$3:$A$500,$H$3:$H$500,"Approved",$D$3:$D$500,"&lt;="&amp;E417,$E$3:$E$500,"&gt;="&amp;D417,$A$3:$A$500,"&lt;&gt;"&amp;A417)=0)),0))</f>
        <v/>
      </c>
      <c r="O417">
        <f>IF(B417="","",IFERROR(SUMPRODUCT((LEN(Employees!$A$3:$A$500)&gt;0)*(Employees!$V$3:$V$500=1)*(COUNTIFS($B$3:$B$500,Employees!$A$3:$A$500,$H$3:$H$500,"Approved",$D$3:$D$500,"&lt;="&amp;E417,$E$3:$E$500,"&gt;="&amp;D417,$A$3:$A$500,"&lt;&gt;"&amp;A417)=0)),0))</f>
        <v/>
      </c>
      <c r="P417">
        <f>IF(B417="","",IFERROR(SUMPRODUCT((LEN(Employees!$A$3:$A$500)&gt;0)*(Employees!$W$3:$W$500=1)*(COUNTIFS($B$3:$B$500,Employees!$A$3:$A$500,$H$3:$H$500,"Approved",$D$3:$D$500,"&lt;="&amp;E417,$E$3:$E$500,"&gt;="&amp;D417,$A$3:$A$500,"&lt;&gt;"&amp;A417)=0)),0))</f>
        <v/>
      </c>
      <c r="Q417">
        <f>IF(B417="","",IFERROR(SUMPRODUCT((LEN(Employees!$A$3:$A$500)&gt;0)*(Employees!$N$3:$N$500=1)*(COUNTIFS($B$3:$B$500,Employees!$A$3:$A$500,$H$3:$H$500,"Approved",$D$3:$D$500,"&lt;="&amp;E417,$E$3:$E$500,"&gt;="&amp;D417,$A$3:$A$500,"&lt;&gt;"&amp;A417)&gt;0)),0))</f>
        <v/>
      </c>
      <c r="R417">
        <f>IF(B417="","",IFERROR(SUMPRODUCT((LEN(Employees!$A$3:$A$500)&gt;0)*(Employees!$O$3:$O$500=1)*(COUNTIFS($B$3:$B$500,Employees!$A$3:$A$500,$H$3:$H$500,"Approved",$D$3:$D$500,"&lt;="&amp;E417,$E$3:$E$500,"&gt;="&amp;D417,$A$3:$A$500,"&lt;&gt;"&amp;A417)&gt;0)),0))</f>
        <v/>
      </c>
      <c r="S417">
        <f>IF(OR(B417="",IFERROR(XLOOKUP(B417,Employees!$A$3:$A$500,Employees!$G$3:$G$500,""),"")=""),"",IFERROR(SUMPRODUCT((LEN(Employees!$A$3:$A$500)&gt;0)*(Employees!$G$3:$G$500=IFERROR(XLOOKUP(B417,Employees!$A$3:$A$500,Employees!$G$3:$G$500,""),""))*(COUNTIFS($B$3:$B$500,Employees!$A$3:$A$500,$H$3:$H$500,"Approved",$D$3:$D$500,"&lt;="&amp;E417,$E$3:$E$500,"&gt;="&amp;D417,$A$3:$A$500,"&lt;&gt;"&amp;A417)&gt;0)),0))</f>
        <v/>
      </c>
    </row>
    <row r="418">
      <c r="C418">
        <f>IFERROR(XLOOKUP(B418,Employees!$A$3:$A$500,Employees!$B$3:$B$500,""),"")</f>
        <v/>
      </c>
      <c r="I418">
        <f>IF(AND(B418&lt;&gt;"",D418&lt;&gt;"",E418&lt;&gt;""),E418-D418+1,"")</f>
        <v/>
      </c>
      <c r="J418">
        <f>IF(OR(B418="",D418="",E418=""),"",IF(OR(L418&lt;'Coverage Rules'!E7,M418&lt;'Coverage Rules'!E8,N418&lt;'Coverage Rules'!C8,O418&lt;'Coverage Rules'!E9,P418&lt;'Coverage Rules'!E10,Q418&gt;='Coverage Rules'!B16,R418&gt;='Coverage Rules'!B17,IF(S418="",FALSE,S418&gt;='Coverage Rules'!D24)),"Denied","OK"))</f>
        <v/>
      </c>
      <c r="L418">
        <f>IF(B418="","",IFERROR(SUMPRODUCT((LEN(Employees!$A$3:$A$500)&gt;0)*(Employees!$T$3:$T$500=1)*(COUNTIFS($B$3:$B$500,Employees!$A$3:$A$500,$H$3:$H$500,"Approved",$D$3:$D$500,"&lt;="&amp;E418,$E$3:$E$500,"&gt;="&amp;D418,$A$3:$A$500,"&lt;&gt;"&amp;A418)=0)),0))</f>
        <v/>
      </c>
      <c r="M418">
        <f>IF(B418="","",IFERROR(SUMPRODUCT((LEN(Employees!$A$3:$A$500)&gt;0)*(Employees!$U$3:$U$500=1)*(COUNTIFS($B$3:$B$500,Employees!$A$3:$A$500,$H$3:$H$500,"Approved",$D$3:$D$500,"&lt;="&amp;E418,$E$3:$E$500,"&gt;="&amp;D418,$A$3:$A$500,"&lt;&gt;"&amp;A418)=0)),0))</f>
        <v/>
      </c>
      <c r="N418">
        <f>IF(B418="","",IFERROR(SUMPRODUCT((LEN(Employees!$A$3:$A$500)&gt;0)*(Employees!$B$3:$B$500="Manager")*(Employees!$U$3:$U$500=1)*(COUNTIFS($B$3:$B$500,Employees!$A$3:$A$500,$H$3:$H$500,"Approved",$D$3:$D$500,"&lt;="&amp;E418,$E$3:$E$500,"&gt;="&amp;D418,$A$3:$A$500,"&lt;&gt;"&amp;A418)=0)),0))</f>
        <v/>
      </c>
      <c r="O418">
        <f>IF(B418="","",IFERROR(SUMPRODUCT((LEN(Employees!$A$3:$A$500)&gt;0)*(Employees!$V$3:$V$500=1)*(COUNTIFS($B$3:$B$500,Employees!$A$3:$A$500,$H$3:$H$500,"Approved",$D$3:$D$500,"&lt;="&amp;E418,$E$3:$E$500,"&gt;="&amp;D418,$A$3:$A$500,"&lt;&gt;"&amp;A418)=0)),0))</f>
        <v/>
      </c>
      <c r="P418">
        <f>IF(B418="","",IFERROR(SUMPRODUCT((LEN(Employees!$A$3:$A$500)&gt;0)*(Employees!$W$3:$W$500=1)*(COUNTIFS($B$3:$B$500,Employees!$A$3:$A$500,$H$3:$H$500,"Approved",$D$3:$D$500,"&lt;="&amp;E418,$E$3:$E$500,"&gt;="&amp;D418,$A$3:$A$500,"&lt;&gt;"&amp;A418)=0)),0))</f>
        <v/>
      </c>
      <c r="Q418">
        <f>IF(B418="","",IFERROR(SUMPRODUCT((LEN(Employees!$A$3:$A$500)&gt;0)*(Employees!$N$3:$N$500=1)*(COUNTIFS($B$3:$B$500,Employees!$A$3:$A$500,$H$3:$H$500,"Approved",$D$3:$D$500,"&lt;="&amp;E418,$E$3:$E$500,"&gt;="&amp;D418,$A$3:$A$500,"&lt;&gt;"&amp;A418)&gt;0)),0))</f>
        <v/>
      </c>
      <c r="R418">
        <f>IF(B418="","",IFERROR(SUMPRODUCT((LEN(Employees!$A$3:$A$500)&gt;0)*(Employees!$O$3:$O$500=1)*(COUNTIFS($B$3:$B$500,Employees!$A$3:$A$500,$H$3:$H$500,"Approved",$D$3:$D$500,"&lt;="&amp;E418,$E$3:$E$500,"&gt;="&amp;D418,$A$3:$A$500,"&lt;&gt;"&amp;A418)&gt;0)),0))</f>
        <v/>
      </c>
      <c r="S418">
        <f>IF(OR(B418="",IFERROR(XLOOKUP(B418,Employees!$A$3:$A$500,Employees!$G$3:$G$500,""),"")=""),"",IFERROR(SUMPRODUCT((LEN(Employees!$A$3:$A$500)&gt;0)*(Employees!$G$3:$G$500=IFERROR(XLOOKUP(B418,Employees!$A$3:$A$500,Employees!$G$3:$G$500,""),""))*(COUNTIFS($B$3:$B$500,Employees!$A$3:$A$500,$H$3:$H$500,"Approved",$D$3:$D$500,"&lt;="&amp;E418,$E$3:$E$500,"&gt;="&amp;D418,$A$3:$A$500,"&lt;&gt;"&amp;A418)&gt;0)),0))</f>
        <v/>
      </c>
    </row>
    <row r="419">
      <c r="C419">
        <f>IFERROR(XLOOKUP(B419,Employees!$A$3:$A$500,Employees!$B$3:$B$500,""),"")</f>
        <v/>
      </c>
      <c r="I419">
        <f>IF(AND(B419&lt;&gt;"",D419&lt;&gt;"",E419&lt;&gt;""),E419-D419+1,"")</f>
        <v/>
      </c>
      <c r="J419">
        <f>IF(OR(B419="",D419="",E419=""),"",IF(OR(L419&lt;'Coverage Rules'!E7,M419&lt;'Coverage Rules'!E8,N419&lt;'Coverage Rules'!C8,O419&lt;'Coverage Rules'!E9,P419&lt;'Coverage Rules'!E10,Q419&gt;='Coverage Rules'!B16,R419&gt;='Coverage Rules'!B17,IF(S419="",FALSE,S419&gt;='Coverage Rules'!D24)),"Denied","OK"))</f>
        <v/>
      </c>
      <c r="L419">
        <f>IF(B419="","",IFERROR(SUMPRODUCT((LEN(Employees!$A$3:$A$500)&gt;0)*(Employees!$T$3:$T$500=1)*(COUNTIFS($B$3:$B$500,Employees!$A$3:$A$500,$H$3:$H$500,"Approved",$D$3:$D$500,"&lt;="&amp;E419,$E$3:$E$500,"&gt;="&amp;D419,$A$3:$A$500,"&lt;&gt;"&amp;A419)=0)),0))</f>
        <v/>
      </c>
      <c r="M419">
        <f>IF(B419="","",IFERROR(SUMPRODUCT((LEN(Employees!$A$3:$A$500)&gt;0)*(Employees!$U$3:$U$500=1)*(COUNTIFS($B$3:$B$500,Employees!$A$3:$A$500,$H$3:$H$500,"Approved",$D$3:$D$500,"&lt;="&amp;E419,$E$3:$E$500,"&gt;="&amp;D419,$A$3:$A$500,"&lt;&gt;"&amp;A419)=0)),0))</f>
        <v/>
      </c>
      <c r="N419">
        <f>IF(B419="","",IFERROR(SUMPRODUCT((LEN(Employees!$A$3:$A$500)&gt;0)*(Employees!$B$3:$B$500="Manager")*(Employees!$U$3:$U$500=1)*(COUNTIFS($B$3:$B$500,Employees!$A$3:$A$500,$H$3:$H$500,"Approved",$D$3:$D$500,"&lt;="&amp;E419,$E$3:$E$500,"&gt;="&amp;D419,$A$3:$A$500,"&lt;&gt;"&amp;A419)=0)),0))</f>
        <v/>
      </c>
      <c r="O419">
        <f>IF(B419="","",IFERROR(SUMPRODUCT((LEN(Employees!$A$3:$A$500)&gt;0)*(Employees!$V$3:$V$500=1)*(COUNTIFS($B$3:$B$500,Employees!$A$3:$A$500,$H$3:$H$500,"Approved",$D$3:$D$500,"&lt;="&amp;E419,$E$3:$E$500,"&gt;="&amp;D419,$A$3:$A$500,"&lt;&gt;"&amp;A419)=0)),0))</f>
        <v/>
      </c>
      <c r="P419">
        <f>IF(B419="","",IFERROR(SUMPRODUCT((LEN(Employees!$A$3:$A$500)&gt;0)*(Employees!$W$3:$W$500=1)*(COUNTIFS($B$3:$B$500,Employees!$A$3:$A$500,$H$3:$H$500,"Approved",$D$3:$D$500,"&lt;="&amp;E419,$E$3:$E$500,"&gt;="&amp;D419,$A$3:$A$500,"&lt;&gt;"&amp;A419)=0)),0))</f>
        <v/>
      </c>
      <c r="Q419">
        <f>IF(B419="","",IFERROR(SUMPRODUCT((LEN(Employees!$A$3:$A$500)&gt;0)*(Employees!$N$3:$N$500=1)*(COUNTIFS($B$3:$B$500,Employees!$A$3:$A$500,$H$3:$H$500,"Approved",$D$3:$D$500,"&lt;="&amp;E419,$E$3:$E$500,"&gt;="&amp;D419,$A$3:$A$500,"&lt;&gt;"&amp;A419)&gt;0)),0))</f>
        <v/>
      </c>
      <c r="R419">
        <f>IF(B419="","",IFERROR(SUMPRODUCT((LEN(Employees!$A$3:$A$500)&gt;0)*(Employees!$O$3:$O$500=1)*(COUNTIFS($B$3:$B$500,Employees!$A$3:$A$500,$H$3:$H$500,"Approved",$D$3:$D$500,"&lt;="&amp;E419,$E$3:$E$500,"&gt;="&amp;D419,$A$3:$A$500,"&lt;&gt;"&amp;A419)&gt;0)),0))</f>
        <v/>
      </c>
      <c r="S419">
        <f>IF(OR(B419="",IFERROR(XLOOKUP(B419,Employees!$A$3:$A$500,Employees!$G$3:$G$500,""),"")=""),"",IFERROR(SUMPRODUCT((LEN(Employees!$A$3:$A$500)&gt;0)*(Employees!$G$3:$G$500=IFERROR(XLOOKUP(B419,Employees!$A$3:$A$500,Employees!$G$3:$G$500,""),""))*(COUNTIFS($B$3:$B$500,Employees!$A$3:$A$500,$H$3:$H$500,"Approved",$D$3:$D$500,"&lt;="&amp;E419,$E$3:$E$500,"&gt;="&amp;D419,$A$3:$A$500,"&lt;&gt;"&amp;A419)&gt;0)),0))</f>
        <v/>
      </c>
    </row>
    <row r="420">
      <c r="C420">
        <f>IFERROR(XLOOKUP(B420,Employees!$A$3:$A$500,Employees!$B$3:$B$500,""),"")</f>
        <v/>
      </c>
      <c r="I420">
        <f>IF(AND(B420&lt;&gt;"",D420&lt;&gt;"",E420&lt;&gt;""),E420-D420+1,"")</f>
        <v/>
      </c>
      <c r="J420">
        <f>IF(OR(B420="",D420="",E420=""),"",IF(OR(L420&lt;'Coverage Rules'!E7,M420&lt;'Coverage Rules'!E8,N420&lt;'Coverage Rules'!C8,O420&lt;'Coverage Rules'!E9,P420&lt;'Coverage Rules'!E10,Q420&gt;='Coverage Rules'!B16,R420&gt;='Coverage Rules'!B17,IF(S420="",FALSE,S420&gt;='Coverage Rules'!D24)),"Denied","OK"))</f>
        <v/>
      </c>
      <c r="L420">
        <f>IF(B420="","",IFERROR(SUMPRODUCT((LEN(Employees!$A$3:$A$500)&gt;0)*(Employees!$T$3:$T$500=1)*(COUNTIFS($B$3:$B$500,Employees!$A$3:$A$500,$H$3:$H$500,"Approved",$D$3:$D$500,"&lt;="&amp;E420,$E$3:$E$500,"&gt;="&amp;D420,$A$3:$A$500,"&lt;&gt;"&amp;A420)=0)),0))</f>
        <v/>
      </c>
      <c r="M420">
        <f>IF(B420="","",IFERROR(SUMPRODUCT((LEN(Employees!$A$3:$A$500)&gt;0)*(Employees!$U$3:$U$500=1)*(COUNTIFS($B$3:$B$500,Employees!$A$3:$A$500,$H$3:$H$500,"Approved",$D$3:$D$500,"&lt;="&amp;E420,$E$3:$E$500,"&gt;="&amp;D420,$A$3:$A$500,"&lt;&gt;"&amp;A420)=0)),0))</f>
        <v/>
      </c>
      <c r="N420">
        <f>IF(B420="","",IFERROR(SUMPRODUCT((LEN(Employees!$A$3:$A$500)&gt;0)*(Employees!$B$3:$B$500="Manager")*(Employees!$U$3:$U$500=1)*(COUNTIFS($B$3:$B$500,Employees!$A$3:$A$500,$H$3:$H$500,"Approved",$D$3:$D$500,"&lt;="&amp;E420,$E$3:$E$500,"&gt;="&amp;D420,$A$3:$A$500,"&lt;&gt;"&amp;A420)=0)),0))</f>
        <v/>
      </c>
      <c r="O420">
        <f>IF(B420="","",IFERROR(SUMPRODUCT((LEN(Employees!$A$3:$A$500)&gt;0)*(Employees!$V$3:$V$500=1)*(COUNTIFS($B$3:$B$500,Employees!$A$3:$A$500,$H$3:$H$500,"Approved",$D$3:$D$500,"&lt;="&amp;E420,$E$3:$E$500,"&gt;="&amp;D420,$A$3:$A$500,"&lt;&gt;"&amp;A420)=0)),0))</f>
        <v/>
      </c>
      <c r="P420">
        <f>IF(B420="","",IFERROR(SUMPRODUCT((LEN(Employees!$A$3:$A$500)&gt;0)*(Employees!$W$3:$W$500=1)*(COUNTIFS($B$3:$B$500,Employees!$A$3:$A$500,$H$3:$H$500,"Approved",$D$3:$D$500,"&lt;="&amp;E420,$E$3:$E$500,"&gt;="&amp;D420,$A$3:$A$500,"&lt;&gt;"&amp;A420)=0)),0))</f>
        <v/>
      </c>
      <c r="Q420">
        <f>IF(B420="","",IFERROR(SUMPRODUCT((LEN(Employees!$A$3:$A$500)&gt;0)*(Employees!$N$3:$N$500=1)*(COUNTIFS($B$3:$B$500,Employees!$A$3:$A$500,$H$3:$H$500,"Approved",$D$3:$D$500,"&lt;="&amp;E420,$E$3:$E$500,"&gt;="&amp;D420,$A$3:$A$500,"&lt;&gt;"&amp;A420)&gt;0)),0))</f>
        <v/>
      </c>
      <c r="R420">
        <f>IF(B420="","",IFERROR(SUMPRODUCT((LEN(Employees!$A$3:$A$500)&gt;0)*(Employees!$O$3:$O$500=1)*(COUNTIFS($B$3:$B$500,Employees!$A$3:$A$500,$H$3:$H$500,"Approved",$D$3:$D$500,"&lt;="&amp;E420,$E$3:$E$500,"&gt;="&amp;D420,$A$3:$A$500,"&lt;&gt;"&amp;A420)&gt;0)),0))</f>
        <v/>
      </c>
      <c r="S420">
        <f>IF(OR(B420="",IFERROR(XLOOKUP(B420,Employees!$A$3:$A$500,Employees!$G$3:$G$500,""),"")=""),"",IFERROR(SUMPRODUCT((LEN(Employees!$A$3:$A$500)&gt;0)*(Employees!$G$3:$G$500=IFERROR(XLOOKUP(B420,Employees!$A$3:$A$500,Employees!$G$3:$G$500,""),""))*(COUNTIFS($B$3:$B$500,Employees!$A$3:$A$500,$H$3:$H$500,"Approved",$D$3:$D$500,"&lt;="&amp;E420,$E$3:$E$500,"&gt;="&amp;D420,$A$3:$A$500,"&lt;&gt;"&amp;A420)&gt;0)),0))</f>
        <v/>
      </c>
    </row>
    <row r="421">
      <c r="C421">
        <f>IFERROR(XLOOKUP(B421,Employees!$A$3:$A$500,Employees!$B$3:$B$500,""),"")</f>
        <v/>
      </c>
      <c r="I421">
        <f>IF(AND(B421&lt;&gt;"",D421&lt;&gt;"",E421&lt;&gt;""),E421-D421+1,"")</f>
        <v/>
      </c>
      <c r="J421">
        <f>IF(OR(B421="",D421="",E421=""),"",IF(OR(L421&lt;'Coverage Rules'!E7,M421&lt;'Coverage Rules'!E8,N421&lt;'Coverage Rules'!C8,O421&lt;'Coverage Rules'!E9,P421&lt;'Coverage Rules'!E10,Q421&gt;='Coverage Rules'!B16,R421&gt;='Coverage Rules'!B17,IF(S421="",FALSE,S421&gt;='Coverage Rules'!D24)),"Denied","OK"))</f>
        <v/>
      </c>
      <c r="L421">
        <f>IF(B421="","",IFERROR(SUMPRODUCT((LEN(Employees!$A$3:$A$500)&gt;0)*(Employees!$T$3:$T$500=1)*(COUNTIFS($B$3:$B$500,Employees!$A$3:$A$500,$H$3:$H$500,"Approved",$D$3:$D$500,"&lt;="&amp;E421,$E$3:$E$500,"&gt;="&amp;D421,$A$3:$A$500,"&lt;&gt;"&amp;A421)=0)),0))</f>
        <v/>
      </c>
      <c r="M421">
        <f>IF(B421="","",IFERROR(SUMPRODUCT((LEN(Employees!$A$3:$A$500)&gt;0)*(Employees!$U$3:$U$500=1)*(COUNTIFS($B$3:$B$500,Employees!$A$3:$A$500,$H$3:$H$500,"Approved",$D$3:$D$500,"&lt;="&amp;E421,$E$3:$E$500,"&gt;="&amp;D421,$A$3:$A$500,"&lt;&gt;"&amp;A421)=0)),0))</f>
        <v/>
      </c>
      <c r="N421">
        <f>IF(B421="","",IFERROR(SUMPRODUCT((LEN(Employees!$A$3:$A$500)&gt;0)*(Employees!$B$3:$B$500="Manager")*(Employees!$U$3:$U$500=1)*(COUNTIFS($B$3:$B$500,Employees!$A$3:$A$500,$H$3:$H$500,"Approved",$D$3:$D$500,"&lt;="&amp;E421,$E$3:$E$500,"&gt;="&amp;D421,$A$3:$A$500,"&lt;&gt;"&amp;A421)=0)),0))</f>
        <v/>
      </c>
      <c r="O421">
        <f>IF(B421="","",IFERROR(SUMPRODUCT((LEN(Employees!$A$3:$A$500)&gt;0)*(Employees!$V$3:$V$500=1)*(COUNTIFS($B$3:$B$500,Employees!$A$3:$A$500,$H$3:$H$500,"Approved",$D$3:$D$500,"&lt;="&amp;E421,$E$3:$E$500,"&gt;="&amp;D421,$A$3:$A$500,"&lt;&gt;"&amp;A421)=0)),0))</f>
        <v/>
      </c>
      <c r="P421">
        <f>IF(B421="","",IFERROR(SUMPRODUCT((LEN(Employees!$A$3:$A$500)&gt;0)*(Employees!$W$3:$W$500=1)*(COUNTIFS($B$3:$B$500,Employees!$A$3:$A$500,$H$3:$H$500,"Approved",$D$3:$D$500,"&lt;="&amp;E421,$E$3:$E$500,"&gt;="&amp;D421,$A$3:$A$500,"&lt;&gt;"&amp;A421)=0)),0))</f>
        <v/>
      </c>
      <c r="Q421">
        <f>IF(B421="","",IFERROR(SUMPRODUCT((LEN(Employees!$A$3:$A$500)&gt;0)*(Employees!$N$3:$N$500=1)*(COUNTIFS($B$3:$B$500,Employees!$A$3:$A$500,$H$3:$H$500,"Approved",$D$3:$D$500,"&lt;="&amp;E421,$E$3:$E$500,"&gt;="&amp;D421,$A$3:$A$500,"&lt;&gt;"&amp;A421)&gt;0)),0))</f>
        <v/>
      </c>
      <c r="R421">
        <f>IF(B421="","",IFERROR(SUMPRODUCT((LEN(Employees!$A$3:$A$500)&gt;0)*(Employees!$O$3:$O$500=1)*(COUNTIFS($B$3:$B$500,Employees!$A$3:$A$500,$H$3:$H$500,"Approved",$D$3:$D$500,"&lt;="&amp;E421,$E$3:$E$500,"&gt;="&amp;D421,$A$3:$A$500,"&lt;&gt;"&amp;A421)&gt;0)),0))</f>
        <v/>
      </c>
      <c r="S421">
        <f>IF(OR(B421="",IFERROR(XLOOKUP(B421,Employees!$A$3:$A$500,Employees!$G$3:$G$500,""),"")=""),"",IFERROR(SUMPRODUCT((LEN(Employees!$A$3:$A$500)&gt;0)*(Employees!$G$3:$G$500=IFERROR(XLOOKUP(B421,Employees!$A$3:$A$500,Employees!$G$3:$G$500,""),""))*(COUNTIFS($B$3:$B$500,Employees!$A$3:$A$500,$H$3:$H$500,"Approved",$D$3:$D$500,"&lt;="&amp;E421,$E$3:$E$500,"&gt;="&amp;D421,$A$3:$A$500,"&lt;&gt;"&amp;A421)&gt;0)),0))</f>
        <v/>
      </c>
    </row>
    <row r="422">
      <c r="C422">
        <f>IFERROR(XLOOKUP(B422,Employees!$A$3:$A$500,Employees!$B$3:$B$500,""),"")</f>
        <v/>
      </c>
      <c r="I422">
        <f>IF(AND(B422&lt;&gt;"",D422&lt;&gt;"",E422&lt;&gt;""),E422-D422+1,"")</f>
        <v/>
      </c>
      <c r="J422">
        <f>IF(OR(B422="",D422="",E422=""),"",IF(OR(L422&lt;'Coverage Rules'!E7,M422&lt;'Coverage Rules'!E8,N422&lt;'Coverage Rules'!C8,O422&lt;'Coverage Rules'!E9,P422&lt;'Coverage Rules'!E10,Q422&gt;='Coverage Rules'!B16,R422&gt;='Coverage Rules'!B17,IF(S422="",FALSE,S422&gt;='Coverage Rules'!D24)),"Denied","OK"))</f>
        <v/>
      </c>
      <c r="L422">
        <f>IF(B422="","",IFERROR(SUMPRODUCT((LEN(Employees!$A$3:$A$500)&gt;0)*(Employees!$T$3:$T$500=1)*(COUNTIFS($B$3:$B$500,Employees!$A$3:$A$500,$H$3:$H$500,"Approved",$D$3:$D$500,"&lt;="&amp;E422,$E$3:$E$500,"&gt;="&amp;D422,$A$3:$A$500,"&lt;&gt;"&amp;A422)=0)),0))</f>
        <v/>
      </c>
      <c r="M422">
        <f>IF(B422="","",IFERROR(SUMPRODUCT((LEN(Employees!$A$3:$A$500)&gt;0)*(Employees!$U$3:$U$500=1)*(COUNTIFS($B$3:$B$500,Employees!$A$3:$A$500,$H$3:$H$500,"Approved",$D$3:$D$500,"&lt;="&amp;E422,$E$3:$E$500,"&gt;="&amp;D422,$A$3:$A$500,"&lt;&gt;"&amp;A422)=0)),0))</f>
        <v/>
      </c>
      <c r="N422">
        <f>IF(B422="","",IFERROR(SUMPRODUCT((LEN(Employees!$A$3:$A$500)&gt;0)*(Employees!$B$3:$B$500="Manager")*(Employees!$U$3:$U$500=1)*(COUNTIFS($B$3:$B$500,Employees!$A$3:$A$500,$H$3:$H$500,"Approved",$D$3:$D$500,"&lt;="&amp;E422,$E$3:$E$500,"&gt;="&amp;D422,$A$3:$A$500,"&lt;&gt;"&amp;A422)=0)),0))</f>
        <v/>
      </c>
      <c r="O422">
        <f>IF(B422="","",IFERROR(SUMPRODUCT((LEN(Employees!$A$3:$A$500)&gt;0)*(Employees!$V$3:$V$500=1)*(COUNTIFS($B$3:$B$500,Employees!$A$3:$A$500,$H$3:$H$500,"Approved",$D$3:$D$500,"&lt;="&amp;E422,$E$3:$E$500,"&gt;="&amp;D422,$A$3:$A$500,"&lt;&gt;"&amp;A422)=0)),0))</f>
        <v/>
      </c>
      <c r="P422">
        <f>IF(B422="","",IFERROR(SUMPRODUCT((LEN(Employees!$A$3:$A$500)&gt;0)*(Employees!$W$3:$W$500=1)*(COUNTIFS($B$3:$B$500,Employees!$A$3:$A$500,$H$3:$H$500,"Approved",$D$3:$D$500,"&lt;="&amp;E422,$E$3:$E$500,"&gt;="&amp;D422,$A$3:$A$500,"&lt;&gt;"&amp;A422)=0)),0))</f>
        <v/>
      </c>
      <c r="Q422">
        <f>IF(B422="","",IFERROR(SUMPRODUCT((LEN(Employees!$A$3:$A$500)&gt;0)*(Employees!$N$3:$N$500=1)*(COUNTIFS($B$3:$B$500,Employees!$A$3:$A$500,$H$3:$H$500,"Approved",$D$3:$D$500,"&lt;="&amp;E422,$E$3:$E$500,"&gt;="&amp;D422,$A$3:$A$500,"&lt;&gt;"&amp;A422)&gt;0)),0))</f>
        <v/>
      </c>
      <c r="R422">
        <f>IF(B422="","",IFERROR(SUMPRODUCT((LEN(Employees!$A$3:$A$500)&gt;0)*(Employees!$O$3:$O$500=1)*(COUNTIFS($B$3:$B$500,Employees!$A$3:$A$500,$H$3:$H$500,"Approved",$D$3:$D$500,"&lt;="&amp;E422,$E$3:$E$500,"&gt;="&amp;D422,$A$3:$A$500,"&lt;&gt;"&amp;A422)&gt;0)),0))</f>
        <v/>
      </c>
      <c r="S422">
        <f>IF(OR(B422="",IFERROR(XLOOKUP(B422,Employees!$A$3:$A$500,Employees!$G$3:$G$500,""),"")=""),"",IFERROR(SUMPRODUCT((LEN(Employees!$A$3:$A$500)&gt;0)*(Employees!$G$3:$G$500=IFERROR(XLOOKUP(B422,Employees!$A$3:$A$500,Employees!$G$3:$G$500,""),""))*(COUNTIFS($B$3:$B$500,Employees!$A$3:$A$500,$H$3:$H$500,"Approved",$D$3:$D$500,"&lt;="&amp;E422,$E$3:$E$500,"&gt;="&amp;D422,$A$3:$A$500,"&lt;&gt;"&amp;A422)&gt;0)),0))</f>
        <v/>
      </c>
    </row>
    <row r="423">
      <c r="C423">
        <f>IFERROR(XLOOKUP(B423,Employees!$A$3:$A$500,Employees!$B$3:$B$500,""),"")</f>
        <v/>
      </c>
      <c r="I423">
        <f>IF(AND(B423&lt;&gt;"",D423&lt;&gt;"",E423&lt;&gt;""),E423-D423+1,"")</f>
        <v/>
      </c>
      <c r="J423">
        <f>IF(OR(B423="",D423="",E423=""),"",IF(OR(L423&lt;'Coverage Rules'!E7,M423&lt;'Coverage Rules'!E8,N423&lt;'Coverage Rules'!C8,O423&lt;'Coverage Rules'!E9,P423&lt;'Coverage Rules'!E10,Q423&gt;='Coverage Rules'!B16,R423&gt;='Coverage Rules'!B17,IF(S423="",FALSE,S423&gt;='Coverage Rules'!D24)),"Denied","OK"))</f>
        <v/>
      </c>
      <c r="L423">
        <f>IF(B423="","",IFERROR(SUMPRODUCT((LEN(Employees!$A$3:$A$500)&gt;0)*(Employees!$T$3:$T$500=1)*(COUNTIFS($B$3:$B$500,Employees!$A$3:$A$500,$H$3:$H$500,"Approved",$D$3:$D$500,"&lt;="&amp;E423,$E$3:$E$500,"&gt;="&amp;D423,$A$3:$A$500,"&lt;&gt;"&amp;A423)=0)),0))</f>
        <v/>
      </c>
      <c r="M423">
        <f>IF(B423="","",IFERROR(SUMPRODUCT((LEN(Employees!$A$3:$A$500)&gt;0)*(Employees!$U$3:$U$500=1)*(COUNTIFS($B$3:$B$500,Employees!$A$3:$A$500,$H$3:$H$500,"Approved",$D$3:$D$500,"&lt;="&amp;E423,$E$3:$E$500,"&gt;="&amp;D423,$A$3:$A$500,"&lt;&gt;"&amp;A423)=0)),0))</f>
        <v/>
      </c>
      <c r="N423">
        <f>IF(B423="","",IFERROR(SUMPRODUCT((LEN(Employees!$A$3:$A$500)&gt;0)*(Employees!$B$3:$B$500="Manager")*(Employees!$U$3:$U$500=1)*(COUNTIFS($B$3:$B$500,Employees!$A$3:$A$500,$H$3:$H$500,"Approved",$D$3:$D$500,"&lt;="&amp;E423,$E$3:$E$500,"&gt;="&amp;D423,$A$3:$A$500,"&lt;&gt;"&amp;A423)=0)),0))</f>
        <v/>
      </c>
      <c r="O423">
        <f>IF(B423="","",IFERROR(SUMPRODUCT((LEN(Employees!$A$3:$A$500)&gt;0)*(Employees!$V$3:$V$500=1)*(COUNTIFS($B$3:$B$500,Employees!$A$3:$A$500,$H$3:$H$500,"Approved",$D$3:$D$500,"&lt;="&amp;E423,$E$3:$E$500,"&gt;="&amp;D423,$A$3:$A$500,"&lt;&gt;"&amp;A423)=0)),0))</f>
        <v/>
      </c>
      <c r="P423">
        <f>IF(B423="","",IFERROR(SUMPRODUCT((LEN(Employees!$A$3:$A$500)&gt;0)*(Employees!$W$3:$W$500=1)*(COUNTIFS($B$3:$B$500,Employees!$A$3:$A$500,$H$3:$H$500,"Approved",$D$3:$D$500,"&lt;="&amp;E423,$E$3:$E$500,"&gt;="&amp;D423,$A$3:$A$500,"&lt;&gt;"&amp;A423)=0)),0))</f>
        <v/>
      </c>
      <c r="Q423">
        <f>IF(B423="","",IFERROR(SUMPRODUCT((LEN(Employees!$A$3:$A$500)&gt;0)*(Employees!$N$3:$N$500=1)*(COUNTIFS($B$3:$B$500,Employees!$A$3:$A$500,$H$3:$H$500,"Approved",$D$3:$D$500,"&lt;="&amp;E423,$E$3:$E$500,"&gt;="&amp;D423,$A$3:$A$500,"&lt;&gt;"&amp;A423)&gt;0)),0))</f>
        <v/>
      </c>
      <c r="R423">
        <f>IF(B423="","",IFERROR(SUMPRODUCT((LEN(Employees!$A$3:$A$500)&gt;0)*(Employees!$O$3:$O$500=1)*(COUNTIFS($B$3:$B$500,Employees!$A$3:$A$500,$H$3:$H$500,"Approved",$D$3:$D$500,"&lt;="&amp;E423,$E$3:$E$500,"&gt;="&amp;D423,$A$3:$A$500,"&lt;&gt;"&amp;A423)&gt;0)),0))</f>
        <v/>
      </c>
      <c r="S423">
        <f>IF(OR(B423="",IFERROR(XLOOKUP(B423,Employees!$A$3:$A$500,Employees!$G$3:$G$500,""),"")=""),"",IFERROR(SUMPRODUCT((LEN(Employees!$A$3:$A$500)&gt;0)*(Employees!$G$3:$G$500=IFERROR(XLOOKUP(B423,Employees!$A$3:$A$500,Employees!$G$3:$G$500,""),""))*(COUNTIFS($B$3:$B$500,Employees!$A$3:$A$500,$H$3:$H$500,"Approved",$D$3:$D$500,"&lt;="&amp;E423,$E$3:$E$500,"&gt;="&amp;D423,$A$3:$A$500,"&lt;&gt;"&amp;A423)&gt;0)),0))</f>
        <v/>
      </c>
    </row>
    <row r="424">
      <c r="C424">
        <f>IFERROR(XLOOKUP(B424,Employees!$A$3:$A$500,Employees!$B$3:$B$500,""),"")</f>
        <v/>
      </c>
      <c r="I424">
        <f>IF(AND(B424&lt;&gt;"",D424&lt;&gt;"",E424&lt;&gt;""),E424-D424+1,"")</f>
        <v/>
      </c>
      <c r="J424">
        <f>IF(OR(B424="",D424="",E424=""),"",IF(OR(L424&lt;'Coverage Rules'!E7,M424&lt;'Coverage Rules'!E8,N424&lt;'Coverage Rules'!C8,O424&lt;'Coverage Rules'!E9,P424&lt;'Coverage Rules'!E10,Q424&gt;='Coverage Rules'!B16,R424&gt;='Coverage Rules'!B17,IF(S424="",FALSE,S424&gt;='Coverage Rules'!D24)),"Denied","OK"))</f>
        <v/>
      </c>
      <c r="L424">
        <f>IF(B424="","",IFERROR(SUMPRODUCT((LEN(Employees!$A$3:$A$500)&gt;0)*(Employees!$T$3:$T$500=1)*(COUNTIFS($B$3:$B$500,Employees!$A$3:$A$500,$H$3:$H$500,"Approved",$D$3:$D$500,"&lt;="&amp;E424,$E$3:$E$500,"&gt;="&amp;D424,$A$3:$A$500,"&lt;&gt;"&amp;A424)=0)),0))</f>
        <v/>
      </c>
      <c r="M424">
        <f>IF(B424="","",IFERROR(SUMPRODUCT((LEN(Employees!$A$3:$A$500)&gt;0)*(Employees!$U$3:$U$500=1)*(COUNTIFS($B$3:$B$500,Employees!$A$3:$A$500,$H$3:$H$500,"Approved",$D$3:$D$500,"&lt;="&amp;E424,$E$3:$E$500,"&gt;="&amp;D424,$A$3:$A$500,"&lt;&gt;"&amp;A424)=0)),0))</f>
        <v/>
      </c>
      <c r="N424">
        <f>IF(B424="","",IFERROR(SUMPRODUCT((LEN(Employees!$A$3:$A$500)&gt;0)*(Employees!$B$3:$B$500="Manager")*(Employees!$U$3:$U$500=1)*(COUNTIFS($B$3:$B$500,Employees!$A$3:$A$500,$H$3:$H$500,"Approved",$D$3:$D$500,"&lt;="&amp;E424,$E$3:$E$500,"&gt;="&amp;D424,$A$3:$A$500,"&lt;&gt;"&amp;A424)=0)),0))</f>
        <v/>
      </c>
      <c r="O424">
        <f>IF(B424="","",IFERROR(SUMPRODUCT((LEN(Employees!$A$3:$A$500)&gt;0)*(Employees!$V$3:$V$500=1)*(COUNTIFS($B$3:$B$500,Employees!$A$3:$A$500,$H$3:$H$500,"Approved",$D$3:$D$500,"&lt;="&amp;E424,$E$3:$E$500,"&gt;="&amp;D424,$A$3:$A$500,"&lt;&gt;"&amp;A424)=0)),0))</f>
        <v/>
      </c>
      <c r="P424">
        <f>IF(B424="","",IFERROR(SUMPRODUCT((LEN(Employees!$A$3:$A$500)&gt;0)*(Employees!$W$3:$W$500=1)*(COUNTIFS($B$3:$B$500,Employees!$A$3:$A$500,$H$3:$H$500,"Approved",$D$3:$D$500,"&lt;="&amp;E424,$E$3:$E$500,"&gt;="&amp;D424,$A$3:$A$500,"&lt;&gt;"&amp;A424)=0)),0))</f>
        <v/>
      </c>
      <c r="Q424">
        <f>IF(B424="","",IFERROR(SUMPRODUCT((LEN(Employees!$A$3:$A$500)&gt;0)*(Employees!$N$3:$N$500=1)*(COUNTIFS($B$3:$B$500,Employees!$A$3:$A$500,$H$3:$H$500,"Approved",$D$3:$D$500,"&lt;="&amp;E424,$E$3:$E$500,"&gt;="&amp;D424,$A$3:$A$500,"&lt;&gt;"&amp;A424)&gt;0)),0))</f>
        <v/>
      </c>
      <c r="R424">
        <f>IF(B424="","",IFERROR(SUMPRODUCT((LEN(Employees!$A$3:$A$500)&gt;0)*(Employees!$O$3:$O$500=1)*(COUNTIFS($B$3:$B$500,Employees!$A$3:$A$500,$H$3:$H$500,"Approved",$D$3:$D$500,"&lt;="&amp;E424,$E$3:$E$500,"&gt;="&amp;D424,$A$3:$A$500,"&lt;&gt;"&amp;A424)&gt;0)),0))</f>
        <v/>
      </c>
      <c r="S424">
        <f>IF(OR(B424="",IFERROR(XLOOKUP(B424,Employees!$A$3:$A$500,Employees!$G$3:$G$500,""),"")=""),"",IFERROR(SUMPRODUCT((LEN(Employees!$A$3:$A$500)&gt;0)*(Employees!$G$3:$G$500=IFERROR(XLOOKUP(B424,Employees!$A$3:$A$500,Employees!$G$3:$G$500,""),""))*(COUNTIFS($B$3:$B$500,Employees!$A$3:$A$500,$H$3:$H$500,"Approved",$D$3:$D$500,"&lt;="&amp;E424,$E$3:$E$500,"&gt;="&amp;D424,$A$3:$A$500,"&lt;&gt;"&amp;A424)&gt;0)),0))</f>
        <v/>
      </c>
    </row>
    <row r="425">
      <c r="C425">
        <f>IFERROR(XLOOKUP(B425,Employees!$A$3:$A$500,Employees!$B$3:$B$500,""),"")</f>
        <v/>
      </c>
      <c r="I425">
        <f>IF(AND(B425&lt;&gt;"",D425&lt;&gt;"",E425&lt;&gt;""),E425-D425+1,"")</f>
        <v/>
      </c>
      <c r="J425">
        <f>IF(OR(B425="",D425="",E425=""),"",IF(OR(L425&lt;'Coverage Rules'!E7,M425&lt;'Coverage Rules'!E8,N425&lt;'Coverage Rules'!C8,O425&lt;'Coverage Rules'!E9,P425&lt;'Coverage Rules'!E10,Q425&gt;='Coverage Rules'!B16,R425&gt;='Coverage Rules'!B17,IF(S425="",FALSE,S425&gt;='Coverage Rules'!D24)),"Denied","OK"))</f>
        <v/>
      </c>
      <c r="L425">
        <f>IF(B425="","",IFERROR(SUMPRODUCT((LEN(Employees!$A$3:$A$500)&gt;0)*(Employees!$T$3:$T$500=1)*(COUNTIFS($B$3:$B$500,Employees!$A$3:$A$500,$H$3:$H$500,"Approved",$D$3:$D$500,"&lt;="&amp;E425,$E$3:$E$500,"&gt;="&amp;D425,$A$3:$A$500,"&lt;&gt;"&amp;A425)=0)),0))</f>
        <v/>
      </c>
      <c r="M425">
        <f>IF(B425="","",IFERROR(SUMPRODUCT((LEN(Employees!$A$3:$A$500)&gt;0)*(Employees!$U$3:$U$500=1)*(COUNTIFS($B$3:$B$500,Employees!$A$3:$A$500,$H$3:$H$500,"Approved",$D$3:$D$500,"&lt;="&amp;E425,$E$3:$E$500,"&gt;="&amp;D425,$A$3:$A$500,"&lt;&gt;"&amp;A425)=0)),0))</f>
        <v/>
      </c>
      <c r="N425">
        <f>IF(B425="","",IFERROR(SUMPRODUCT((LEN(Employees!$A$3:$A$500)&gt;0)*(Employees!$B$3:$B$500="Manager")*(Employees!$U$3:$U$500=1)*(COUNTIFS($B$3:$B$500,Employees!$A$3:$A$500,$H$3:$H$500,"Approved",$D$3:$D$500,"&lt;="&amp;E425,$E$3:$E$500,"&gt;="&amp;D425,$A$3:$A$500,"&lt;&gt;"&amp;A425)=0)),0))</f>
        <v/>
      </c>
      <c r="O425">
        <f>IF(B425="","",IFERROR(SUMPRODUCT((LEN(Employees!$A$3:$A$500)&gt;0)*(Employees!$V$3:$V$500=1)*(COUNTIFS($B$3:$B$500,Employees!$A$3:$A$500,$H$3:$H$500,"Approved",$D$3:$D$500,"&lt;="&amp;E425,$E$3:$E$500,"&gt;="&amp;D425,$A$3:$A$500,"&lt;&gt;"&amp;A425)=0)),0))</f>
        <v/>
      </c>
      <c r="P425">
        <f>IF(B425="","",IFERROR(SUMPRODUCT((LEN(Employees!$A$3:$A$500)&gt;0)*(Employees!$W$3:$W$500=1)*(COUNTIFS($B$3:$B$500,Employees!$A$3:$A$500,$H$3:$H$500,"Approved",$D$3:$D$500,"&lt;="&amp;E425,$E$3:$E$500,"&gt;="&amp;D425,$A$3:$A$500,"&lt;&gt;"&amp;A425)=0)),0))</f>
        <v/>
      </c>
      <c r="Q425">
        <f>IF(B425="","",IFERROR(SUMPRODUCT((LEN(Employees!$A$3:$A$500)&gt;0)*(Employees!$N$3:$N$500=1)*(COUNTIFS($B$3:$B$500,Employees!$A$3:$A$500,$H$3:$H$500,"Approved",$D$3:$D$500,"&lt;="&amp;E425,$E$3:$E$500,"&gt;="&amp;D425,$A$3:$A$500,"&lt;&gt;"&amp;A425)&gt;0)),0))</f>
        <v/>
      </c>
      <c r="R425">
        <f>IF(B425="","",IFERROR(SUMPRODUCT((LEN(Employees!$A$3:$A$500)&gt;0)*(Employees!$O$3:$O$500=1)*(COUNTIFS($B$3:$B$500,Employees!$A$3:$A$500,$H$3:$H$500,"Approved",$D$3:$D$500,"&lt;="&amp;E425,$E$3:$E$500,"&gt;="&amp;D425,$A$3:$A$500,"&lt;&gt;"&amp;A425)&gt;0)),0))</f>
        <v/>
      </c>
      <c r="S425">
        <f>IF(OR(B425="",IFERROR(XLOOKUP(B425,Employees!$A$3:$A$500,Employees!$G$3:$G$500,""),"")=""),"",IFERROR(SUMPRODUCT((LEN(Employees!$A$3:$A$500)&gt;0)*(Employees!$G$3:$G$500=IFERROR(XLOOKUP(B425,Employees!$A$3:$A$500,Employees!$G$3:$G$500,""),""))*(COUNTIFS($B$3:$B$500,Employees!$A$3:$A$500,$H$3:$H$500,"Approved",$D$3:$D$500,"&lt;="&amp;E425,$E$3:$E$500,"&gt;="&amp;D425,$A$3:$A$500,"&lt;&gt;"&amp;A425)&gt;0)),0))</f>
        <v/>
      </c>
    </row>
    <row r="426">
      <c r="C426">
        <f>IFERROR(XLOOKUP(B426,Employees!$A$3:$A$500,Employees!$B$3:$B$500,""),"")</f>
        <v/>
      </c>
      <c r="I426">
        <f>IF(AND(B426&lt;&gt;"",D426&lt;&gt;"",E426&lt;&gt;""),E426-D426+1,"")</f>
        <v/>
      </c>
      <c r="J426">
        <f>IF(OR(B426="",D426="",E426=""),"",IF(OR(L426&lt;'Coverage Rules'!E7,M426&lt;'Coverage Rules'!E8,N426&lt;'Coverage Rules'!C8,O426&lt;'Coverage Rules'!E9,P426&lt;'Coverage Rules'!E10,Q426&gt;='Coverage Rules'!B16,R426&gt;='Coverage Rules'!B17,IF(S426="",FALSE,S426&gt;='Coverage Rules'!D24)),"Denied","OK"))</f>
        <v/>
      </c>
      <c r="L426">
        <f>IF(B426="","",IFERROR(SUMPRODUCT((LEN(Employees!$A$3:$A$500)&gt;0)*(Employees!$T$3:$T$500=1)*(COUNTIFS($B$3:$B$500,Employees!$A$3:$A$500,$H$3:$H$500,"Approved",$D$3:$D$500,"&lt;="&amp;E426,$E$3:$E$500,"&gt;="&amp;D426,$A$3:$A$500,"&lt;&gt;"&amp;A426)=0)),0))</f>
        <v/>
      </c>
      <c r="M426">
        <f>IF(B426="","",IFERROR(SUMPRODUCT((LEN(Employees!$A$3:$A$500)&gt;0)*(Employees!$U$3:$U$500=1)*(COUNTIFS($B$3:$B$500,Employees!$A$3:$A$500,$H$3:$H$500,"Approved",$D$3:$D$500,"&lt;="&amp;E426,$E$3:$E$500,"&gt;="&amp;D426,$A$3:$A$500,"&lt;&gt;"&amp;A426)=0)),0))</f>
        <v/>
      </c>
      <c r="N426">
        <f>IF(B426="","",IFERROR(SUMPRODUCT((LEN(Employees!$A$3:$A$500)&gt;0)*(Employees!$B$3:$B$500="Manager")*(Employees!$U$3:$U$500=1)*(COUNTIFS($B$3:$B$500,Employees!$A$3:$A$500,$H$3:$H$500,"Approved",$D$3:$D$500,"&lt;="&amp;E426,$E$3:$E$500,"&gt;="&amp;D426,$A$3:$A$500,"&lt;&gt;"&amp;A426)=0)),0))</f>
        <v/>
      </c>
      <c r="O426">
        <f>IF(B426="","",IFERROR(SUMPRODUCT((LEN(Employees!$A$3:$A$500)&gt;0)*(Employees!$V$3:$V$500=1)*(COUNTIFS($B$3:$B$500,Employees!$A$3:$A$500,$H$3:$H$500,"Approved",$D$3:$D$500,"&lt;="&amp;E426,$E$3:$E$500,"&gt;="&amp;D426,$A$3:$A$500,"&lt;&gt;"&amp;A426)=0)),0))</f>
        <v/>
      </c>
      <c r="P426">
        <f>IF(B426="","",IFERROR(SUMPRODUCT((LEN(Employees!$A$3:$A$500)&gt;0)*(Employees!$W$3:$W$500=1)*(COUNTIFS($B$3:$B$500,Employees!$A$3:$A$500,$H$3:$H$500,"Approved",$D$3:$D$500,"&lt;="&amp;E426,$E$3:$E$500,"&gt;="&amp;D426,$A$3:$A$500,"&lt;&gt;"&amp;A426)=0)),0))</f>
        <v/>
      </c>
      <c r="Q426">
        <f>IF(B426="","",IFERROR(SUMPRODUCT((LEN(Employees!$A$3:$A$500)&gt;0)*(Employees!$N$3:$N$500=1)*(COUNTIFS($B$3:$B$500,Employees!$A$3:$A$500,$H$3:$H$500,"Approved",$D$3:$D$500,"&lt;="&amp;E426,$E$3:$E$500,"&gt;="&amp;D426,$A$3:$A$500,"&lt;&gt;"&amp;A426)&gt;0)),0))</f>
        <v/>
      </c>
      <c r="R426">
        <f>IF(B426="","",IFERROR(SUMPRODUCT((LEN(Employees!$A$3:$A$500)&gt;0)*(Employees!$O$3:$O$500=1)*(COUNTIFS($B$3:$B$500,Employees!$A$3:$A$500,$H$3:$H$500,"Approved",$D$3:$D$500,"&lt;="&amp;E426,$E$3:$E$500,"&gt;="&amp;D426,$A$3:$A$500,"&lt;&gt;"&amp;A426)&gt;0)),0))</f>
        <v/>
      </c>
      <c r="S426">
        <f>IF(OR(B426="",IFERROR(XLOOKUP(B426,Employees!$A$3:$A$500,Employees!$G$3:$G$500,""),"")=""),"",IFERROR(SUMPRODUCT((LEN(Employees!$A$3:$A$500)&gt;0)*(Employees!$G$3:$G$500=IFERROR(XLOOKUP(B426,Employees!$A$3:$A$500,Employees!$G$3:$G$500,""),""))*(COUNTIFS($B$3:$B$500,Employees!$A$3:$A$500,$H$3:$H$500,"Approved",$D$3:$D$500,"&lt;="&amp;E426,$E$3:$E$500,"&gt;="&amp;D426,$A$3:$A$500,"&lt;&gt;"&amp;A426)&gt;0)),0))</f>
        <v/>
      </c>
    </row>
    <row r="427">
      <c r="C427">
        <f>IFERROR(XLOOKUP(B427,Employees!$A$3:$A$500,Employees!$B$3:$B$500,""),"")</f>
        <v/>
      </c>
      <c r="I427">
        <f>IF(AND(B427&lt;&gt;"",D427&lt;&gt;"",E427&lt;&gt;""),E427-D427+1,"")</f>
        <v/>
      </c>
      <c r="J427">
        <f>IF(OR(B427="",D427="",E427=""),"",IF(OR(L427&lt;'Coverage Rules'!E7,M427&lt;'Coverage Rules'!E8,N427&lt;'Coverage Rules'!C8,O427&lt;'Coverage Rules'!E9,P427&lt;'Coverage Rules'!E10,Q427&gt;='Coverage Rules'!B16,R427&gt;='Coverage Rules'!B17,IF(S427="",FALSE,S427&gt;='Coverage Rules'!D24)),"Denied","OK"))</f>
        <v/>
      </c>
      <c r="L427">
        <f>IF(B427="","",IFERROR(SUMPRODUCT((LEN(Employees!$A$3:$A$500)&gt;0)*(Employees!$T$3:$T$500=1)*(COUNTIFS($B$3:$B$500,Employees!$A$3:$A$500,$H$3:$H$500,"Approved",$D$3:$D$500,"&lt;="&amp;E427,$E$3:$E$500,"&gt;="&amp;D427,$A$3:$A$500,"&lt;&gt;"&amp;A427)=0)),0))</f>
        <v/>
      </c>
      <c r="M427">
        <f>IF(B427="","",IFERROR(SUMPRODUCT((LEN(Employees!$A$3:$A$500)&gt;0)*(Employees!$U$3:$U$500=1)*(COUNTIFS($B$3:$B$500,Employees!$A$3:$A$500,$H$3:$H$500,"Approved",$D$3:$D$500,"&lt;="&amp;E427,$E$3:$E$500,"&gt;="&amp;D427,$A$3:$A$500,"&lt;&gt;"&amp;A427)=0)),0))</f>
        <v/>
      </c>
      <c r="N427">
        <f>IF(B427="","",IFERROR(SUMPRODUCT((LEN(Employees!$A$3:$A$500)&gt;0)*(Employees!$B$3:$B$500="Manager")*(Employees!$U$3:$U$500=1)*(COUNTIFS($B$3:$B$500,Employees!$A$3:$A$500,$H$3:$H$500,"Approved",$D$3:$D$500,"&lt;="&amp;E427,$E$3:$E$500,"&gt;="&amp;D427,$A$3:$A$500,"&lt;&gt;"&amp;A427)=0)),0))</f>
        <v/>
      </c>
      <c r="O427">
        <f>IF(B427="","",IFERROR(SUMPRODUCT((LEN(Employees!$A$3:$A$500)&gt;0)*(Employees!$V$3:$V$500=1)*(COUNTIFS($B$3:$B$500,Employees!$A$3:$A$500,$H$3:$H$500,"Approved",$D$3:$D$500,"&lt;="&amp;E427,$E$3:$E$500,"&gt;="&amp;D427,$A$3:$A$500,"&lt;&gt;"&amp;A427)=0)),0))</f>
        <v/>
      </c>
      <c r="P427">
        <f>IF(B427="","",IFERROR(SUMPRODUCT((LEN(Employees!$A$3:$A$500)&gt;0)*(Employees!$W$3:$W$500=1)*(COUNTIFS($B$3:$B$500,Employees!$A$3:$A$500,$H$3:$H$500,"Approved",$D$3:$D$500,"&lt;="&amp;E427,$E$3:$E$500,"&gt;="&amp;D427,$A$3:$A$500,"&lt;&gt;"&amp;A427)=0)),0))</f>
        <v/>
      </c>
      <c r="Q427">
        <f>IF(B427="","",IFERROR(SUMPRODUCT((LEN(Employees!$A$3:$A$500)&gt;0)*(Employees!$N$3:$N$500=1)*(COUNTIFS($B$3:$B$500,Employees!$A$3:$A$500,$H$3:$H$500,"Approved",$D$3:$D$500,"&lt;="&amp;E427,$E$3:$E$500,"&gt;="&amp;D427,$A$3:$A$500,"&lt;&gt;"&amp;A427)&gt;0)),0))</f>
        <v/>
      </c>
      <c r="R427">
        <f>IF(B427="","",IFERROR(SUMPRODUCT((LEN(Employees!$A$3:$A$500)&gt;0)*(Employees!$O$3:$O$500=1)*(COUNTIFS($B$3:$B$500,Employees!$A$3:$A$500,$H$3:$H$500,"Approved",$D$3:$D$500,"&lt;="&amp;E427,$E$3:$E$500,"&gt;="&amp;D427,$A$3:$A$500,"&lt;&gt;"&amp;A427)&gt;0)),0))</f>
        <v/>
      </c>
      <c r="S427">
        <f>IF(OR(B427="",IFERROR(XLOOKUP(B427,Employees!$A$3:$A$500,Employees!$G$3:$G$500,""),"")=""),"",IFERROR(SUMPRODUCT((LEN(Employees!$A$3:$A$500)&gt;0)*(Employees!$G$3:$G$500=IFERROR(XLOOKUP(B427,Employees!$A$3:$A$500,Employees!$G$3:$G$500,""),""))*(COUNTIFS($B$3:$B$500,Employees!$A$3:$A$500,$H$3:$H$500,"Approved",$D$3:$D$500,"&lt;="&amp;E427,$E$3:$E$500,"&gt;="&amp;D427,$A$3:$A$500,"&lt;&gt;"&amp;A427)&gt;0)),0))</f>
        <v/>
      </c>
    </row>
    <row r="428">
      <c r="C428">
        <f>IFERROR(XLOOKUP(B428,Employees!$A$3:$A$500,Employees!$B$3:$B$500,""),"")</f>
        <v/>
      </c>
      <c r="I428">
        <f>IF(AND(B428&lt;&gt;"",D428&lt;&gt;"",E428&lt;&gt;""),E428-D428+1,"")</f>
        <v/>
      </c>
      <c r="J428">
        <f>IF(OR(B428="",D428="",E428=""),"",IF(OR(L428&lt;'Coverage Rules'!E7,M428&lt;'Coverage Rules'!E8,N428&lt;'Coverage Rules'!C8,O428&lt;'Coverage Rules'!E9,P428&lt;'Coverage Rules'!E10,Q428&gt;='Coverage Rules'!B16,R428&gt;='Coverage Rules'!B17,IF(S428="",FALSE,S428&gt;='Coverage Rules'!D24)),"Denied","OK"))</f>
        <v/>
      </c>
      <c r="L428">
        <f>IF(B428="","",IFERROR(SUMPRODUCT((LEN(Employees!$A$3:$A$500)&gt;0)*(Employees!$T$3:$T$500=1)*(COUNTIFS($B$3:$B$500,Employees!$A$3:$A$500,$H$3:$H$500,"Approved",$D$3:$D$500,"&lt;="&amp;E428,$E$3:$E$500,"&gt;="&amp;D428,$A$3:$A$500,"&lt;&gt;"&amp;A428)=0)),0))</f>
        <v/>
      </c>
      <c r="M428">
        <f>IF(B428="","",IFERROR(SUMPRODUCT((LEN(Employees!$A$3:$A$500)&gt;0)*(Employees!$U$3:$U$500=1)*(COUNTIFS($B$3:$B$500,Employees!$A$3:$A$500,$H$3:$H$500,"Approved",$D$3:$D$500,"&lt;="&amp;E428,$E$3:$E$500,"&gt;="&amp;D428,$A$3:$A$500,"&lt;&gt;"&amp;A428)=0)),0))</f>
        <v/>
      </c>
      <c r="N428">
        <f>IF(B428="","",IFERROR(SUMPRODUCT((LEN(Employees!$A$3:$A$500)&gt;0)*(Employees!$B$3:$B$500="Manager")*(Employees!$U$3:$U$500=1)*(COUNTIFS($B$3:$B$500,Employees!$A$3:$A$500,$H$3:$H$500,"Approved",$D$3:$D$500,"&lt;="&amp;E428,$E$3:$E$500,"&gt;="&amp;D428,$A$3:$A$500,"&lt;&gt;"&amp;A428)=0)),0))</f>
        <v/>
      </c>
      <c r="O428">
        <f>IF(B428="","",IFERROR(SUMPRODUCT((LEN(Employees!$A$3:$A$500)&gt;0)*(Employees!$V$3:$V$500=1)*(COUNTIFS($B$3:$B$500,Employees!$A$3:$A$500,$H$3:$H$500,"Approved",$D$3:$D$500,"&lt;="&amp;E428,$E$3:$E$500,"&gt;="&amp;D428,$A$3:$A$500,"&lt;&gt;"&amp;A428)=0)),0))</f>
        <v/>
      </c>
      <c r="P428">
        <f>IF(B428="","",IFERROR(SUMPRODUCT((LEN(Employees!$A$3:$A$500)&gt;0)*(Employees!$W$3:$W$500=1)*(COUNTIFS($B$3:$B$500,Employees!$A$3:$A$500,$H$3:$H$500,"Approved",$D$3:$D$500,"&lt;="&amp;E428,$E$3:$E$500,"&gt;="&amp;D428,$A$3:$A$500,"&lt;&gt;"&amp;A428)=0)),0))</f>
        <v/>
      </c>
      <c r="Q428">
        <f>IF(B428="","",IFERROR(SUMPRODUCT((LEN(Employees!$A$3:$A$500)&gt;0)*(Employees!$N$3:$N$500=1)*(COUNTIFS($B$3:$B$500,Employees!$A$3:$A$500,$H$3:$H$500,"Approved",$D$3:$D$500,"&lt;="&amp;E428,$E$3:$E$500,"&gt;="&amp;D428,$A$3:$A$500,"&lt;&gt;"&amp;A428)&gt;0)),0))</f>
        <v/>
      </c>
      <c r="R428">
        <f>IF(B428="","",IFERROR(SUMPRODUCT((LEN(Employees!$A$3:$A$500)&gt;0)*(Employees!$O$3:$O$500=1)*(COUNTIFS($B$3:$B$500,Employees!$A$3:$A$500,$H$3:$H$500,"Approved",$D$3:$D$500,"&lt;="&amp;E428,$E$3:$E$500,"&gt;="&amp;D428,$A$3:$A$500,"&lt;&gt;"&amp;A428)&gt;0)),0))</f>
        <v/>
      </c>
      <c r="S428">
        <f>IF(OR(B428="",IFERROR(XLOOKUP(B428,Employees!$A$3:$A$500,Employees!$G$3:$G$500,""),"")=""),"",IFERROR(SUMPRODUCT((LEN(Employees!$A$3:$A$500)&gt;0)*(Employees!$G$3:$G$500=IFERROR(XLOOKUP(B428,Employees!$A$3:$A$500,Employees!$G$3:$G$500,""),""))*(COUNTIFS($B$3:$B$500,Employees!$A$3:$A$500,$H$3:$H$500,"Approved",$D$3:$D$500,"&lt;="&amp;E428,$E$3:$E$500,"&gt;="&amp;D428,$A$3:$A$500,"&lt;&gt;"&amp;A428)&gt;0)),0))</f>
        <v/>
      </c>
    </row>
    <row r="429">
      <c r="C429">
        <f>IFERROR(XLOOKUP(B429,Employees!$A$3:$A$500,Employees!$B$3:$B$500,""),"")</f>
        <v/>
      </c>
      <c r="I429">
        <f>IF(AND(B429&lt;&gt;"",D429&lt;&gt;"",E429&lt;&gt;""),E429-D429+1,"")</f>
        <v/>
      </c>
      <c r="J429">
        <f>IF(OR(B429="",D429="",E429=""),"",IF(OR(L429&lt;'Coverage Rules'!E7,M429&lt;'Coverage Rules'!E8,N429&lt;'Coverage Rules'!C8,O429&lt;'Coverage Rules'!E9,P429&lt;'Coverage Rules'!E10,Q429&gt;='Coverage Rules'!B16,R429&gt;='Coverage Rules'!B17,IF(S429="",FALSE,S429&gt;='Coverage Rules'!D24)),"Denied","OK"))</f>
        <v/>
      </c>
      <c r="L429">
        <f>IF(B429="","",IFERROR(SUMPRODUCT((LEN(Employees!$A$3:$A$500)&gt;0)*(Employees!$T$3:$T$500=1)*(COUNTIFS($B$3:$B$500,Employees!$A$3:$A$500,$H$3:$H$500,"Approved",$D$3:$D$500,"&lt;="&amp;E429,$E$3:$E$500,"&gt;="&amp;D429,$A$3:$A$500,"&lt;&gt;"&amp;A429)=0)),0))</f>
        <v/>
      </c>
      <c r="M429">
        <f>IF(B429="","",IFERROR(SUMPRODUCT((LEN(Employees!$A$3:$A$500)&gt;0)*(Employees!$U$3:$U$500=1)*(COUNTIFS($B$3:$B$500,Employees!$A$3:$A$500,$H$3:$H$500,"Approved",$D$3:$D$500,"&lt;="&amp;E429,$E$3:$E$500,"&gt;="&amp;D429,$A$3:$A$500,"&lt;&gt;"&amp;A429)=0)),0))</f>
        <v/>
      </c>
      <c r="N429">
        <f>IF(B429="","",IFERROR(SUMPRODUCT((LEN(Employees!$A$3:$A$500)&gt;0)*(Employees!$B$3:$B$500="Manager")*(Employees!$U$3:$U$500=1)*(COUNTIFS($B$3:$B$500,Employees!$A$3:$A$500,$H$3:$H$500,"Approved",$D$3:$D$500,"&lt;="&amp;E429,$E$3:$E$500,"&gt;="&amp;D429,$A$3:$A$500,"&lt;&gt;"&amp;A429)=0)),0))</f>
        <v/>
      </c>
      <c r="O429">
        <f>IF(B429="","",IFERROR(SUMPRODUCT((LEN(Employees!$A$3:$A$500)&gt;0)*(Employees!$V$3:$V$500=1)*(COUNTIFS($B$3:$B$500,Employees!$A$3:$A$500,$H$3:$H$500,"Approved",$D$3:$D$500,"&lt;="&amp;E429,$E$3:$E$500,"&gt;="&amp;D429,$A$3:$A$500,"&lt;&gt;"&amp;A429)=0)),0))</f>
        <v/>
      </c>
      <c r="P429">
        <f>IF(B429="","",IFERROR(SUMPRODUCT((LEN(Employees!$A$3:$A$500)&gt;0)*(Employees!$W$3:$W$500=1)*(COUNTIFS($B$3:$B$500,Employees!$A$3:$A$500,$H$3:$H$500,"Approved",$D$3:$D$500,"&lt;="&amp;E429,$E$3:$E$500,"&gt;="&amp;D429,$A$3:$A$500,"&lt;&gt;"&amp;A429)=0)),0))</f>
        <v/>
      </c>
      <c r="Q429">
        <f>IF(B429="","",IFERROR(SUMPRODUCT((LEN(Employees!$A$3:$A$500)&gt;0)*(Employees!$N$3:$N$500=1)*(COUNTIFS($B$3:$B$500,Employees!$A$3:$A$500,$H$3:$H$500,"Approved",$D$3:$D$500,"&lt;="&amp;E429,$E$3:$E$500,"&gt;="&amp;D429,$A$3:$A$500,"&lt;&gt;"&amp;A429)&gt;0)),0))</f>
        <v/>
      </c>
      <c r="R429">
        <f>IF(B429="","",IFERROR(SUMPRODUCT((LEN(Employees!$A$3:$A$500)&gt;0)*(Employees!$O$3:$O$500=1)*(COUNTIFS($B$3:$B$500,Employees!$A$3:$A$500,$H$3:$H$500,"Approved",$D$3:$D$500,"&lt;="&amp;E429,$E$3:$E$500,"&gt;="&amp;D429,$A$3:$A$500,"&lt;&gt;"&amp;A429)&gt;0)),0))</f>
        <v/>
      </c>
      <c r="S429">
        <f>IF(OR(B429="",IFERROR(XLOOKUP(B429,Employees!$A$3:$A$500,Employees!$G$3:$G$500,""),"")=""),"",IFERROR(SUMPRODUCT((LEN(Employees!$A$3:$A$500)&gt;0)*(Employees!$G$3:$G$500=IFERROR(XLOOKUP(B429,Employees!$A$3:$A$500,Employees!$G$3:$G$500,""),""))*(COUNTIFS($B$3:$B$500,Employees!$A$3:$A$500,$H$3:$H$500,"Approved",$D$3:$D$500,"&lt;="&amp;E429,$E$3:$E$500,"&gt;="&amp;D429,$A$3:$A$500,"&lt;&gt;"&amp;A429)&gt;0)),0))</f>
        <v/>
      </c>
    </row>
    <row r="430">
      <c r="C430">
        <f>IFERROR(XLOOKUP(B430,Employees!$A$3:$A$500,Employees!$B$3:$B$500,""),"")</f>
        <v/>
      </c>
      <c r="I430">
        <f>IF(AND(B430&lt;&gt;"",D430&lt;&gt;"",E430&lt;&gt;""),E430-D430+1,"")</f>
        <v/>
      </c>
      <c r="J430">
        <f>IF(OR(B430="",D430="",E430=""),"",IF(OR(L430&lt;'Coverage Rules'!E7,M430&lt;'Coverage Rules'!E8,N430&lt;'Coverage Rules'!C8,O430&lt;'Coverage Rules'!E9,P430&lt;'Coverage Rules'!E10,Q430&gt;='Coverage Rules'!B16,R430&gt;='Coverage Rules'!B17,IF(S430="",FALSE,S430&gt;='Coverage Rules'!D24)),"Denied","OK"))</f>
        <v/>
      </c>
      <c r="L430">
        <f>IF(B430="","",IFERROR(SUMPRODUCT((LEN(Employees!$A$3:$A$500)&gt;0)*(Employees!$T$3:$T$500=1)*(COUNTIFS($B$3:$B$500,Employees!$A$3:$A$500,$H$3:$H$500,"Approved",$D$3:$D$500,"&lt;="&amp;E430,$E$3:$E$500,"&gt;="&amp;D430,$A$3:$A$500,"&lt;&gt;"&amp;A430)=0)),0))</f>
        <v/>
      </c>
      <c r="M430">
        <f>IF(B430="","",IFERROR(SUMPRODUCT((LEN(Employees!$A$3:$A$500)&gt;0)*(Employees!$U$3:$U$500=1)*(COUNTIFS($B$3:$B$500,Employees!$A$3:$A$500,$H$3:$H$500,"Approved",$D$3:$D$500,"&lt;="&amp;E430,$E$3:$E$500,"&gt;="&amp;D430,$A$3:$A$500,"&lt;&gt;"&amp;A430)=0)),0))</f>
        <v/>
      </c>
      <c r="N430">
        <f>IF(B430="","",IFERROR(SUMPRODUCT((LEN(Employees!$A$3:$A$500)&gt;0)*(Employees!$B$3:$B$500="Manager")*(Employees!$U$3:$U$500=1)*(COUNTIFS($B$3:$B$500,Employees!$A$3:$A$500,$H$3:$H$500,"Approved",$D$3:$D$500,"&lt;="&amp;E430,$E$3:$E$500,"&gt;="&amp;D430,$A$3:$A$500,"&lt;&gt;"&amp;A430)=0)),0))</f>
        <v/>
      </c>
      <c r="O430">
        <f>IF(B430="","",IFERROR(SUMPRODUCT((LEN(Employees!$A$3:$A$500)&gt;0)*(Employees!$V$3:$V$500=1)*(COUNTIFS($B$3:$B$500,Employees!$A$3:$A$500,$H$3:$H$500,"Approved",$D$3:$D$500,"&lt;="&amp;E430,$E$3:$E$500,"&gt;="&amp;D430,$A$3:$A$500,"&lt;&gt;"&amp;A430)=0)),0))</f>
        <v/>
      </c>
      <c r="P430">
        <f>IF(B430="","",IFERROR(SUMPRODUCT((LEN(Employees!$A$3:$A$500)&gt;0)*(Employees!$W$3:$W$500=1)*(COUNTIFS($B$3:$B$500,Employees!$A$3:$A$500,$H$3:$H$500,"Approved",$D$3:$D$500,"&lt;="&amp;E430,$E$3:$E$500,"&gt;="&amp;D430,$A$3:$A$500,"&lt;&gt;"&amp;A430)=0)),0))</f>
        <v/>
      </c>
      <c r="Q430">
        <f>IF(B430="","",IFERROR(SUMPRODUCT((LEN(Employees!$A$3:$A$500)&gt;0)*(Employees!$N$3:$N$500=1)*(COUNTIFS($B$3:$B$500,Employees!$A$3:$A$500,$H$3:$H$500,"Approved",$D$3:$D$500,"&lt;="&amp;E430,$E$3:$E$500,"&gt;="&amp;D430,$A$3:$A$500,"&lt;&gt;"&amp;A430)&gt;0)),0))</f>
        <v/>
      </c>
      <c r="R430">
        <f>IF(B430="","",IFERROR(SUMPRODUCT((LEN(Employees!$A$3:$A$500)&gt;0)*(Employees!$O$3:$O$500=1)*(COUNTIFS($B$3:$B$500,Employees!$A$3:$A$500,$H$3:$H$500,"Approved",$D$3:$D$500,"&lt;="&amp;E430,$E$3:$E$500,"&gt;="&amp;D430,$A$3:$A$500,"&lt;&gt;"&amp;A430)&gt;0)),0))</f>
        <v/>
      </c>
      <c r="S430">
        <f>IF(OR(B430="",IFERROR(XLOOKUP(B430,Employees!$A$3:$A$500,Employees!$G$3:$G$500,""),"")=""),"",IFERROR(SUMPRODUCT((LEN(Employees!$A$3:$A$500)&gt;0)*(Employees!$G$3:$G$500=IFERROR(XLOOKUP(B430,Employees!$A$3:$A$500,Employees!$G$3:$G$500,""),""))*(COUNTIFS($B$3:$B$500,Employees!$A$3:$A$500,$H$3:$H$500,"Approved",$D$3:$D$500,"&lt;="&amp;E430,$E$3:$E$500,"&gt;="&amp;D430,$A$3:$A$500,"&lt;&gt;"&amp;A430)&gt;0)),0))</f>
        <v/>
      </c>
    </row>
    <row r="431">
      <c r="C431">
        <f>IFERROR(XLOOKUP(B431,Employees!$A$3:$A$500,Employees!$B$3:$B$500,""),"")</f>
        <v/>
      </c>
      <c r="I431">
        <f>IF(AND(B431&lt;&gt;"",D431&lt;&gt;"",E431&lt;&gt;""),E431-D431+1,"")</f>
        <v/>
      </c>
      <c r="J431">
        <f>IF(OR(B431="",D431="",E431=""),"",IF(OR(L431&lt;'Coverage Rules'!E7,M431&lt;'Coverage Rules'!E8,N431&lt;'Coverage Rules'!C8,O431&lt;'Coverage Rules'!E9,P431&lt;'Coverage Rules'!E10,Q431&gt;='Coverage Rules'!B16,R431&gt;='Coverage Rules'!B17,IF(S431="",FALSE,S431&gt;='Coverage Rules'!D24)),"Denied","OK"))</f>
        <v/>
      </c>
      <c r="L431">
        <f>IF(B431="","",IFERROR(SUMPRODUCT((LEN(Employees!$A$3:$A$500)&gt;0)*(Employees!$T$3:$T$500=1)*(COUNTIFS($B$3:$B$500,Employees!$A$3:$A$500,$H$3:$H$500,"Approved",$D$3:$D$500,"&lt;="&amp;E431,$E$3:$E$500,"&gt;="&amp;D431,$A$3:$A$500,"&lt;&gt;"&amp;A431)=0)),0))</f>
        <v/>
      </c>
      <c r="M431">
        <f>IF(B431="","",IFERROR(SUMPRODUCT((LEN(Employees!$A$3:$A$500)&gt;0)*(Employees!$U$3:$U$500=1)*(COUNTIFS($B$3:$B$500,Employees!$A$3:$A$500,$H$3:$H$500,"Approved",$D$3:$D$500,"&lt;="&amp;E431,$E$3:$E$500,"&gt;="&amp;D431,$A$3:$A$500,"&lt;&gt;"&amp;A431)=0)),0))</f>
        <v/>
      </c>
      <c r="N431">
        <f>IF(B431="","",IFERROR(SUMPRODUCT((LEN(Employees!$A$3:$A$500)&gt;0)*(Employees!$B$3:$B$500="Manager")*(Employees!$U$3:$U$500=1)*(COUNTIFS($B$3:$B$500,Employees!$A$3:$A$500,$H$3:$H$500,"Approved",$D$3:$D$500,"&lt;="&amp;E431,$E$3:$E$500,"&gt;="&amp;D431,$A$3:$A$500,"&lt;&gt;"&amp;A431)=0)),0))</f>
        <v/>
      </c>
      <c r="O431">
        <f>IF(B431="","",IFERROR(SUMPRODUCT((LEN(Employees!$A$3:$A$500)&gt;0)*(Employees!$V$3:$V$500=1)*(COUNTIFS($B$3:$B$500,Employees!$A$3:$A$500,$H$3:$H$500,"Approved",$D$3:$D$500,"&lt;="&amp;E431,$E$3:$E$500,"&gt;="&amp;D431,$A$3:$A$500,"&lt;&gt;"&amp;A431)=0)),0))</f>
        <v/>
      </c>
      <c r="P431">
        <f>IF(B431="","",IFERROR(SUMPRODUCT((LEN(Employees!$A$3:$A$500)&gt;0)*(Employees!$W$3:$W$500=1)*(COUNTIFS($B$3:$B$500,Employees!$A$3:$A$500,$H$3:$H$500,"Approved",$D$3:$D$500,"&lt;="&amp;E431,$E$3:$E$500,"&gt;="&amp;D431,$A$3:$A$500,"&lt;&gt;"&amp;A431)=0)),0))</f>
        <v/>
      </c>
      <c r="Q431">
        <f>IF(B431="","",IFERROR(SUMPRODUCT((LEN(Employees!$A$3:$A$500)&gt;0)*(Employees!$N$3:$N$500=1)*(COUNTIFS($B$3:$B$500,Employees!$A$3:$A$500,$H$3:$H$500,"Approved",$D$3:$D$500,"&lt;="&amp;E431,$E$3:$E$500,"&gt;="&amp;D431,$A$3:$A$500,"&lt;&gt;"&amp;A431)&gt;0)),0))</f>
        <v/>
      </c>
      <c r="R431">
        <f>IF(B431="","",IFERROR(SUMPRODUCT((LEN(Employees!$A$3:$A$500)&gt;0)*(Employees!$O$3:$O$500=1)*(COUNTIFS($B$3:$B$500,Employees!$A$3:$A$500,$H$3:$H$500,"Approved",$D$3:$D$500,"&lt;="&amp;E431,$E$3:$E$500,"&gt;="&amp;D431,$A$3:$A$500,"&lt;&gt;"&amp;A431)&gt;0)),0))</f>
        <v/>
      </c>
      <c r="S431">
        <f>IF(OR(B431="",IFERROR(XLOOKUP(B431,Employees!$A$3:$A$500,Employees!$G$3:$G$500,""),"")=""),"",IFERROR(SUMPRODUCT((LEN(Employees!$A$3:$A$500)&gt;0)*(Employees!$G$3:$G$500=IFERROR(XLOOKUP(B431,Employees!$A$3:$A$500,Employees!$G$3:$G$500,""),""))*(COUNTIFS($B$3:$B$500,Employees!$A$3:$A$500,$H$3:$H$500,"Approved",$D$3:$D$500,"&lt;="&amp;E431,$E$3:$E$500,"&gt;="&amp;D431,$A$3:$A$500,"&lt;&gt;"&amp;A431)&gt;0)),0))</f>
        <v/>
      </c>
    </row>
    <row r="432">
      <c r="C432">
        <f>IFERROR(XLOOKUP(B432,Employees!$A$3:$A$500,Employees!$B$3:$B$500,""),"")</f>
        <v/>
      </c>
      <c r="I432">
        <f>IF(AND(B432&lt;&gt;"",D432&lt;&gt;"",E432&lt;&gt;""),E432-D432+1,"")</f>
        <v/>
      </c>
      <c r="J432">
        <f>IF(OR(B432="",D432="",E432=""),"",IF(OR(L432&lt;'Coverage Rules'!E7,M432&lt;'Coverage Rules'!E8,N432&lt;'Coverage Rules'!C8,O432&lt;'Coverage Rules'!E9,P432&lt;'Coverage Rules'!E10,Q432&gt;='Coverage Rules'!B16,R432&gt;='Coverage Rules'!B17,IF(S432="",FALSE,S432&gt;='Coverage Rules'!D24)),"Denied","OK"))</f>
        <v/>
      </c>
      <c r="L432">
        <f>IF(B432="","",IFERROR(SUMPRODUCT((LEN(Employees!$A$3:$A$500)&gt;0)*(Employees!$T$3:$T$500=1)*(COUNTIFS($B$3:$B$500,Employees!$A$3:$A$500,$H$3:$H$500,"Approved",$D$3:$D$500,"&lt;="&amp;E432,$E$3:$E$500,"&gt;="&amp;D432,$A$3:$A$500,"&lt;&gt;"&amp;A432)=0)),0))</f>
        <v/>
      </c>
      <c r="M432">
        <f>IF(B432="","",IFERROR(SUMPRODUCT((LEN(Employees!$A$3:$A$500)&gt;0)*(Employees!$U$3:$U$500=1)*(COUNTIFS($B$3:$B$500,Employees!$A$3:$A$500,$H$3:$H$500,"Approved",$D$3:$D$500,"&lt;="&amp;E432,$E$3:$E$500,"&gt;="&amp;D432,$A$3:$A$500,"&lt;&gt;"&amp;A432)=0)),0))</f>
        <v/>
      </c>
      <c r="N432">
        <f>IF(B432="","",IFERROR(SUMPRODUCT((LEN(Employees!$A$3:$A$500)&gt;0)*(Employees!$B$3:$B$500="Manager")*(Employees!$U$3:$U$500=1)*(COUNTIFS($B$3:$B$500,Employees!$A$3:$A$500,$H$3:$H$500,"Approved",$D$3:$D$500,"&lt;="&amp;E432,$E$3:$E$500,"&gt;="&amp;D432,$A$3:$A$500,"&lt;&gt;"&amp;A432)=0)),0))</f>
        <v/>
      </c>
      <c r="O432">
        <f>IF(B432="","",IFERROR(SUMPRODUCT((LEN(Employees!$A$3:$A$500)&gt;0)*(Employees!$V$3:$V$500=1)*(COUNTIFS($B$3:$B$500,Employees!$A$3:$A$500,$H$3:$H$500,"Approved",$D$3:$D$500,"&lt;="&amp;E432,$E$3:$E$500,"&gt;="&amp;D432,$A$3:$A$500,"&lt;&gt;"&amp;A432)=0)),0))</f>
        <v/>
      </c>
      <c r="P432">
        <f>IF(B432="","",IFERROR(SUMPRODUCT((LEN(Employees!$A$3:$A$500)&gt;0)*(Employees!$W$3:$W$500=1)*(COUNTIFS($B$3:$B$500,Employees!$A$3:$A$500,$H$3:$H$500,"Approved",$D$3:$D$500,"&lt;="&amp;E432,$E$3:$E$500,"&gt;="&amp;D432,$A$3:$A$500,"&lt;&gt;"&amp;A432)=0)),0))</f>
        <v/>
      </c>
      <c r="Q432">
        <f>IF(B432="","",IFERROR(SUMPRODUCT((LEN(Employees!$A$3:$A$500)&gt;0)*(Employees!$N$3:$N$500=1)*(COUNTIFS($B$3:$B$500,Employees!$A$3:$A$500,$H$3:$H$500,"Approved",$D$3:$D$500,"&lt;="&amp;E432,$E$3:$E$500,"&gt;="&amp;D432,$A$3:$A$500,"&lt;&gt;"&amp;A432)&gt;0)),0))</f>
        <v/>
      </c>
      <c r="R432">
        <f>IF(B432="","",IFERROR(SUMPRODUCT((LEN(Employees!$A$3:$A$500)&gt;0)*(Employees!$O$3:$O$500=1)*(COUNTIFS($B$3:$B$500,Employees!$A$3:$A$500,$H$3:$H$500,"Approved",$D$3:$D$500,"&lt;="&amp;E432,$E$3:$E$500,"&gt;="&amp;D432,$A$3:$A$500,"&lt;&gt;"&amp;A432)&gt;0)),0))</f>
        <v/>
      </c>
      <c r="S432">
        <f>IF(OR(B432="",IFERROR(XLOOKUP(B432,Employees!$A$3:$A$500,Employees!$G$3:$G$500,""),"")=""),"",IFERROR(SUMPRODUCT((LEN(Employees!$A$3:$A$500)&gt;0)*(Employees!$G$3:$G$500=IFERROR(XLOOKUP(B432,Employees!$A$3:$A$500,Employees!$G$3:$G$500,""),""))*(COUNTIFS($B$3:$B$500,Employees!$A$3:$A$500,$H$3:$H$500,"Approved",$D$3:$D$500,"&lt;="&amp;E432,$E$3:$E$500,"&gt;="&amp;D432,$A$3:$A$500,"&lt;&gt;"&amp;A432)&gt;0)),0))</f>
        <v/>
      </c>
    </row>
    <row r="433">
      <c r="C433">
        <f>IFERROR(XLOOKUP(B433,Employees!$A$3:$A$500,Employees!$B$3:$B$500,""),"")</f>
        <v/>
      </c>
      <c r="I433">
        <f>IF(AND(B433&lt;&gt;"",D433&lt;&gt;"",E433&lt;&gt;""),E433-D433+1,"")</f>
        <v/>
      </c>
      <c r="J433">
        <f>IF(OR(B433="",D433="",E433=""),"",IF(OR(L433&lt;'Coverage Rules'!E7,M433&lt;'Coverage Rules'!E8,N433&lt;'Coverage Rules'!C8,O433&lt;'Coverage Rules'!E9,P433&lt;'Coverage Rules'!E10,Q433&gt;='Coverage Rules'!B16,R433&gt;='Coverage Rules'!B17,IF(S433="",FALSE,S433&gt;='Coverage Rules'!D24)),"Denied","OK"))</f>
        <v/>
      </c>
      <c r="L433">
        <f>IF(B433="","",IFERROR(SUMPRODUCT((LEN(Employees!$A$3:$A$500)&gt;0)*(Employees!$T$3:$T$500=1)*(COUNTIFS($B$3:$B$500,Employees!$A$3:$A$500,$H$3:$H$500,"Approved",$D$3:$D$500,"&lt;="&amp;E433,$E$3:$E$500,"&gt;="&amp;D433,$A$3:$A$500,"&lt;&gt;"&amp;A433)=0)),0))</f>
        <v/>
      </c>
      <c r="M433">
        <f>IF(B433="","",IFERROR(SUMPRODUCT((LEN(Employees!$A$3:$A$500)&gt;0)*(Employees!$U$3:$U$500=1)*(COUNTIFS($B$3:$B$500,Employees!$A$3:$A$500,$H$3:$H$500,"Approved",$D$3:$D$500,"&lt;="&amp;E433,$E$3:$E$500,"&gt;="&amp;D433,$A$3:$A$500,"&lt;&gt;"&amp;A433)=0)),0))</f>
        <v/>
      </c>
      <c r="N433">
        <f>IF(B433="","",IFERROR(SUMPRODUCT((LEN(Employees!$A$3:$A$500)&gt;0)*(Employees!$B$3:$B$500="Manager")*(Employees!$U$3:$U$500=1)*(COUNTIFS($B$3:$B$500,Employees!$A$3:$A$500,$H$3:$H$500,"Approved",$D$3:$D$500,"&lt;="&amp;E433,$E$3:$E$500,"&gt;="&amp;D433,$A$3:$A$500,"&lt;&gt;"&amp;A433)=0)),0))</f>
        <v/>
      </c>
      <c r="O433">
        <f>IF(B433="","",IFERROR(SUMPRODUCT((LEN(Employees!$A$3:$A$500)&gt;0)*(Employees!$V$3:$V$500=1)*(COUNTIFS($B$3:$B$500,Employees!$A$3:$A$500,$H$3:$H$500,"Approved",$D$3:$D$500,"&lt;="&amp;E433,$E$3:$E$500,"&gt;="&amp;D433,$A$3:$A$500,"&lt;&gt;"&amp;A433)=0)),0))</f>
        <v/>
      </c>
      <c r="P433">
        <f>IF(B433="","",IFERROR(SUMPRODUCT((LEN(Employees!$A$3:$A$500)&gt;0)*(Employees!$W$3:$W$500=1)*(COUNTIFS($B$3:$B$500,Employees!$A$3:$A$500,$H$3:$H$500,"Approved",$D$3:$D$500,"&lt;="&amp;E433,$E$3:$E$500,"&gt;="&amp;D433,$A$3:$A$500,"&lt;&gt;"&amp;A433)=0)),0))</f>
        <v/>
      </c>
      <c r="Q433">
        <f>IF(B433="","",IFERROR(SUMPRODUCT((LEN(Employees!$A$3:$A$500)&gt;0)*(Employees!$N$3:$N$500=1)*(COUNTIFS($B$3:$B$500,Employees!$A$3:$A$500,$H$3:$H$500,"Approved",$D$3:$D$500,"&lt;="&amp;E433,$E$3:$E$500,"&gt;="&amp;D433,$A$3:$A$500,"&lt;&gt;"&amp;A433)&gt;0)),0))</f>
        <v/>
      </c>
      <c r="R433">
        <f>IF(B433="","",IFERROR(SUMPRODUCT((LEN(Employees!$A$3:$A$500)&gt;0)*(Employees!$O$3:$O$500=1)*(COUNTIFS($B$3:$B$500,Employees!$A$3:$A$500,$H$3:$H$500,"Approved",$D$3:$D$500,"&lt;="&amp;E433,$E$3:$E$500,"&gt;="&amp;D433,$A$3:$A$500,"&lt;&gt;"&amp;A433)&gt;0)),0))</f>
        <v/>
      </c>
      <c r="S433">
        <f>IF(OR(B433="",IFERROR(XLOOKUP(B433,Employees!$A$3:$A$500,Employees!$G$3:$G$500,""),"")=""),"",IFERROR(SUMPRODUCT((LEN(Employees!$A$3:$A$500)&gt;0)*(Employees!$G$3:$G$500=IFERROR(XLOOKUP(B433,Employees!$A$3:$A$500,Employees!$G$3:$G$500,""),""))*(COUNTIFS($B$3:$B$500,Employees!$A$3:$A$500,$H$3:$H$500,"Approved",$D$3:$D$500,"&lt;="&amp;E433,$E$3:$E$500,"&gt;="&amp;D433,$A$3:$A$500,"&lt;&gt;"&amp;A433)&gt;0)),0))</f>
        <v/>
      </c>
    </row>
    <row r="434">
      <c r="C434">
        <f>IFERROR(XLOOKUP(B434,Employees!$A$3:$A$500,Employees!$B$3:$B$500,""),"")</f>
        <v/>
      </c>
      <c r="I434">
        <f>IF(AND(B434&lt;&gt;"",D434&lt;&gt;"",E434&lt;&gt;""),E434-D434+1,"")</f>
        <v/>
      </c>
      <c r="J434">
        <f>IF(OR(B434="",D434="",E434=""),"",IF(OR(L434&lt;'Coverage Rules'!E7,M434&lt;'Coverage Rules'!E8,N434&lt;'Coverage Rules'!C8,O434&lt;'Coverage Rules'!E9,P434&lt;'Coverage Rules'!E10,Q434&gt;='Coverage Rules'!B16,R434&gt;='Coverage Rules'!B17,IF(S434="",FALSE,S434&gt;='Coverage Rules'!D24)),"Denied","OK"))</f>
        <v/>
      </c>
      <c r="L434">
        <f>IF(B434="","",IFERROR(SUMPRODUCT((LEN(Employees!$A$3:$A$500)&gt;0)*(Employees!$T$3:$T$500=1)*(COUNTIFS($B$3:$B$500,Employees!$A$3:$A$500,$H$3:$H$500,"Approved",$D$3:$D$500,"&lt;="&amp;E434,$E$3:$E$500,"&gt;="&amp;D434,$A$3:$A$500,"&lt;&gt;"&amp;A434)=0)),0))</f>
        <v/>
      </c>
      <c r="M434">
        <f>IF(B434="","",IFERROR(SUMPRODUCT((LEN(Employees!$A$3:$A$500)&gt;0)*(Employees!$U$3:$U$500=1)*(COUNTIFS($B$3:$B$500,Employees!$A$3:$A$500,$H$3:$H$500,"Approved",$D$3:$D$500,"&lt;="&amp;E434,$E$3:$E$500,"&gt;="&amp;D434,$A$3:$A$500,"&lt;&gt;"&amp;A434)=0)),0))</f>
        <v/>
      </c>
      <c r="N434">
        <f>IF(B434="","",IFERROR(SUMPRODUCT((LEN(Employees!$A$3:$A$500)&gt;0)*(Employees!$B$3:$B$500="Manager")*(Employees!$U$3:$U$500=1)*(COUNTIFS($B$3:$B$500,Employees!$A$3:$A$500,$H$3:$H$500,"Approved",$D$3:$D$500,"&lt;="&amp;E434,$E$3:$E$500,"&gt;="&amp;D434,$A$3:$A$500,"&lt;&gt;"&amp;A434)=0)),0))</f>
        <v/>
      </c>
      <c r="O434">
        <f>IF(B434="","",IFERROR(SUMPRODUCT((LEN(Employees!$A$3:$A$500)&gt;0)*(Employees!$V$3:$V$500=1)*(COUNTIFS($B$3:$B$500,Employees!$A$3:$A$500,$H$3:$H$500,"Approved",$D$3:$D$500,"&lt;="&amp;E434,$E$3:$E$500,"&gt;="&amp;D434,$A$3:$A$500,"&lt;&gt;"&amp;A434)=0)),0))</f>
        <v/>
      </c>
      <c r="P434">
        <f>IF(B434="","",IFERROR(SUMPRODUCT((LEN(Employees!$A$3:$A$500)&gt;0)*(Employees!$W$3:$W$500=1)*(COUNTIFS($B$3:$B$500,Employees!$A$3:$A$500,$H$3:$H$500,"Approved",$D$3:$D$500,"&lt;="&amp;E434,$E$3:$E$500,"&gt;="&amp;D434,$A$3:$A$500,"&lt;&gt;"&amp;A434)=0)),0))</f>
        <v/>
      </c>
      <c r="Q434">
        <f>IF(B434="","",IFERROR(SUMPRODUCT((LEN(Employees!$A$3:$A$500)&gt;0)*(Employees!$N$3:$N$500=1)*(COUNTIFS($B$3:$B$500,Employees!$A$3:$A$500,$H$3:$H$500,"Approved",$D$3:$D$500,"&lt;="&amp;E434,$E$3:$E$500,"&gt;="&amp;D434,$A$3:$A$500,"&lt;&gt;"&amp;A434)&gt;0)),0))</f>
        <v/>
      </c>
      <c r="R434">
        <f>IF(B434="","",IFERROR(SUMPRODUCT((LEN(Employees!$A$3:$A$500)&gt;0)*(Employees!$O$3:$O$500=1)*(COUNTIFS($B$3:$B$500,Employees!$A$3:$A$500,$H$3:$H$500,"Approved",$D$3:$D$500,"&lt;="&amp;E434,$E$3:$E$500,"&gt;="&amp;D434,$A$3:$A$500,"&lt;&gt;"&amp;A434)&gt;0)),0))</f>
        <v/>
      </c>
      <c r="S434">
        <f>IF(OR(B434="",IFERROR(XLOOKUP(B434,Employees!$A$3:$A$500,Employees!$G$3:$G$500,""),"")=""),"",IFERROR(SUMPRODUCT((LEN(Employees!$A$3:$A$500)&gt;0)*(Employees!$G$3:$G$500=IFERROR(XLOOKUP(B434,Employees!$A$3:$A$500,Employees!$G$3:$G$500,""),""))*(COUNTIFS($B$3:$B$500,Employees!$A$3:$A$500,$H$3:$H$500,"Approved",$D$3:$D$500,"&lt;="&amp;E434,$E$3:$E$500,"&gt;="&amp;D434,$A$3:$A$500,"&lt;&gt;"&amp;A434)&gt;0)),0))</f>
        <v/>
      </c>
    </row>
    <row r="435">
      <c r="C435">
        <f>IFERROR(XLOOKUP(B435,Employees!$A$3:$A$500,Employees!$B$3:$B$500,""),"")</f>
        <v/>
      </c>
      <c r="I435">
        <f>IF(AND(B435&lt;&gt;"",D435&lt;&gt;"",E435&lt;&gt;""),E435-D435+1,"")</f>
        <v/>
      </c>
      <c r="J435">
        <f>IF(OR(B435="",D435="",E435=""),"",IF(OR(L435&lt;'Coverage Rules'!E7,M435&lt;'Coverage Rules'!E8,N435&lt;'Coverage Rules'!C8,O435&lt;'Coverage Rules'!E9,P435&lt;'Coverage Rules'!E10,Q435&gt;='Coverage Rules'!B16,R435&gt;='Coverage Rules'!B17,IF(S435="",FALSE,S435&gt;='Coverage Rules'!D24)),"Denied","OK"))</f>
        <v/>
      </c>
      <c r="L435">
        <f>IF(B435="","",IFERROR(SUMPRODUCT((LEN(Employees!$A$3:$A$500)&gt;0)*(Employees!$T$3:$T$500=1)*(COUNTIFS($B$3:$B$500,Employees!$A$3:$A$500,$H$3:$H$500,"Approved",$D$3:$D$500,"&lt;="&amp;E435,$E$3:$E$500,"&gt;="&amp;D435,$A$3:$A$500,"&lt;&gt;"&amp;A435)=0)),0))</f>
        <v/>
      </c>
      <c r="M435">
        <f>IF(B435="","",IFERROR(SUMPRODUCT((LEN(Employees!$A$3:$A$500)&gt;0)*(Employees!$U$3:$U$500=1)*(COUNTIFS($B$3:$B$500,Employees!$A$3:$A$500,$H$3:$H$500,"Approved",$D$3:$D$500,"&lt;="&amp;E435,$E$3:$E$500,"&gt;="&amp;D435,$A$3:$A$500,"&lt;&gt;"&amp;A435)=0)),0))</f>
        <v/>
      </c>
      <c r="N435">
        <f>IF(B435="","",IFERROR(SUMPRODUCT((LEN(Employees!$A$3:$A$500)&gt;0)*(Employees!$B$3:$B$500="Manager")*(Employees!$U$3:$U$500=1)*(COUNTIFS($B$3:$B$500,Employees!$A$3:$A$500,$H$3:$H$500,"Approved",$D$3:$D$500,"&lt;="&amp;E435,$E$3:$E$500,"&gt;="&amp;D435,$A$3:$A$500,"&lt;&gt;"&amp;A435)=0)),0))</f>
        <v/>
      </c>
      <c r="O435">
        <f>IF(B435="","",IFERROR(SUMPRODUCT((LEN(Employees!$A$3:$A$500)&gt;0)*(Employees!$V$3:$V$500=1)*(COUNTIFS($B$3:$B$500,Employees!$A$3:$A$500,$H$3:$H$500,"Approved",$D$3:$D$500,"&lt;="&amp;E435,$E$3:$E$500,"&gt;="&amp;D435,$A$3:$A$500,"&lt;&gt;"&amp;A435)=0)),0))</f>
        <v/>
      </c>
      <c r="P435">
        <f>IF(B435="","",IFERROR(SUMPRODUCT((LEN(Employees!$A$3:$A$500)&gt;0)*(Employees!$W$3:$W$500=1)*(COUNTIFS($B$3:$B$500,Employees!$A$3:$A$500,$H$3:$H$500,"Approved",$D$3:$D$500,"&lt;="&amp;E435,$E$3:$E$500,"&gt;="&amp;D435,$A$3:$A$500,"&lt;&gt;"&amp;A435)=0)),0))</f>
        <v/>
      </c>
      <c r="Q435">
        <f>IF(B435="","",IFERROR(SUMPRODUCT((LEN(Employees!$A$3:$A$500)&gt;0)*(Employees!$N$3:$N$500=1)*(COUNTIFS($B$3:$B$500,Employees!$A$3:$A$500,$H$3:$H$500,"Approved",$D$3:$D$500,"&lt;="&amp;E435,$E$3:$E$500,"&gt;="&amp;D435,$A$3:$A$500,"&lt;&gt;"&amp;A435)&gt;0)),0))</f>
        <v/>
      </c>
      <c r="R435">
        <f>IF(B435="","",IFERROR(SUMPRODUCT((LEN(Employees!$A$3:$A$500)&gt;0)*(Employees!$O$3:$O$500=1)*(COUNTIFS($B$3:$B$500,Employees!$A$3:$A$500,$H$3:$H$500,"Approved",$D$3:$D$500,"&lt;="&amp;E435,$E$3:$E$500,"&gt;="&amp;D435,$A$3:$A$500,"&lt;&gt;"&amp;A435)&gt;0)),0))</f>
        <v/>
      </c>
      <c r="S435">
        <f>IF(OR(B435="",IFERROR(XLOOKUP(B435,Employees!$A$3:$A$500,Employees!$G$3:$G$500,""),"")=""),"",IFERROR(SUMPRODUCT((LEN(Employees!$A$3:$A$500)&gt;0)*(Employees!$G$3:$G$500=IFERROR(XLOOKUP(B435,Employees!$A$3:$A$500,Employees!$G$3:$G$500,""),""))*(COUNTIFS($B$3:$B$500,Employees!$A$3:$A$500,$H$3:$H$500,"Approved",$D$3:$D$500,"&lt;="&amp;E435,$E$3:$E$500,"&gt;="&amp;D435,$A$3:$A$500,"&lt;&gt;"&amp;A435)&gt;0)),0))</f>
        <v/>
      </c>
    </row>
    <row r="436">
      <c r="C436">
        <f>IFERROR(XLOOKUP(B436,Employees!$A$3:$A$500,Employees!$B$3:$B$500,""),"")</f>
        <v/>
      </c>
      <c r="I436">
        <f>IF(AND(B436&lt;&gt;"",D436&lt;&gt;"",E436&lt;&gt;""),E436-D436+1,"")</f>
        <v/>
      </c>
      <c r="J436">
        <f>IF(OR(B436="",D436="",E436=""),"",IF(OR(L436&lt;'Coverage Rules'!E7,M436&lt;'Coverage Rules'!E8,N436&lt;'Coverage Rules'!C8,O436&lt;'Coverage Rules'!E9,P436&lt;'Coverage Rules'!E10,Q436&gt;='Coverage Rules'!B16,R436&gt;='Coverage Rules'!B17,IF(S436="",FALSE,S436&gt;='Coverage Rules'!D24)),"Denied","OK"))</f>
        <v/>
      </c>
      <c r="L436">
        <f>IF(B436="","",IFERROR(SUMPRODUCT((LEN(Employees!$A$3:$A$500)&gt;0)*(Employees!$T$3:$T$500=1)*(COUNTIFS($B$3:$B$500,Employees!$A$3:$A$500,$H$3:$H$500,"Approved",$D$3:$D$500,"&lt;="&amp;E436,$E$3:$E$500,"&gt;="&amp;D436,$A$3:$A$500,"&lt;&gt;"&amp;A436)=0)),0))</f>
        <v/>
      </c>
      <c r="M436">
        <f>IF(B436="","",IFERROR(SUMPRODUCT((LEN(Employees!$A$3:$A$500)&gt;0)*(Employees!$U$3:$U$500=1)*(COUNTIFS($B$3:$B$500,Employees!$A$3:$A$500,$H$3:$H$500,"Approved",$D$3:$D$500,"&lt;="&amp;E436,$E$3:$E$500,"&gt;="&amp;D436,$A$3:$A$500,"&lt;&gt;"&amp;A436)=0)),0))</f>
        <v/>
      </c>
      <c r="N436">
        <f>IF(B436="","",IFERROR(SUMPRODUCT((LEN(Employees!$A$3:$A$500)&gt;0)*(Employees!$B$3:$B$500="Manager")*(Employees!$U$3:$U$500=1)*(COUNTIFS($B$3:$B$500,Employees!$A$3:$A$500,$H$3:$H$500,"Approved",$D$3:$D$500,"&lt;="&amp;E436,$E$3:$E$500,"&gt;="&amp;D436,$A$3:$A$500,"&lt;&gt;"&amp;A436)=0)),0))</f>
        <v/>
      </c>
      <c r="O436">
        <f>IF(B436="","",IFERROR(SUMPRODUCT((LEN(Employees!$A$3:$A$500)&gt;0)*(Employees!$V$3:$V$500=1)*(COUNTIFS($B$3:$B$500,Employees!$A$3:$A$500,$H$3:$H$500,"Approved",$D$3:$D$500,"&lt;="&amp;E436,$E$3:$E$500,"&gt;="&amp;D436,$A$3:$A$500,"&lt;&gt;"&amp;A436)=0)),0))</f>
        <v/>
      </c>
      <c r="P436">
        <f>IF(B436="","",IFERROR(SUMPRODUCT((LEN(Employees!$A$3:$A$500)&gt;0)*(Employees!$W$3:$W$500=1)*(COUNTIFS($B$3:$B$500,Employees!$A$3:$A$500,$H$3:$H$500,"Approved",$D$3:$D$500,"&lt;="&amp;E436,$E$3:$E$500,"&gt;="&amp;D436,$A$3:$A$500,"&lt;&gt;"&amp;A436)=0)),0))</f>
        <v/>
      </c>
      <c r="Q436">
        <f>IF(B436="","",IFERROR(SUMPRODUCT((LEN(Employees!$A$3:$A$500)&gt;0)*(Employees!$N$3:$N$500=1)*(COUNTIFS($B$3:$B$500,Employees!$A$3:$A$500,$H$3:$H$500,"Approved",$D$3:$D$500,"&lt;="&amp;E436,$E$3:$E$500,"&gt;="&amp;D436,$A$3:$A$500,"&lt;&gt;"&amp;A436)&gt;0)),0))</f>
        <v/>
      </c>
      <c r="R436">
        <f>IF(B436="","",IFERROR(SUMPRODUCT((LEN(Employees!$A$3:$A$500)&gt;0)*(Employees!$O$3:$O$500=1)*(COUNTIFS($B$3:$B$500,Employees!$A$3:$A$500,$H$3:$H$500,"Approved",$D$3:$D$500,"&lt;="&amp;E436,$E$3:$E$500,"&gt;="&amp;D436,$A$3:$A$500,"&lt;&gt;"&amp;A436)&gt;0)),0))</f>
        <v/>
      </c>
      <c r="S436">
        <f>IF(OR(B436="",IFERROR(XLOOKUP(B436,Employees!$A$3:$A$500,Employees!$G$3:$G$500,""),"")=""),"",IFERROR(SUMPRODUCT((LEN(Employees!$A$3:$A$500)&gt;0)*(Employees!$G$3:$G$500=IFERROR(XLOOKUP(B436,Employees!$A$3:$A$500,Employees!$G$3:$G$500,""),""))*(COUNTIFS($B$3:$B$500,Employees!$A$3:$A$500,$H$3:$H$500,"Approved",$D$3:$D$500,"&lt;="&amp;E436,$E$3:$E$500,"&gt;="&amp;D436,$A$3:$A$500,"&lt;&gt;"&amp;A436)&gt;0)),0))</f>
        <v/>
      </c>
    </row>
    <row r="437">
      <c r="C437">
        <f>IFERROR(XLOOKUP(B437,Employees!$A$3:$A$500,Employees!$B$3:$B$500,""),"")</f>
        <v/>
      </c>
      <c r="I437">
        <f>IF(AND(B437&lt;&gt;"",D437&lt;&gt;"",E437&lt;&gt;""),E437-D437+1,"")</f>
        <v/>
      </c>
      <c r="J437">
        <f>IF(OR(B437="",D437="",E437=""),"",IF(OR(L437&lt;'Coverage Rules'!E7,M437&lt;'Coverage Rules'!E8,N437&lt;'Coverage Rules'!C8,O437&lt;'Coverage Rules'!E9,P437&lt;'Coverage Rules'!E10,Q437&gt;='Coverage Rules'!B16,R437&gt;='Coverage Rules'!B17,IF(S437="",FALSE,S437&gt;='Coverage Rules'!D24)),"Denied","OK"))</f>
        <v/>
      </c>
      <c r="L437">
        <f>IF(B437="","",IFERROR(SUMPRODUCT((LEN(Employees!$A$3:$A$500)&gt;0)*(Employees!$T$3:$T$500=1)*(COUNTIFS($B$3:$B$500,Employees!$A$3:$A$500,$H$3:$H$500,"Approved",$D$3:$D$500,"&lt;="&amp;E437,$E$3:$E$500,"&gt;="&amp;D437,$A$3:$A$500,"&lt;&gt;"&amp;A437)=0)),0))</f>
        <v/>
      </c>
      <c r="M437">
        <f>IF(B437="","",IFERROR(SUMPRODUCT((LEN(Employees!$A$3:$A$500)&gt;0)*(Employees!$U$3:$U$500=1)*(COUNTIFS($B$3:$B$500,Employees!$A$3:$A$500,$H$3:$H$500,"Approved",$D$3:$D$500,"&lt;="&amp;E437,$E$3:$E$500,"&gt;="&amp;D437,$A$3:$A$500,"&lt;&gt;"&amp;A437)=0)),0))</f>
        <v/>
      </c>
      <c r="N437">
        <f>IF(B437="","",IFERROR(SUMPRODUCT((LEN(Employees!$A$3:$A$500)&gt;0)*(Employees!$B$3:$B$500="Manager")*(Employees!$U$3:$U$500=1)*(COUNTIFS($B$3:$B$500,Employees!$A$3:$A$500,$H$3:$H$500,"Approved",$D$3:$D$500,"&lt;="&amp;E437,$E$3:$E$500,"&gt;="&amp;D437,$A$3:$A$500,"&lt;&gt;"&amp;A437)=0)),0))</f>
        <v/>
      </c>
      <c r="O437">
        <f>IF(B437="","",IFERROR(SUMPRODUCT((LEN(Employees!$A$3:$A$500)&gt;0)*(Employees!$V$3:$V$500=1)*(COUNTIFS($B$3:$B$500,Employees!$A$3:$A$500,$H$3:$H$500,"Approved",$D$3:$D$500,"&lt;="&amp;E437,$E$3:$E$500,"&gt;="&amp;D437,$A$3:$A$500,"&lt;&gt;"&amp;A437)=0)),0))</f>
        <v/>
      </c>
      <c r="P437">
        <f>IF(B437="","",IFERROR(SUMPRODUCT((LEN(Employees!$A$3:$A$500)&gt;0)*(Employees!$W$3:$W$500=1)*(COUNTIFS($B$3:$B$500,Employees!$A$3:$A$500,$H$3:$H$500,"Approved",$D$3:$D$500,"&lt;="&amp;E437,$E$3:$E$500,"&gt;="&amp;D437,$A$3:$A$500,"&lt;&gt;"&amp;A437)=0)),0))</f>
        <v/>
      </c>
      <c r="Q437">
        <f>IF(B437="","",IFERROR(SUMPRODUCT((LEN(Employees!$A$3:$A$500)&gt;0)*(Employees!$N$3:$N$500=1)*(COUNTIFS($B$3:$B$500,Employees!$A$3:$A$500,$H$3:$H$500,"Approved",$D$3:$D$500,"&lt;="&amp;E437,$E$3:$E$500,"&gt;="&amp;D437,$A$3:$A$500,"&lt;&gt;"&amp;A437)&gt;0)),0))</f>
        <v/>
      </c>
      <c r="R437">
        <f>IF(B437="","",IFERROR(SUMPRODUCT((LEN(Employees!$A$3:$A$500)&gt;0)*(Employees!$O$3:$O$500=1)*(COUNTIFS($B$3:$B$500,Employees!$A$3:$A$500,$H$3:$H$500,"Approved",$D$3:$D$500,"&lt;="&amp;E437,$E$3:$E$500,"&gt;="&amp;D437,$A$3:$A$500,"&lt;&gt;"&amp;A437)&gt;0)),0))</f>
        <v/>
      </c>
      <c r="S437">
        <f>IF(OR(B437="",IFERROR(XLOOKUP(B437,Employees!$A$3:$A$500,Employees!$G$3:$G$500,""),"")=""),"",IFERROR(SUMPRODUCT((LEN(Employees!$A$3:$A$500)&gt;0)*(Employees!$G$3:$G$500=IFERROR(XLOOKUP(B437,Employees!$A$3:$A$500,Employees!$G$3:$G$500,""),""))*(COUNTIFS($B$3:$B$500,Employees!$A$3:$A$500,$H$3:$H$500,"Approved",$D$3:$D$500,"&lt;="&amp;E437,$E$3:$E$500,"&gt;="&amp;D437,$A$3:$A$500,"&lt;&gt;"&amp;A437)&gt;0)),0))</f>
        <v/>
      </c>
    </row>
    <row r="438">
      <c r="C438">
        <f>IFERROR(XLOOKUP(B438,Employees!$A$3:$A$500,Employees!$B$3:$B$500,""),"")</f>
        <v/>
      </c>
      <c r="I438">
        <f>IF(AND(B438&lt;&gt;"",D438&lt;&gt;"",E438&lt;&gt;""),E438-D438+1,"")</f>
        <v/>
      </c>
      <c r="J438">
        <f>IF(OR(B438="",D438="",E438=""),"",IF(OR(L438&lt;'Coverage Rules'!E7,M438&lt;'Coverage Rules'!E8,N438&lt;'Coverage Rules'!C8,O438&lt;'Coverage Rules'!E9,P438&lt;'Coverage Rules'!E10,Q438&gt;='Coverage Rules'!B16,R438&gt;='Coverage Rules'!B17,IF(S438="",FALSE,S438&gt;='Coverage Rules'!D24)),"Denied","OK"))</f>
        <v/>
      </c>
      <c r="L438">
        <f>IF(B438="","",IFERROR(SUMPRODUCT((LEN(Employees!$A$3:$A$500)&gt;0)*(Employees!$T$3:$T$500=1)*(COUNTIFS($B$3:$B$500,Employees!$A$3:$A$500,$H$3:$H$500,"Approved",$D$3:$D$500,"&lt;="&amp;E438,$E$3:$E$500,"&gt;="&amp;D438,$A$3:$A$500,"&lt;&gt;"&amp;A438)=0)),0))</f>
        <v/>
      </c>
      <c r="M438">
        <f>IF(B438="","",IFERROR(SUMPRODUCT((LEN(Employees!$A$3:$A$500)&gt;0)*(Employees!$U$3:$U$500=1)*(COUNTIFS($B$3:$B$500,Employees!$A$3:$A$500,$H$3:$H$500,"Approved",$D$3:$D$500,"&lt;="&amp;E438,$E$3:$E$500,"&gt;="&amp;D438,$A$3:$A$500,"&lt;&gt;"&amp;A438)=0)),0))</f>
        <v/>
      </c>
      <c r="N438">
        <f>IF(B438="","",IFERROR(SUMPRODUCT((LEN(Employees!$A$3:$A$500)&gt;0)*(Employees!$B$3:$B$500="Manager")*(Employees!$U$3:$U$500=1)*(COUNTIFS($B$3:$B$500,Employees!$A$3:$A$500,$H$3:$H$500,"Approved",$D$3:$D$500,"&lt;="&amp;E438,$E$3:$E$500,"&gt;="&amp;D438,$A$3:$A$500,"&lt;&gt;"&amp;A438)=0)),0))</f>
        <v/>
      </c>
      <c r="O438">
        <f>IF(B438="","",IFERROR(SUMPRODUCT((LEN(Employees!$A$3:$A$500)&gt;0)*(Employees!$V$3:$V$500=1)*(COUNTIFS($B$3:$B$500,Employees!$A$3:$A$500,$H$3:$H$500,"Approved",$D$3:$D$500,"&lt;="&amp;E438,$E$3:$E$500,"&gt;="&amp;D438,$A$3:$A$500,"&lt;&gt;"&amp;A438)=0)),0))</f>
        <v/>
      </c>
      <c r="P438">
        <f>IF(B438="","",IFERROR(SUMPRODUCT((LEN(Employees!$A$3:$A$500)&gt;0)*(Employees!$W$3:$W$500=1)*(COUNTIFS($B$3:$B$500,Employees!$A$3:$A$500,$H$3:$H$500,"Approved",$D$3:$D$500,"&lt;="&amp;E438,$E$3:$E$500,"&gt;="&amp;D438,$A$3:$A$500,"&lt;&gt;"&amp;A438)=0)),0))</f>
        <v/>
      </c>
      <c r="Q438">
        <f>IF(B438="","",IFERROR(SUMPRODUCT((LEN(Employees!$A$3:$A$500)&gt;0)*(Employees!$N$3:$N$500=1)*(COUNTIFS($B$3:$B$500,Employees!$A$3:$A$500,$H$3:$H$500,"Approved",$D$3:$D$500,"&lt;="&amp;E438,$E$3:$E$500,"&gt;="&amp;D438,$A$3:$A$500,"&lt;&gt;"&amp;A438)&gt;0)),0))</f>
        <v/>
      </c>
      <c r="R438">
        <f>IF(B438="","",IFERROR(SUMPRODUCT((LEN(Employees!$A$3:$A$500)&gt;0)*(Employees!$O$3:$O$500=1)*(COUNTIFS($B$3:$B$500,Employees!$A$3:$A$500,$H$3:$H$500,"Approved",$D$3:$D$500,"&lt;="&amp;E438,$E$3:$E$500,"&gt;="&amp;D438,$A$3:$A$500,"&lt;&gt;"&amp;A438)&gt;0)),0))</f>
        <v/>
      </c>
      <c r="S438">
        <f>IF(OR(B438="",IFERROR(XLOOKUP(B438,Employees!$A$3:$A$500,Employees!$G$3:$G$500,""),"")=""),"",IFERROR(SUMPRODUCT((LEN(Employees!$A$3:$A$500)&gt;0)*(Employees!$G$3:$G$500=IFERROR(XLOOKUP(B438,Employees!$A$3:$A$500,Employees!$G$3:$G$500,""),""))*(COUNTIFS($B$3:$B$500,Employees!$A$3:$A$500,$H$3:$H$500,"Approved",$D$3:$D$500,"&lt;="&amp;E438,$E$3:$E$500,"&gt;="&amp;D438,$A$3:$A$500,"&lt;&gt;"&amp;A438)&gt;0)),0))</f>
        <v/>
      </c>
    </row>
    <row r="439">
      <c r="C439">
        <f>IFERROR(XLOOKUP(B439,Employees!$A$3:$A$500,Employees!$B$3:$B$500,""),"")</f>
        <v/>
      </c>
      <c r="I439">
        <f>IF(AND(B439&lt;&gt;"",D439&lt;&gt;"",E439&lt;&gt;""),E439-D439+1,"")</f>
        <v/>
      </c>
      <c r="J439">
        <f>IF(OR(B439="",D439="",E439=""),"",IF(OR(L439&lt;'Coverage Rules'!E7,M439&lt;'Coverage Rules'!E8,N439&lt;'Coverage Rules'!C8,O439&lt;'Coverage Rules'!E9,P439&lt;'Coverage Rules'!E10,Q439&gt;='Coverage Rules'!B16,R439&gt;='Coverage Rules'!B17,IF(S439="",FALSE,S439&gt;='Coverage Rules'!D24)),"Denied","OK"))</f>
        <v/>
      </c>
      <c r="L439">
        <f>IF(B439="","",IFERROR(SUMPRODUCT((LEN(Employees!$A$3:$A$500)&gt;0)*(Employees!$T$3:$T$500=1)*(COUNTIFS($B$3:$B$500,Employees!$A$3:$A$500,$H$3:$H$500,"Approved",$D$3:$D$500,"&lt;="&amp;E439,$E$3:$E$500,"&gt;="&amp;D439,$A$3:$A$500,"&lt;&gt;"&amp;A439)=0)),0))</f>
        <v/>
      </c>
      <c r="M439">
        <f>IF(B439="","",IFERROR(SUMPRODUCT((LEN(Employees!$A$3:$A$500)&gt;0)*(Employees!$U$3:$U$500=1)*(COUNTIFS($B$3:$B$500,Employees!$A$3:$A$500,$H$3:$H$500,"Approved",$D$3:$D$500,"&lt;="&amp;E439,$E$3:$E$500,"&gt;="&amp;D439,$A$3:$A$500,"&lt;&gt;"&amp;A439)=0)),0))</f>
        <v/>
      </c>
      <c r="N439">
        <f>IF(B439="","",IFERROR(SUMPRODUCT((LEN(Employees!$A$3:$A$500)&gt;0)*(Employees!$B$3:$B$500="Manager")*(Employees!$U$3:$U$500=1)*(COUNTIFS($B$3:$B$500,Employees!$A$3:$A$500,$H$3:$H$500,"Approved",$D$3:$D$500,"&lt;="&amp;E439,$E$3:$E$500,"&gt;="&amp;D439,$A$3:$A$500,"&lt;&gt;"&amp;A439)=0)),0))</f>
        <v/>
      </c>
      <c r="O439">
        <f>IF(B439="","",IFERROR(SUMPRODUCT((LEN(Employees!$A$3:$A$500)&gt;0)*(Employees!$V$3:$V$500=1)*(COUNTIFS($B$3:$B$500,Employees!$A$3:$A$500,$H$3:$H$500,"Approved",$D$3:$D$500,"&lt;="&amp;E439,$E$3:$E$500,"&gt;="&amp;D439,$A$3:$A$500,"&lt;&gt;"&amp;A439)=0)),0))</f>
        <v/>
      </c>
      <c r="P439">
        <f>IF(B439="","",IFERROR(SUMPRODUCT((LEN(Employees!$A$3:$A$500)&gt;0)*(Employees!$W$3:$W$500=1)*(COUNTIFS($B$3:$B$500,Employees!$A$3:$A$500,$H$3:$H$500,"Approved",$D$3:$D$500,"&lt;="&amp;E439,$E$3:$E$500,"&gt;="&amp;D439,$A$3:$A$500,"&lt;&gt;"&amp;A439)=0)),0))</f>
        <v/>
      </c>
      <c r="Q439">
        <f>IF(B439="","",IFERROR(SUMPRODUCT((LEN(Employees!$A$3:$A$500)&gt;0)*(Employees!$N$3:$N$500=1)*(COUNTIFS($B$3:$B$500,Employees!$A$3:$A$500,$H$3:$H$500,"Approved",$D$3:$D$500,"&lt;="&amp;E439,$E$3:$E$500,"&gt;="&amp;D439,$A$3:$A$500,"&lt;&gt;"&amp;A439)&gt;0)),0))</f>
        <v/>
      </c>
      <c r="R439">
        <f>IF(B439="","",IFERROR(SUMPRODUCT((LEN(Employees!$A$3:$A$500)&gt;0)*(Employees!$O$3:$O$500=1)*(COUNTIFS($B$3:$B$500,Employees!$A$3:$A$500,$H$3:$H$500,"Approved",$D$3:$D$500,"&lt;="&amp;E439,$E$3:$E$500,"&gt;="&amp;D439,$A$3:$A$500,"&lt;&gt;"&amp;A439)&gt;0)),0))</f>
        <v/>
      </c>
      <c r="S439">
        <f>IF(OR(B439="",IFERROR(XLOOKUP(B439,Employees!$A$3:$A$500,Employees!$G$3:$G$500,""),"")=""),"",IFERROR(SUMPRODUCT((LEN(Employees!$A$3:$A$500)&gt;0)*(Employees!$G$3:$G$500=IFERROR(XLOOKUP(B439,Employees!$A$3:$A$500,Employees!$G$3:$G$500,""),""))*(COUNTIFS($B$3:$B$500,Employees!$A$3:$A$500,$H$3:$H$500,"Approved",$D$3:$D$500,"&lt;="&amp;E439,$E$3:$E$500,"&gt;="&amp;D439,$A$3:$A$500,"&lt;&gt;"&amp;A439)&gt;0)),0))</f>
        <v/>
      </c>
    </row>
    <row r="440">
      <c r="C440">
        <f>IFERROR(XLOOKUP(B440,Employees!$A$3:$A$500,Employees!$B$3:$B$500,""),"")</f>
        <v/>
      </c>
      <c r="I440">
        <f>IF(AND(B440&lt;&gt;"",D440&lt;&gt;"",E440&lt;&gt;""),E440-D440+1,"")</f>
        <v/>
      </c>
      <c r="J440">
        <f>IF(OR(B440="",D440="",E440=""),"",IF(OR(L440&lt;'Coverage Rules'!E7,M440&lt;'Coverage Rules'!E8,N440&lt;'Coverage Rules'!C8,O440&lt;'Coverage Rules'!E9,P440&lt;'Coverage Rules'!E10,Q440&gt;='Coverage Rules'!B16,R440&gt;='Coverage Rules'!B17,IF(S440="",FALSE,S440&gt;='Coverage Rules'!D24)),"Denied","OK"))</f>
        <v/>
      </c>
      <c r="L440">
        <f>IF(B440="","",IFERROR(SUMPRODUCT((LEN(Employees!$A$3:$A$500)&gt;0)*(Employees!$T$3:$T$500=1)*(COUNTIFS($B$3:$B$500,Employees!$A$3:$A$500,$H$3:$H$500,"Approved",$D$3:$D$500,"&lt;="&amp;E440,$E$3:$E$500,"&gt;="&amp;D440,$A$3:$A$500,"&lt;&gt;"&amp;A440)=0)),0))</f>
        <v/>
      </c>
      <c r="M440">
        <f>IF(B440="","",IFERROR(SUMPRODUCT((LEN(Employees!$A$3:$A$500)&gt;0)*(Employees!$U$3:$U$500=1)*(COUNTIFS($B$3:$B$500,Employees!$A$3:$A$500,$H$3:$H$500,"Approved",$D$3:$D$500,"&lt;="&amp;E440,$E$3:$E$500,"&gt;="&amp;D440,$A$3:$A$500,"&lt;&gt;"&amp;A440)=0)),0))</f>
        <v/>
      </c>
      <c r="N440">
        <f>IF(B440="","",IFERROR(SUMPRODUCT((LEN(Employees!$A$3:$A$500)&gt;0)*(Employees!$B$3:$B$500="Manager")*(Employees!$U$3:$U$500=1)*(COUNTIFS($B$3:$B$500,Employees!$A$3:$A$500,$H$3:$H$500,"Approved",$D$3:$D$500,"&lt;="&amp;E440,$E$3:$E$500,"&gt;="&amp;D440,$A$3:$A$500,"&lt;&gt;"&amp;A440)=0)),0))</f>
        <v/>
      </c>
      <c r="O440">
        <f>IF(B440="","",IFERROR(SUMPRODUCT((LEN(Employees!$A$3:$A$500)&gt;0)*(Employees!$V$3:$V$500=1)*(COUNTIFS($B$3:$B$500,Employees!$A$3:$A$500,$H$3:$H$500,"Approved",$D$3:$D$500,"&lt;="&amp;E440,$E$3:$E$500,"&gt;="&amp;D440,$A$3:$A$500,"&lt;&gt;"&amp;A440)=0)),0))</f>
        <v/>
      </c>
      <c r="P440">
        <f>IF(B440="","",IFERROR(SUMPRODUCT((LEN(Employees!$A$3:$A$500)&gt;0)*(Employees!$W$3:$W$500=1)*(COUNTIFS($B$3:$B$500,Employees!$A$3:$A$500,$H$3:$H$500,"Approved",$D$3:$D$500,"&lt;="&amp;E440,$E$3:$E$500,"&gt;="&amp;D440,$A$3:$A$500,"&lt;&gt;"&amp;A440)=0)),0))</f>
        <v/>
      </c>
      <c r="Q440">
        <f>IF(B440="","",IFERROR(SUMPRODUCT((LEN(Employees!$A$3:$A$500)&gt;0)*(Employees!$N$3:$N$500=1)*(COUNTIFS($B$3:$B$500,Employees!$A$3:$A$500,$H$3:$H$500,"Approved",$D$3:$D$500,"&lt;="&amp;E440,$E$3:$E$500,"&gt;="&amp;D440,$A$3:$A$500,"&lt;&gt;"&amp;A440)&gt;0)),0))</f>
        <v/>
      </c>
      <c r="R440">
        <f>IF(B440="","",IFERROR(SUMPRODUCT((LEN(Employees!$A$3:$A$500)&gt;0)*(Employees!$O$3:$O$500=1)*(COUNTIFS($B$3:$B$500,Employees!$A$3:$A$500,$H$3:$H$500,"Approved",$D$3:$D$500,"&lt;="&amp;E440,$E$3:$E$500,"&gt;="&amp;D440,$A$3:$A$500,"&lt;&gt;"&amp;A440)&gt;0)),0))</f>
        <v/>
      </c>
      <c r="S440">
        <f>IF(OR(B440="",IFERROR(XLOOKUP(B440,Employees!$A$3:$A$500,Employees!$G$3:$G$500,""),"")=""),"",IFERROR(SUMPRODUCT((LEN(Employees!$A$3:$A$500)&gt;0)*(Employees!$G$3:$G$500=IFERROR(XLOOKUP(B440,Employees!$A$3:$A$500,Employees!$G$3:$G$500,""),""))*(COUNTIFS($B$3:$B$500,Employees!$A$3:$A$500,$H$3:$H$500,"Approved",$D$3:$D$500,"&lt;="&amp;E440,$E$3:$E$500,"&gt;="&amp;D440,$A$3:$A$500,"&lt;&gt;"&amp;A440)&gt;0)),0))</f>
        <v/>
      </c>
    </row>
    <row r="441">
      <c r="C441">
        <f>IFERROR(XLOOKUP(B441,Employees!$A$3:$A$500,Employees!$B$3:$B$500,""),"")</f>
        <v/>
      </c>
      <c r="I441">
        <f>IF(AND(B441&lt;&gt;"",D441&lt;&gt;"",E441&lt;&gt;""),E441-D441+1,"")</f>
        <v/>
      </c>
      <c r="J441">
        <f>IF(OR(B441="",D441="",E441=""),"",IF(OR(L441&lt;'Coverage Rules'!E7,M441&lt;'Coverage Rules'!E8,N441&lt;'Coverage Rules'!C8,O441&lt;'Coverage Rules'!E9,P441&lt;'Coverage Rules'!E10,Q441&gt;='Coverage Rules'!B16,R441&gt;='Coverage Rules'!B17,IF(S441="",FALSE,S441&gt;='Coverage Rules'!D24)),"Denied","OK"))</f>
        <v/>
      </c>
      <c r="L441">
        <f>IF(B441="","",IFERROR(SUMPRODUCT((LEN(Employees!$A$3:$A$500)&gt;0)*(Employees!$T$3:$T$500=1)*(COUNTIFS($B$3:$B$500,Employees!$A$3:$A$500,$H$3:$H$500,"Approved",$D$3:$D$500,"&lt;="&amp;E441,$E$3:$E$500,"&gt;="&amp;D441,$A$3:$A$500,"&lt;&gt;"&amp;A441)=0)),0))</f>
        <v/>
      </c>
      <c r="M441">
        <f>IF(B441="","",IFERROR(SUMPRODUCT((LEN(Employees!$A$3:$A$500)&gt;0)*(Employees!$U$3:$U$500=1)*(COUNTIFS($B$3:$B$500,Employees!$A$3:$A$500,$H$3:$H$500,"Approved",$D$3:$D$500,"&lt;="&amp;E441,$E$3:$E$500,"&gt;="&amp;D441,$A$3:$A$500,"&lt;&gt;"&amp;A441)=0)),0))</f>
        <v/>
      </c>
      <c r="N441">
        <f>IF(B441="","",IFERROR(SUMPRODUCT((LEN(Employees!$A$3:$A$500)&gt;0)*(Employees!$B$3:$B$500="Manager")*(Employees!$U$3:$U$500=1)*(COUNTIFS($B$3:$B$500,Employees!$A$3:$A$500,$H$3:$H$500,"Approved",$D$3:$D$500,"&lt;="&amp;E441,$E$3:$E$500,"&gt;="&amp;D441,$A$3:$A$500,"&lt;&gt;"&amp;A441)=0)),0))</f>
        <v/>
      </c>
      <c r="O441">
        <f>IF(B441="","",IFERROR(SUMPRODUCT((LEN(Employees!$A$3:$A$500)&gt;0)*(Employees!$V$3:$V$500=1)*(COUNTIFS($B$3:$B$500,Employees!$A$3:$A$500,$H$3:$H$500,"Approved",$D$3:$D$500,"&lt;="&amp;E441,$E$3:$E$500,"&gt;="&amp;D441,$A$3:$A$500,"&lt;&gt;"&amp;A441)=0)),0))</f>
        <v/>
      </c>
      <c r="P441">
        <f>IF(B441="","",IFERROR(SUMPRODUCT((LEN(Employees!$A$3:$A$500)&gt;0)*(Employees!$W$3:$W$500=1)*(COUNTIFS($B$3:$B$500,Employees!$A$3:$A$500,$H$3:$H$500,"Approved",$D$3:$D$500,"&lt;="&amp;E441,$E$3:$E$500,"&gt;="&amp;D441,$A$3:$A$500,"&lt;&gt;"&amp;A441)=0)),0))</f>
        <v/>
      </c>
      <c r="Q441">
        <f>IF(B441="","",IFERROR(SUMPRODUCT((LEN(Employees!$A$3:$A$500)&gt;0)*(Employees!$N$3:$N$500=1)*(COUNTIFS($B$3:$B$500,Employees!$A$3:$A$500,$H$3:$H$500,"Approved",$D$3:$D$500,"&lt;="&amp;E441,$E$3:$E$500,"&gt;="&amp;D441,$A$3:$A$500,"&lt;&gt;"&amp;A441)&gt;0)),0))</f>
        <v/>
      </c>
      <c r="R441">
        <f>IF(B441="","",IFERROR(SUMPRODUCT((LEN(Employees!$A$3:$A$500)&gt;0)*(Employees!$O$3:$O$500=1)*(COUNTIFS($B$3:$B$500,Employees!$A$3:$A$500,$H$3:$H$500,"Approved",$D$3:$D$500,"&lt;="&amp;E441,$E$3:$E$500,"&gt;="&amp;D441,$A$3:$A$500,"&lt;&gt;"&amp;A441)&gt;0)),0))</f>
        <v/>
      </c>
      <c r="S441">
        <f>IF(OR(B441="",IFERROR(XLOOKUP(B441,Employees!$A$3:$A$500,Employees!$G$3:$G$500,""),"")=""),"",IFERROR(SUMPRODUCT((LEN(Employees!$A$3:$A$500)&gt;0)*(Employees!$G$3:$G$500=IFERROR(XLOOKUP(B441,Employees!$A$3:$A$500,Employees!$G$3:$G$500,""),""))*(COUNTIFS($B$3:$B$500,Employees!$A$3:$A$500,$H$3:$H$500,"Approved",$D$3:$D$500,"&lt;="&amp;E441,$E$3:$E$500,"&gt;="&amp;D441,$A$3:$A$500,"&lt;&gt;"&amp;A441)&gt;0)),0))</f>
        <v/>
      </c>
    </row>
    <row r="442">
      <c r="C442">
        <f>IFERROR(XLOOKUP(B442,Employees!$A$3:$A$500,Employees!$B$3:$B$500,""),"")</f>
        <v/>
      </c>
      <c r="I442">
        <f>IF(AND(B442&lt;&gt;"",D442&lt;&gt;"",E442&lt;&gt;""),E442-D442+1,"")</f>
        <v/>
      </c>
      <c r="J442">
        <f>IF(OR(B442="",D442="",E442=""),"",IF(OR(L442&lt;'Coverage Rules'!E7,M442&lt;'Coverage Rules'!E8,N442&lt;'Coverage Rules'!C8,O442&lt;'Coverage Rules'!E9,P442&lt;'Coverage Rules'!E10,Q442&gt;='Coverage Rules'!B16,R442&gt;='Coverage Rules'!B17,IF(S442="",FALSE,S442&gt;='Coverage Rules'!D24)),"Denied","OK"))</f>
        <v/>
      </c>
      <c r="L442">
        <f>IF(B442="","",IFERROR(SUMPRODUCT((LEN(Employees!$A$3:$A$500)&gt;0)*(Employees!$T$3:$T$500=1)*(COUNTIFS($B$3:$B$500,Employees!$A$3:$A$500,$H$3:$H$500,"Approved",$D$3:$D$500,"&lt;="&amp;E442,$E$3:$E$500,"&gt;="&amp;D442,$A$3:$A$500,"&lt;&gt;"&amp;A442)=0)),0))</f>
        <v/>
      </c>
      <c r="M442">
        <f>IF(B442="","",IFERROR(SUMPRODUCT((LEN(Employees!$A$3:$A$500)&gt;0)*(Employees!$U$3:$U$500=1)*(COUNTIFS($B$3:$B$500,Employees!$A$3:$A$500,$H$3:$H$500,"Approved",$D$3:$D$500,"&lt;="&amp;E442,$E$3:$E$500,"&gt;="&amp;D442,$A$3:$A$500,"&lt;&gt;"&amp;A442)=0)),0))</f>
        <v/>
      </c>
      <c r="N442">
        <f>IF(B442="","",IFERROR(SUMPRODUCT((LEN(Employees!$A$3:$A$500)&gt;0)*(Employees!$B$3:$B$500="Manager")*(Employees!$U$3:$U$500=1)*(COUNTIFS($B$3:$B$500,Employees!$A$3:$A$500,$H$3:$H$500,"Approved",$D$3:$D$500,"&lt;="&amp;E442,$E$3:$E$500,"&gt;="&amp;D442,$A$3:$A$500,"&lt;&gt;"&amp;A442)=0)),0))</f>
        <v/>
      </c>
      <c r="O442">
        <f>IF(B442="","",IFERROR(SUMPRODUCT((LEN(Employees!$A$3:$A$500)&gt;0)*(Employees!$V$3:$V$500=1)*(COUNTIFS($B$3:$B$500,Employees!$A$3:$A$500,$H$3:$H$500,"Approved",$D$3:$D$500,"&lt;="&amp;E442,$E$3:$E$500,"&gt;="&amp;D442,$A$3:$A$500,"&lt;&gt;"&amp;A442)=0)),0))</f>
        <v/>
      </c>
      <c r="P442">
        <f>IF(B442="","",IFERROR(SUMPRODUCT((LEN(Employees!$A$3:$A$500)&gt;0)*(Employees!$W$3:$W$500=1)*(COUNTIFS($B$3:$B$500,Employees!$A$3:$A$500,$H$3:$H$500,"Approved",$D$3:$D$500,"&lt;="&amp;E442,$E$3:$E$500,"&gt;="&amp;D442,$A$3:$A$500,"&lt;&gt;"&amp;A442)=0)),0))</f>
        <v/>
      </c>
      <c r="Q442">
        <f>IF(B442="","",IFERROR(SUMPRODUCT((LEN(Employees!$A$3:$A$500)&gt;0)*(Employees!$N$3:$N$500=1)*(COUNTIFS($B$3:$B$500,Employees!$A$3:$A$500,$H$3:$H$500,"Approved",$D$3:$D$500,"&lt;="&amp;E442,$E$3:$E$500,"&gt;="&amp;D442,$A$3:$A$500,"&lt;&gt;"&amp;A442)&gt;0)),0))</f>
        <v/>
      </c>
      <c r="R442">
        <f>IF(B442="","",IFERROR(SUMPRODUCT((LEN(Employees!$A$3:$A$500)&gt;0)*(Employees!$O$3:$O$500=1)*(COUNTIFS($B$3:$B$500,Employees!$A$3:$A$500,$H$3:$H$500,"Approved",$D$3:$D$500,"&lt;="&amp;E442,$E$3:$E$500,"&gt;="&amp;D442,$A$3:$A$500,"&lt;&gt;"&amp;A442)&gt;0)),0))</f>
        <v/>
      </c>
      <c r="S442">
        <f>IF(OR(B442="",IFERROR(XLOOKUP(B442,Employees!$A$3:$A$500,Employees!$G$3:$G$500,""),"")=""),"",IFERROR(SUMPRODUCT((LEN(Employees!$A$3:$A$500)&gt;0)*(Employees!$G$3:$G$500=IFERROR(XLOOKUP(B442,Employees!$A$3:$A$500,Employees!$G$3:$G$500,""),""))*(COUNTIFS($B$3:$B$500,Employees!$A$3:$A$500,$H$3:$H$500,"Approved",$D$3:$D$500,"&lt;="&amp;E442,$E$3:$E$500,"&gt;="&amp;D442,$A$3:$A$500,"&lt;&gt;"&amp;A442)&gt;0)),0))</f>
        <v/>
      </c>
    </row>
    <row r="443">
      <c r="C443">
        <f>IFERROR(XLOOKUP(B443,Employees!$A$3:$A$500,Employees!$B$3:$B$500,""),"")</f>
        <v/>
      </c>
      <c r="I443">
        <f>IF(AND(B443&lt;&gt;"",D443&lt;&gt;"",E443&lt;&gt;""),E443-D443+1,"")</f>
        <v/>
      </c>
      <c r="J443">
        <f>IF(OR(B443="",D443="",E443=""),"",IF(OR(L443&lt;'Coverage Rules'!E7,M443&lt;'Coverage Rules'!E8,N443&lt;'Coverage Rules'!C8,O443&lt;'Coverage Rules'!E9,P443&lt;'Coverage Rules'!E10,Q443&gt;='Coverage Rules'!B16,R443&gt;='Coverage Rules'!B17,IF(S443="",FALSE,S443&gt;='Coverage Rules'!D24)),"Denied","OK"))</f>
        <v/>
      </c>
      <c r="L443">
        <f>IF(B443="","",IFERROR(SUMPRODUCT((LEN(Employees!$A$3:$A$500)&gt;0)*(Employees!$T$3:$T$500=1)*(COUNTIFS($B$3:$B$500,Employees!$A$3:$A$500,$H$3:$H$500,"Approved",$D$3:$D$500,"&lt;="&amp;E443,$E$3:$E$500,"&gt;="&amp;D443,$A$3:$A$500,"&lt;&gt;"&amp;A443)=0)),0))</f>
        <v/>
      </c>
      <c r="M443">
        <f>IF(B443="","",IFERROR(SUMPRODUCT((LEN(Employees!$A$3:$A$500)&gt;0)*(Employees!$U$3:$U$500=1)*(COUNTIFS($B$3:$B$500,Employees!$A$3:$A$500,$H$3:$H$500,"Approved",$D$3:$D$500,"&lt;="&amp;E443,$E$3:$E$500,"&gt;="&amp;D443,$A$3:$A$500,"&lt;&gt;"&amp;A443)=0)),0))</f>
        <v/>
      </c>
      <c r="N443">
        <f>IF(B443="","",IFERROR(SUMPRODUCT((LEN(Employees!$A$3:$A$500)&gt;0)*(Employees!$B$3:$B$500="Manager")*(Employees!$U$3:$U$500=1)*(COUNTIFS($B$3:$B$500,Employees!$A$3:$A$500,$H$3:$H$500,"Approved",$D$3:$D$500,"&lt;="&amp;E443,$E$3:$E$500,"&gt;="&amp;D443,$A$3:$A$500,"&lt;&gt;"&amp;A443)=0)),0))</f>
        <v/>
      </c>
      <c r="O443">
        <f>IF(B443="","",IFERROR(SUMPRODUCT((LEN(Employees!$A$3:$A$500)&gt;0)*(Employees!$V$3:$V$500=1)*(COUNTIFS($B$3:$B$500,Employees!$A$3:$A$500,$H$3:$H$500,"Approved",$D$3:$D$500,"&lt;="&amp;E443,$E$3:$E$500,"&gt;="&amp;D443,$A$3:$A$500,"&lt;&gt;"&amp;A443)=0)),0))</f>
        <v/>
      </c>
      <c r="P443">
        <f>IF(B443="","",IFERROR(SUMPRODUCT((LEN(Employees!$A$3:$A$500)&gt;0)*(Employees!$W$3:$W$500=1)*(COUNTIFS($B$3:$B$500,Employees!$A$3:$A$500,$H$3:$H$500,"Approved",$D$3:$D$500,"&lt;="&amp;E443,$E$3:$E$500,"&gt;="&amp;D443,$A$3:$A$500,"&lt;&gt;"&amp;A443)=0)),0))</f>
        <v/>
      </c>
      <c r="Q443">
        <f>IF(B443="","",IFERROR(SUMPRODUCT((LEN(Employees!$A$3:$A$500)&gt;0)*(Employees!$N$3:$N$500=1)*(COUNTIFS($B$3:$B$500,Employees!$A$3:$A$500,$H$3:$H$500,"Approved",$D$3:$D$500,"&lt;="&amp;E443,$E$3:$E$500,"&gt;="&amp;D443,$A$3:$A$500,"&lt;&gt;"&amp;A443)&gt;0)),0))</f>
        <v/>
      </c>
      <c r="R443">
        <f>IF(B443="","",IFERROR(SUMPRODUCT((LEN(Employees!$A$3:$A$500)&gt;0)*(Employees!$O$3:$O$500=1)*(COUNTIFS($B$3:$B$500,Employees!$A$3:$A$500,$H$3:$H$500,"Approved",$D$3:$D$500,"&lt;="&amp;E443,$E$3:$E$500,"&gt;="&amp;D443,$A$3:$A$500,"&lt;&gt;"&amp;A443)&gt;0)),0))</f>
        <v/>
      </c>
      <c r="S443">
        <f>IF(OR(B443="",IFERROR(XLOOKUP(B443,Employees!$A$3:$A$500,Employees!$G$3:$G$500,""),"")=""),"",IFERROR(SUMPRODUCT((LEN(Employees!$A$3:$A$500)&gt;0)*(Employees!$G$3:$G$500=IFERROR(XLOOKUP(B443,Employees!$A$3:$A$500,Employees!$G$3:$G$500,""),""))*(COUNTIFS($B$3:$B$500,Employees!$A$3:$A$500,$H$3:$H$500,"Approved",$D$3:$D$500,"&lt;="&amp;E443,$E$3:$E$500,"&gt;="&amp;D443,$A$3:$A$500,"&lt;&gt;"&amp;A443)&gt;0)),0))</f>
        <v/>
      </c>
    </row>
    <row r="444">
      <c r="C444">
        <f>IFERROR(XLOOKUP(B444,Employees!$A$3:$A$500,Employees!$B$3:$B$500,""),"")</f>
        <v/>
      </c>
      <c r="I444">
        <f>IF(AND(B444&lt;&gt;"",D444&lt;&gt;"",E444&lt;&gt;""),E444-D444+1,"")</f>
        <v/>
      </c>
      <c r="J444">
        <f>IF(OR(B444="",D444="",E444=""),"",IF(OR(L444&lt;'Coverage Rules'!E7,M444&lt;'Coverage Rules'!E8,N444&lt;'Coverage Rules'!C8,O444&lt;'Coverage Rules'!E9,P444&lt;'Coverage Rules'!E10,Q444&gt;='Coverage Rules'!B16,R444&gt;='Coverage Rules'!B17,IF(S444="",FALSE,S444&gt;='Coverage Rules'!D24)),"Denied","OK"))</f>
        <v/>
      </c>
      <c r="L444">
        <f>IF(B444="","",IFERROR(SUMPRODUCT((LEN(Employees!$A$3:$A$500)&gt;0)*(Employees!$T$3:$T$500=1)*(COUNTIFS($B$3:$B$500,Employees!$A$3:$A$500,$H$3:$H$500,"Approved",$D$3:$D$500,"&lt;="&amp;E444,$E$3:$E$500,"&gt;="&amp;D444,$A$3:$A$500,"&lt;&gt;"&amp;A444)=0)),0))</f>
        <v/>
      </c>
      <c r="M444">
        <f>IF(B444="","",IFERROR(SUMPRODUCT((LEN(Employees!$A$3:$A$500)&gt;0)*(Employees!$U$3:$U$500=1)*(COUNTIFS($B$3:$B$500,Employees!$A$3:$A$500,$H$3:$H$500,"Approved",$D$3:$D$500,"&lt;="&amp;E444,$E$3:$E$500,"&gt;="&amp;D444,$A$3:$A$500,"&lt;&gt;"&amp;A444)=0)),0))</f>
        <v/>
      </c>
      <c r="N444">
        <f>IF(B444="","",IFERROR(SUMPRODUCT((LEN(Employees!$A$3:$A$500)&gt;0)*(Employees!$B$3:$B$500="Manager")*(Employees!$U$3:$U$500=1)*(COUNTIFS($B$3:$B$500,Employees!$A$3:$A$500,$H$3:$H$500,"Approved",$D$3:$D$500,"&lt;="&amp;E444,$E$3:$E$500,"&gt;="&amp;D444,$A$3:$A$500,"&lt;&gt;"&amp;A444)=0)),0))</f>
        <v/>
      </c>
      <c r="O444">
        <f>IF(B444="","",IFERROR(SUMPRODUCT((LEN(Employees!$A$3:$A$500)&gt;0)*(Employees!$V$3:$V$500=1)*(COUNTIFS($B$3:$B$500,Employees!$A$3:$A$500,$H$3:$H$500,"Approved",$D$3:$D$500,"&lt;="&amp;E444,$E$3:$E$500,"&gt;="&amp;D444,$A$3:$A$500,"&lt;&gt;"&amp;A444)=0)),0))</f>
        <v/>
      </c>
      <c r="P444">
        <f>IF(B444="","",IFERROR(SUMPRODUCT((LEN(Employees!$A$3:$A$500)&gt;0)*(Employees!$W$3:$W$500=1)*(COUNTIFS($B$3:$B$500,Employees!$A$3:$A$500,$H$3:$H$500,"Approved",$D$3:$D$500,"&lt;="&amp;E444,$E$3:$E$500,"&gt;="&amp;D444,$A$3:$A$500,"&lt;&gt;"&amp;A444)=0)),0))</f>
        <v/>
      </c>
      <c r="Q444">
        <f>IF(B444="","",IFERROR(SUMPRODUCT((LEN(Employees!$A$3:$A$500)&gt;0)*(Employees!$N$3:$N$500=1)*(COUNTIFS($B$3:$B$500,Employees!$A$3:$A$500,$H$3:$H$500,"Approved",$D$3:$D$500,"&lt;="&amp;E444,$E$3:$E$500,"&gt;="&amp;D444,$A$3:$A$500,"&lt;&gt;"&amp;A444)&gt;0)),0))</f>
        <v/>
      </c>
      <c r="R444">
        <f>IF(B444="","",IFERROR(SUMPRODUCT((LEN(Employees!$A$3:$A$500)&gt;0)*(Employees!$O$3:$O$500=1)*(COUNTIFS($B$3:$B$500,Employees!$A$3:$A$500,$H$3:$H$500,"Approved",$D$3:$D$500,"&lt;="&amp;E444,$E$3:$E$500,"&gt;="&amp;D444,$A$3:$A$500,"&lt;&gt;"&amp;A444)&gt;0)),0))</f>
        <v/>
      </c>
      <c r="S444">
        <f>IF(OR(B444="",IFERROR(XLOOKUP(B444,Employees!$A$3:$A$500,Employees!$G$3:$G$500,""),"")=""),"",IFERROR(SUMPRODUCT((LEN(Employees!$A$3:$A$500)&gt;0)*(Employees!$G$3:$G$500=IFERROR(XLOOKUP(B444,Employees!$A$3:$A$500,Employees!$G$3:$G$500,""),""))*(COUNTIFS($B$3:$B$500,Employees!$A$3:$A$500,$H$3:$H$500,"Approved",$D$3:$D$500,"&lt;="&amp;E444,$E$3:$E$500,"&gt;="&amp;D444,$A$3:$A$500,"&lt;&gt;"&amp;A444)&gt;0)),0))</f>
        <v/>
      </c>
    </row>
    <row r="445">
      <c r="C445">
        <f>IFERROR(XLOOKUP(B445,Employees!$A$3:$A$500,Employees!$B$3:$B$500,""),"")</f>
        <v/>
      </c>
      <c r="I445">
        <f>IF(AND(B445&lt;&gt;"",D445&lt;&gt;"",E445&lt;&gt;""),E445-D445+1,"")</f>
        <v/>
      </c>
      <c r="J445">
        <f>IF(OR(B445="",D445="",E445=""),"",IF(OR(L445&lt;'Coverage Rules'!E7,M445&lt;'Coverage Rules'!E8,N445&lt;'Coverage Rules'!C8,O445&lt;'Coverage Rules'!E9,P445&lt;'Coverage Rules'!E10,Q445&gt;='Coverage Rules'!B16,R445&gt;='Coverage Rules'!B17,IF(S445="",FALSE,S445&gt;='Coverage Rules'!D24)),"Denied","OK"))</f>
        <v/>
      </c>
      <c r="L445">
        <f>IF(B445="","",IFERROR(SUMPRODUCT((LEN(Employees!$A$3:$A$500)&gt;0)*(Employees!$T$3:$T$500=1)*(COUNTIFS($B$3:$B$500,Employees!$A$3:$A$500,$H$3:$H$500,"Approved",$D$3:$D$500,"&lt;="&amp;E445,$E$3:$E$500,"&gt;="&amp;D445,$A$3:$A$500,"&lt;&gt;"&amp;A445)=0)),0))</f>
        <v/>
      </c>
      <c r="M445">
        <f>IF(B445="","",IFERROR(SUMPRODUCT((LEN(Employees!$A$3:$A$500)&gt;0)*(Employees!$U$3:$U$500=1)*(COUNTIFS($B$3:$B$500,Employees!$A$3:$A$500,$H$3:$H$500,"Approved",$D$3:$D$500,"&lt;="&amp;E445,$E$3:$E$500,"&gt;="&amp;D445,$A$3:$A$500,"&lt;&gt;"&amp;A445)=0)),0))</f>
        <v/>
      </c>
      <c r="N445">
        <f>IF(B445="","",IFERROR(SUMPRODUCT((LEN(Employees!$A$3:$A$500)&gt;0)*(Employees!$B$3:$B$500="Manager")*(Employees!$U$3:$U$500=1)*(COUNTIFS($B$3:$B$500,Employees!$A$3:$A$500,$H$3:$H$500,"Approved",$D$3:$D$500,"&lt;="&amp;E445,$E$3:$E$500,"&gt;="&amp;D445,$A$3:$A$500,"&lt;&gt;"&amp;A445)=0)),0))</f>
        <v/>
      </c>
      <c r="O445">
        <f>IF(B445="","",IFERROR(SUMPRODUCT((LEN(Employees!$A$3:$A$500)&gt;0)*(Employees!$V$3:$V$500=1)*(COUNTIFS($B$3:$B$500,Employees!$A$3:$A$500,$H$3:$H$500,"Approved",$D$3:$D$500,"&lt;="&amp;E445,$E$3:$E$500,"&gt;="&amp;D445,$A$3:$A$500,"&lt;&gt;"&amp;A445)=0)),0))</f>
        <v/>
      </c>
      <c r="P445">
        <f>IF(B445="","",IFERROR(SUMPRODUCT((LEN(Employees!$A$3:$A$500)&gt;0)*(Employees!$W$3:$W$500=1)*(COUNTIFS($B$3:$B$500,Employees!$A$3:$A$500,$H$3:$H$500,"Approved",$D$3:$D$500,"&lt;="&amp;E445,$E$3:$E$500,"&gt;="&amp;D445,$A$3:$A$500,"&lt;&gt;"&amp;A445)=0)),0))</f>
        <v/>
      </c>
      <c r="Q445">
        <f>IF(B445="","",IFERROR(SUMPRODUCT((LEN(Employees!$A$3:$A$500)&gt;0)*(Employees!$N$3:$N$500=1)*(COUNTIFS($B$3:$B$500,Employees!$A$3:$A$500,$H$3:$H$500,"Approved",$D$3:$D$500,"&lt;="&amp;E445,$E$3:$E$500,"&gt;="&amp;D445,$A$3:$A$500,"&lt;&gt;"&amp;A445)&gt;0)),0))</f>
        <v/>
      </c>
      <c r="R445">
        <f>IF(B445="","",IFERROR(SUMPRODUCT((LEN(Employees!$A$3:$A$500)&gt;0)*(Employees!$O$3:$O$500=1)*(COUNTIFS($B$3:$B$500,Employees!$A$3:$A$500,$H$3:$H$500,"Approved",$D$3:$D$500,"&lt;="&amp;E445,$E$3:$E$500,"&gt;="&amp;D445,$A$3:$A$500,"&lt;&gt;"&amp;A445)&gt;0)),0))</f>
        <v/>
      </c>
      <c r="S445">
        <f>IF(OR(B445="",IFERROR(XLOOKUP(B445,Employees!$A$3:$A$500,Employees!$G$3:$G$500,""),"")=""),"",IFERROR(SUMPRODUCT((LEN(Employees!$A$3:$A$500)&gt;0)*(Employees!$G$3:$G$500=IFERROR(XLOOKUP(B445,Employees!$A$3:$A$500,Employees!$G$3:$G$500,""),""))*(COUNTIFS($B$3:$B$500,Employees!$A$3:$A$500,$H$3:$H$500,"Approved",$D$3:$D$500,"&lt;="&amp;E445,$E$3:$E$500,"&gt;="&amp;D445,$A$3:$A$500,"&lt;&gt;"&amp;A445)&gt;0)),0))</f>
        <v/>
      </c>
    </row>
    <row r="446">
      <c r="C446">
        <f>IFERROR(XLOOKUP(B446,Employees!$A$3:$A$500,Employees!$B$3:$B$500,""),"")</f>
        <v/>
      </c>
      <c r="I446">
        <f>IF(AND(B446&lt;&gt;"",D446&lt;&gt;"",E446&lt;&gt;""),E446-D446+1,"")</f>
        <v/>
      </c>
      <c r="J446">
        <f>IF(OR(B446="",D446="",E446=""),"",IF(OR(L446&lt;'Coverage Rules'!E7,M446&lt;'Coverage Rules'!E8,N446&lt;'Coverage Rules'!C8,O446&lt;'Coverage Rules'!E9,P446&lt;'Coverage Rules'!E10,Q446&gt;='Coverage Rules'!B16,R446&gt;='Coverage Rules'!B17,IF(S446="",FALSE,S446&gt;='Coverage Rules'!D24)),"Denied","OK"))</f>
        <v/>
      </c>
      <c r="L446">
        <f>IF(B446="","",IFERROR(SUMPRODUCT((LEN(Employees!$A$3:$A$500)&gt;0)*(Employees!$T$3:$T$500=1)*(COUNTIFS($B$3:$B$500,Employees!$A$3:$A$500,$H$3:$H$500,"Approved",$D$3:$D$500,"&lt;="&amp;E446,$E$3:$E$500,"&gt;="&amp;D446,$A$3:$A$500,"&lt;&gt;"&amp;A446)=0)),0))</f>
        <v/>
      </c>
      <c r="M446">
        <f>IF(B446="","",IFERROR(SUMPRODUCT((LEN(Employees!$A$3:$A$500)&gt;0)*(Employees!$U$3:$U$500=1)*(COUNTIFS($B$3:$B$500,Employees!$A$3:$A$500,$H$3:$H$500,"Approved",$D$3:$D$500,"&lt;="&amp;E446,$E$3:$E$500,"&gt;="&amp;D446,$A$3:$A$500,"&lt;&gt;"&amp;A446)=0)),0))</f>
        <v/>
      </c>
      <c r="N446">
        <f>IF(B446="","",IFERROR(SUMPRODUCT((LEN(Employees!$A$3:$A$500)&gt;0)*(Employees!$B$3:$B$500="Manager")*(Employees!$U$3:$U$500=1)*(COUNTIFS($B$3:$B$500,Employees!$A$3:$A$500,$H$3:$H$500,"Approved",$D$3:$D$500,"&lt;="&amp;E446,$E$3:$E$500,"&gt;="&amp;D446,$A$3:$A$500,"&lt;&gt;"&amp;A446)=0)),0))</f>
        <v/>
      </c>
      <c r="O446">
        <f>IF(B446="","",IFERROR(SUMPRODUCT((LEN(Employees!$A$3:$A$500)&gt;0)*(Employees!$V$3:$V$500=1)*(COUNTIFS($B$3:$B$500,Employees!$A$3:$A$500,$H$3:$H$500,"Approved",$D$3:$D$500,"&lt;="&amp;E446,$E$3:$E$500,"&gt;="&amp;D446,$A$3:$A$500,"&lt;&gt;"&amp;A446)=0)),0))</f>
        <v/>
      </c>
      <c r="P446">
        <f>IF(B446="","",IFERROR(SUMPRODUCT((LEN(Employees!$A$3:$A$500)&gt;0)*(Employees!$W$3:$W$500=1)*(COUNTIFS($B$3:$B$500,Employees!$A$3:$A$500,$H$3:$H$500,"Approved",$D$3:$D$500,"&lt;="&amp;E446,$E$3:$E$500,"&gt;="&amp;D446,$A$3:$A$500,"&lt;&gt;"&amp;A446)=0)),0))</f>
        <v/>
      </c>
      <c r="Q446">
        <f>IF(B446="","",IFERROR(SUMPRODUCT((LEN(Employees!$A$3:$A$500)&gt;0)*(Employees!$N$3:$N$500=1)*(COUNTIFS($B$3:$B$500,Employees!$A$3:$A$500,$H$3:$H$500,"Approved",$D$3:$D$500,"&lt;="&amp;E446,$E$3:$E$500,"&gt;="&amp;D446,$A$3:$A$500,"&lt;&gt;"&amp;A446)&gt;0)),0))</f>
        <v/>
      </c>
      <c r="R446">
        <f>IF(B446="","",IFERROR(SUMPRODUCT((LEN(Employees!$A$3:$A$500)&gt;0)*(Employees!$O$3:$O$500=1)*(COUNTIFS($B$3:$B$500,Employees!$A$3:$A$500,$H$3:$H$500,"Approved",$D$3:$D$500,"&lt;="&amp;E446,$E$3:$E$500,"&gt;="&amp;D446,$A$3:$A$500,"&lt;&gt;"&amp;A446)&gt;0)),0))</f>
        <v/>
      </c>
      <c r="S446">
        <f>IF(OR(B446="",IFERROR(XLOOKUP(B446,Employees!$A$3:$A$500,Employees!$G$3:$G$500,""),"")=""),"",IFERROR(SUMPRODUCT((LEN(Employees!$A$3:$A$500)&gt;0)*(Employees!$G$3:$G$500=IFERROR(XLOOKUP(B446,Employees!$A$3:$A$500,Employees!$G$3:$G$500,""),""))*(COUNTIFS($B$3:$B$500,Employees!$A$3:$A$500,$H$3:$H$500,"Approved",$D$3:$D$500,"&lt;="&amp;E446,$E$3:$E$500,"&gt;="&amp;D446,$A$3:$A$500,"&lt;&gt;"&amp;A446)&gt;0)),0))</f>
        <v/>
      </c>
    </row>
    <row r="447">
      <c r="C447">
        <f>IFERROR(XLOOKUP(B447,Employees!$A$3:$A$500,Employees!$B$3:$B$500,""),"")</f>
        <v/>
      </c>
      <c r="I447">
        <f>IF(AND(B447&lt;&gt;"",D447&lt;&gt;"",E447&lt;&gt;""),E447-D447+1,"")</f>
        <v/>
      </c>
      <c r="J447">
        <f>IF(OR(B447="",D447="",E447=""),"",IF(OR(L447&lt;'Coverage Rules'!E7,M447&lt;'Coverage Rules'!E8,N447&lt;'Coverage Rules'!C8,O447&lt;'Coverage Rules'!E9,P447&lt;'Coverage Rules'!E10,Q447&gt;='Coverage Rules'!B16,R447&gt;='Coverage Rules'!B17,IF(S447="",FALSE,S447&gt;='Coverage Rules'!D24)),"Denied","OK"))</f>
        <v/>
      </c>
      <c r="L447">
        <f>IF(B447="","",IFERROR(SUMPRODUCT((LEN(Employees!$A$3:$A$500)&gt;0)*(Employees!$T$3:$T$500=1)*(COUNTIFS($B$3:$B$500,Employees!$A$3:$A$500,$H$3:$H$500,"Approved",$D$3:$D$500,"&lt;="&amp;E447,$E$3:$E$500,"&gt;="&amp;D447,$A$3:$A$500,"&lt;&gt;"&amp;A447)=0)),0))</f>
        <v/>
      </c>
      <c r="M447">
        <f>IF(B447="","",IFERROR(SUMPRODUCT((LEN(Employees!$A$3:$A$500)&gt;0)*(Employees!$U$3:$U$500=1)*(COUNTIFS($B$3:$B$500,Employees!$A$3:$A$500,$H$3:$H$500,"Approved",$D$3:$D$500,"&lt;="&amp;E447,$E$3:$E$500,"&gt;="&amp;D447,$A$3:$A$500,"&lt;&gt;"&amp;A447)=0)),0))</f>
        <v/>
      </c>
      <c r="N447">
        <f>IF(B447="","",IFERROR(SUMPRODUCT((LEN(Employees!$A$3:$A$500)&gt;0)*(Employees!$B$3:$B$500="Manager")*(Employees!$U$3:$U$500=1)*(COUNTIFS($B$3:$B$500,Employees!$A$3:$A$500,$H$3:$H$500,"Approved",$D$3:$D$500,"&lt;="&amp;E447,$E$3:$E$500,"&gt;="&amp;D447,$A$3:$A$500,"&lt;&gt;"&amp;A447)=0)),0))</f>
        <v/>
      </c>
      <c r="O447">
        <f>IF(B447="","",IFERROR(SUMPRODUCT((LEN(Employees!$A$3:$A$500)&gt;0)*(Employees!$V$3:$V$500=1)*(COUNTIFS($B$3:$B$500,Employees!$A$3:$A$500,$H$3:$H$500,"Approved",$D$3:$D$500,"&lt;="&amp;E447,$E$3:$E$500,"&gt;="&amp;D447,$A$3:$A$500,"&lt;&gt;"&amp;A447)=0)),0))</f>
        <v/>
      </c>
      <c r="P447">
        <f>IF(B447="","",IFERROR(SUMPRODUCT((LEN(Employees!$A$3:$A$500)&gt;0)*(Employees!$W$3:$W$500=1)*(COUNTIFS($B$3:$B$500,Employees!$A$3:$A$500,$H$3:$H$500,"Approved",$D$3:$D$500,"&lt;="&amp;E447,$E$3:$E$500,"&gt;="&amp;D447,$A$3:$A$500,"&lt;&gt;"&amp;A447)=0)),0))</f>
        <v/>
      </c>
      <c r="Q447">
        <f>IF(B447="","",IFERROR(SUMPRODUCT((LEN(Employees!$A$3:$A$500)&gt;0)*(Employees!$N$3:$N$500=1)*(COUNTIFS($B$3:$B$500,Employees!$A$3:$A$500,$H$3:$H$500,"Approved",$D$3:$D$500,"&lt;="&amp;E447,$E$3:$E$500,"&gt;="&amp;D447,$A$3:$A$500,"&lt;&gt;"&amp;A447)&gt;0)),0))</f>
        <v/>
      </c>
      <c r="R447">
        <f>IF(B447="","",IFERROR(SUMPRODUCT((LEN(Employees!$A$3:$A$500)&gt;0)*(Employees!$O$3:$O$500=1)*(COUNTIFS($B$3:$B$500,Employees!$A$3:$A$500,$H$3:$H$500,"Approved",$D$3:$D$500,"&lt;="&amp;E447,$E$3:$E$500,"&gt;="&amp;D447,$A$3:$A$500,"&lt;&gt;"&amp;A447)&gt;0)),0))</f>
        <v/>
      </c>
      <c r="S447">
        <f>IF(OR(B447="",IFERROR(XLOOKUP(B447,Employees!$A$3:$A$500,Employees!$G$3:$G$500,""),"")=""),"",IFERROR(SUMPRODUCT((LEN(Employees!$A$3:$A$500)&gt;0)*(Employees!$G$3:$G$500=IFERROR(XLOOKUP(B447,Employees!$A$3:$A$500,Employees!$G$3:$G$500,""),""))*(COUNTIFS($B$3:$B$500,Employees!$A$3:$A$500,$H$3:$H$500,"Approved",$D$3:$D$500,"&lt;="&amp;E447,$E$3:$E$500,"&gt;="&amp;D447,$A$3:$A$500,"&lt;&gt;"&amp;A447)&gt;0)),0))</f>
        <v/>
      </c>
    </row>
    <row r="448">
      <c r="C448">
        <f>IFERROR(XLOOKUP(B448,Employees!$A$3:$A$500,Employees!$B$3:$B$500,""),"")</f>
        <v/>
      </c>
      <c r="I448">
        <f>IF(AND(B448&lt;&gt;"",D448&lt;&gt;"",E448&lt;&gt;""),E448-D448+1,"")</f>
        <v/>
      </c>
      <c r="J448">
        <f>IF(OR(B448="",D448="",E448=""),"",IF(OR(L448&lt;'Coverage Rules'!E7,M448&lt;'Coverage Rules'!E8,N448&lt;'Coverage Rules'!C8,O448&lt;'Coverage Rules'!E9,P448&lt;'Coverage Rules'!E10,Q448&gt;='Coverage Rules'!B16,R448&gt;='Coverage Rules'!B17,IF(S448="",FALSE,S448&gt;='Coverage Rules'!D24)),"Denied","OK"))</f>
        <v/>
      </c>
      <c r="L448">
        <f>IF(B448="","",IFERROR(SUMPRODUCT((LEN(Employees!$A$3:$A$500)&gt;0)*(Employees!$T$3:$T$500=1)*(COUNTIFS($B$3:$B$500,Employees!$A$3:$A$500,$H$3:$H$500,"Approved",$D$3:$D$500,"&lt;="&amp;E448,$E$3:$E$500,"&gt;="&amp;D448,$A$3:$A$500,"&lt;&gt;"&amp;A448)=0)),0))</f>
        <v/>
      </c>
      <c r="M448">
        <f>IF(B448="","",IFERROR(SUMPRODUCT((LEN(Employees!$A$3:$A$500)&gt;0)*(Employees!$U$3:$U$500=1)*(COUNTIFS($B$3:$B$500,Employees!$A$3:$A$500,$H$3:$H$500,"Approved",$D$3:$D$500,"&lt;="&amp;E448,$E$3:$E$500,"&gt;="&amp;D448,$A$3:$A$500,"&lt;&gt;"&amp;A448)=0)),0))</f>
        <v/>
      </c>
      <c r="N448">
        <f>IF(B448="","",IFERROR(SUMPRODUCT((LEN(Employees!$A$3:$A$500)&gt;0)*(Employees!$B$3:$B$500="Manager")*(Employees!$U$3:$U$500=1)*(COUNTIFS($B$3:$B$500,Employees!$A$3:$A$500,$H$3:$H$500,"Approved",$D$3:$D$500,"&lt;="&amp;E448,$E$3:$E$500,"&gt;="&amp;D448,$A$3:$A$500,"&lt;&gt;"&amp;A448)=0)),0))</f>
        <v/>
      </c>
      <c r="O448">
        <f>IF(B448="","",IFERROR(SUMPRODUCT((LEN(Employees!$A$3:$A$500)&gt;0)*(Employees!$V$3:$V$500=1)*(COUNTIFS($B$3:$B$500,Employees!$A$3:$A$500,$H$3:$H$500,"Approved",$D$3:$D$500,"&lt;="&amp;E448,$E$3:$E$500,"&gt;="&amp;D448,$A$3:$A$500,"&lt;&gt;"&amp;A448)=0)),0))</f>
        <v/>
      </c>
      <c r="P448">
        <f>IF(B448="","",IFERROR(SUMPRODUCT((LEN(Employees!$A$3:$A$500)&gt;0)*(Employees!$W$3:$W$500=1)*(COUNTIFS($B$3:$B$500,Employees!$A$3:$A$500,$H$3:$H$500,"Approved",$D$3:$D$500,"&lt;="&amp;E448,$E$3:$E$500,"&gt;="&amp;D448,$A$3:$A$500,"&lt;&gt;"&amp;A448)=0)),0))</f>
        <v/>
      </c>
      <c r="Q448">
        <f>IF(B448="","",IFERROR(SUMPRODUCT((LEN(Employees!$A$3:$A$500)&gt;0)*(Employees!$N$3:$N$500=1)*(COUNTIFS($B$3:$B$500,Employees!$A$3:$A$500,$H$3:$H$500,"Approved",$D$3:$D$500,"&lt;="&amp;E448,$E$3:$E$500,"&gt;="&amp;D448,$A$3:$A$500,"&lt;&gt;"&amp;A448)&gt;0)),0))</f>
        <v/>
      </c>
      <c r="R448">
        <f>IF(B448="","",IFERROR(SUMPRODUCT((LEN(Employees!$A$3:$A$500)&gt;0)*(Employees!$O$3:$O$500=1)*(COUNTIFS($B$3:$B$500,Employees!$A$3:$A$500,$H$3:$H$500,"Approved",$D$3:$D$500,"&lt;="&amp;E448,$E$3:$E$500,"&gt;="&amp;D448,$A$3:$A$500,"&lt;&gt;"&amp;A448)&gt;0)),0))</f>
        <v/>
      </c>
      <c r="S448">
        <f>IF(OR(B448="",IFERROR(XLOOKUP(B448,Employees!$A$3:$A$500,Employees!$G$3:$G$500,""),"")=""),"",IFERROR(SUMPRODUCT((LEN(Employees!$A$3:$A$500)&gt;0)*(Employees!$G$3:$G$500=IFERROR(XLOOKUP(B448,Employees!$A$3:$A$500,Employees!$G$3:$G$500,""),""))*(COUNTIFS($B$3:$B$500,Employees!$A$3:$A$500,$H$3:$H$500,"Approved",$D$3:$D$500,"&lt;="&amp;E448,$E$3:$E$500,"&gt;="&amp;D448,$A$3:$A$500,"&lt;&gt;"&amp;A448)&gt;0)),0))</f>
        <v/>
      </c>
    </row>
    <row r="449">
      <c r="C449">
        <f>IFERROR(XLOOKUP(B449,Employees!$A$3:$A$500,Employees!$B$3:$B$500,""),"")</f>
        <v/>
      </c>
      <c r="I449">
        <f>IF(AND(B449&lt;&gt;"",D449&lt;&gt;"",E449&lt;&gt;""),E449-D449+1,"")</f>
        <v/>
      </c>
      <c r="J449">
        <f>IF(OR(B449="",D449="",E449=""),"",IF(OR(L449&lt;'Coverage Rules'!E7,M449&lt;'Coverage Rules'!E8,N449&lt;'Coverage Rules'!C8,O449&lt;'Coverage Rules'!E9,P449&lt;'Coverage Rules'!E10,Q449&gt;='Coverage Rules'!B16,R449&gt;='Coverage Rules'!B17,IF(S449="",FALSE,S449&gt;='Coverage Rules'!D24)),"Denied","OK"))</f>
        <v/>
      </c>
      <c r="L449">
        <f>IF(B449="","",IFERROR(SUMPRODUCT((LEN(Employees!$A$3:$A$500)&gt;0)*(Employees!$T$3:$T$500=1)*(COUNTIFS($B$3:$B$500,Employees!$A$3:$A$500,$H$3:$H$500,"Approved",$D$3:$D$500,"&lt;="&amp;E449,$E$3:$E$500,"&gt;="&amp;D449,$A$3:$A$500,"&lt;&gt;"&amp;A449)=0)),0))</f>
        <v/>
      </c>
      <c r="M449">
        <f>IF(B449="","",IFERROR(SUMPRODUCT((LEN(Employees!$A$3:$A$500)&gt;0)*(Employees!$U$3:$U$500=1)*(COUNTIFS($B$3:$B$500,Employees!$A$3:$A$500,$H$3:$H$500,"Approved",$D$3:$D$500,"&lt;="&amp;E449,$E$3:$E$500,"&gt;="&amp;D449,$A$3:$A$500,"&lt;&gt;"&amp;A449)=0)),0))</f>
        <v/>
      </c>
      <c r="N449">
        <f>IF(B449="","",IFERROR(SUMPRODUCT((LEN(Employees!$A$3:$A$500)&gt;0)*(Employees!$B$3:$B$500="Manager")*(Employees!$U$3:$U$500=1)*(COUNTIFS($B$3:$B$500,Employees!$A$3:$A$500,$H$3:$H$500,"Approved",$D$3:$D$500,"&lt;="&amp;E449,$E$3:$E$500,"&gt;="&amp;D449,$A$3:$A$500,"&lt;&gt;"&amp;A449)=0)),0))</f>
        <v/>
      </c>
      <c r="O449">
        <f>IF(B449="","",IFERROR(SUMPRODUCT((LEN(Employees!$A$3:$A$500)&gt;0)*(Employees!$V$3:$V$500=1)*(COUNTIFS($B$3:$B$500,Employees!$A$3:$A$500,$H$3:$H$500,"Approved",$D$3:$D$500,"&lt;="&amp;E449,$E$3:$E$500,"&gt;="&amp;D449,$A$3:$A$500,"&lt;&gt;"&amp;A449)=0)),0))</f>
        <v/>
      </c>
      <c r="P449">
        <f>IF(B449="","",IFERROR(SUMPRODUCT((LEN(Employees!$A$3:$A$500)&gt;0)*(Employees!$W$3:$W$500=1)*(COUNTIFS($B$3:$B$500,Employees!$A$3:$A$500,$H$3:$H$500,"Approved",$D$3:$D$500,"&lt;="&amp;E449,$E$3:$E$500,"&gt;="&amp;D449,$A$3:$A$500,"&lt;&gt;"&amp;A449)=0)),0))</f>
        <v/>
      </c>
      <c r="Q449">
        <f>IF(B449="","",IFERROR(SUMPRODUCT((LEN(Employees!$A$3:$A$500)&gt;0)*(Employees!$N$3:$N$500=1)*(COUNTIFS($B$3:$B$500,Employees!$A$3:$A$500,$H$3:$H$500,"Approved",$D$3:$D$500,"&lt;="&amp;E449,$E$3:$E$500,"&gt;="&amp;D449,$A$3:$A$500,"&lt;&gt;"&amp;A449)&gt;0)),0))</f>
        <v/>
      </c>
      <c r="R449">
        <f>IF(B449="","",IFERROR(SUMPRODUCT((LEN(Employees!$A$3:$A$500)&gt;0)*(Employees!$O$3:$O$500=1)*(COUNTIFS($B$3:$B$500,Employees!$A$3:$A$500,$H$3:$H$500,"Approved",$D$3:$D$500,"&lt;="&amp;E449,$E$3:$E$500,"&gt;="&amp;D449,$A$3:$A$500,"&lt;&gt;"&amp;A449)&gt;0)),0))</f>
        <v/>
      </c>
      <c r="S449">
        <f>IF(OR(B449="",IFERROR(XLOOKUP(B449,Employees!$A$3:$A$500,Employees!$G$3:$G$500,""),"")=""),"",IFERROR(SUMPRODUCT((LEN(Employees!$A$3:$A$500)&gt;0)*(Employees!$G$3:$G$500=IFERROR(XLOOKUP(B449,Employees!$A$3:$A$500,Employees!$G$3:$G$500,""),""))*(COUNTIFS($B$3:$B$500,Employees!$A$3:$A$500,$H$3:$H$500,"Approved",$D$3:$D$500,"&lt;="&amp;E449,$E$3:$E$500,"&gt;="&amp;D449,$A$3:$A$500,"&lt;&gt;"&amp;A449)&gt;0)),0))</f>
        <v/>
      </c>
    </row>
    <row r="450">
      <c r="C450">
        <f>IFERROR(XLOOKUP(B450,Employees!$A$3:$A$500,Employees!$B$3:$B$500,""),"")</f>
        <v/>
      </c>
      <c r="I450">
        <f>IF(AND(B450&lt;&gt;"",D450&lt;&gt;"",E450&lt;&gt;""),E450-D450+1,"")</f>
        <v/>
      </c>
      <c r="J450">
        <f>IF(OR(B450="",D450="",E450=""),"",IF(OR(L450&lt;'Coverage Rules'!E7,M450&lt;'Coverage Rules'!E8,N450&lt;'Coverage Rules'!C8,O450&lt;'Coverage Rules'!E9,P450&lt;'Coverage Rules'!E10,Q450&gt;='Coverage Rules'!B16,R450&gt;='Coverage Rules'!B17,IF(S450="",FALSE,S450&gt;='Coverage Rules'!D24)),"Denied","OK"))</f>
        <v/>
      </c>
      <c r="L450">
        <f>IF(B450="","",IFERROR(SUMPRODUCT((LEN(Employees!$A$3:$A$500)&gt;0)*(Employees!$T$3:$T$500=1)*(COUNTIFS($B$3:$B$500,Employees!$A$3:$A$500,$H$3:$H$500,"Approved",$D$3:$D$500,"&lt;="&amp;E450,$E$3:$E$500,"&gt;="&amp;D450,$A$3:$A$500,"&lt;&gt;"&amp;A450)=0)),0))</f>
        <v/>
      </c>
      <c r="M450">
        <f>IF(B450="","",IFERROR(SUMPRODUCT((LEN(Employees!$A$3:$A$500)&gt;0)*(Employees!$U$3:$U$500=1)*(COUNTIFS($B$3:$B$500,Employees!$A$3:$A$500,$H$3:$H$500,"Approved",$D$3:$D$500,"&lt;="&amp;E450,$E$3:$E$500,"&gt;="&amp;D450,$A$3:$A$500,"&lt;&gt;"&amp;A450)=0)),0))</f>
        <v/>
      </c>
      <c r="N450">
        <f>IF(B450="","",IFERROR(SUMPRODUCT((LEN(Employees!$A$3:$A$500)&gt;0)*(Employees!$B$3:$B$500="Manager")*(Employees!$U$3:$U$500=1)*(COUNTIFS($B$3:$B$500,Employees!$A$3:$A$500,$H$3:$H$500,"Approved",$D$3:$D$500,"&lt;="&amp;E450,$E$3:$E$500,"&gt;="&amp;D450,$A$3:$A$500,"&lt;&gt;"&amp;A450)=0)),0))</f>
        <v/>
      </c>
      <c r="O450">
        <f>IF(B450="","",IFERROR(SUMPRODUCT((LEN(Employees!$A$3:$A$500)&gt;0)*(Employees!$V$3:$V$500=1)*(COUNTIFS($B$3:$B$500,Employees!$A$3:$A$500,$H$3:$H$500,"Approved",$D$3:$D$500,"&lt;="&amp;E450,$E$3:$E$500,"&gt;="&amp;D450,$A$3:$A$500,"&lt;&gt;"&amp;A450)=0)),0))</f>
        <v/>
      </c>
      <c r="P450">
        <f>IF(B450="","",IFERROR(SUMPRODUCT((LEN(Employees!$A$3:$A$500)&gt;0)*(Employees!$W$3:$W$500=1)*(COUNTIFS($B$3:$B$500,Employees!$A$3:$A$500,$H$3:$H$500,"Approved",$D$3:$D$500,"&lt;="&amp;E450,$E$3:$E$500,"&gt;="&amp;D450,$A$3:$A$500,"&lt;&gt;"&amp;A450)=0)),0))</f>
        <v/>
      </c>
      <c r="Q450">
        <f>IF(B450="","",IFERROR(SUMPRODUCT((LEN(Employees!$A$3:$A$500)&gt;0)*(Employees!$N$3:$N$500=1)*(COUNTIFS($B$3:$B$500,Employees!$A$3:$A$500,$H$3:$H$500,"Approved",$D$3:$D$500,"&lt;="&amp;E450,$E$3:$E$500,"&gt;="&amp;D450,$A$3:$A$500,"&lt;&gt;"&amp;A450)&gt;0)),0))</f>
        <v/>
      </c>
      <c r="R450">
        <f>IF(B450="","",IFERROR(SUMPRODUCT((LEN(Employees!$A$3:$A$500)&gt;0)*(Employees!$O$3:$O$500=1)*(COUNTIFS($B$3:$B$500,Employees!$A$3:$A$500,$H$3:$H$500,"Approved",$D$3:$D$500,"&lt;="&amp;E450,$E$3:$E$500,"&gt;="&amp;D450,$A$3:$A$500,"&lt;&gt;"&amp;A450)&gt;0)),0))</f>
        <v/>
      </c>
      <c r="S450">
        <f>IF(OR(B450="",IFERROR(XLOOKUP(B450,Employees!$A$3:$A$500,Employees!$G$3:$G$500,""),"")=""),"",IFERROR(SUMPRODUCT((LEN(Employees!$A$3:$A$500)&gt;0)*(Employees!$G$3:$G$500=IFERROR(XLOOKUP(B450,Employees!$A$3:$A$500,Employees!$G$3:$G$500,""),""))*(COUNTIFS($B$3:$B$500,Employees!$A$3:$A$500,$H$3:$H$500,"Approved",$D$3:$D$500,"&lt;="&amp;E450,$E$3:$E$500,"&gt;="&amp;D450,$A$3:$A$500,"&lt;&gt;"&amp;A450)&gt;0)),0))</f>
        <v/>
      </c>
    </row>
    <row r="451">
      <c r="C451">
        <f>IFERROR(XLOOKUP(B451,Employees!$A$3:$A$500,Employees!$B$3:$B$500,""),"")</f>
        <v/>
      </c>
      <c r="I451">
        <f>IF(AND(B451&lt;&gt;"",D451&lt;&gt;"",E451&lt;&gt;""),E451-D451+1,"")</f>
        <v/>
      </c>
      <c r="J451">
        <f>IF(OR(B451="",D451="",E451=""),"",IF(OR(L451&lt;'Coverage Rules'!E7,M451&lt;'Coverage Rules'!E8,N451&lt;'Coverage Rules'!C8,O451&lt;'Coverage Rules'!E9,P451&lt;'Coverage Rules'!E10,Q451&gt;='Coverage Rules'!B16,R451&gt;='Coverage Rules'!B17,IF(S451="",FALSE,S451&gt;='Coverage Rules'!D24)),"Denied","OK"))</f>
        <v/>
      </c>
      <c r="L451">
        <f>IF(B451="","",IFERROR(SUMPRODUCT((LEN(Employees!$A$3:$A$500)&gt;0)*(Employees!$T$3:$T$500=1)*(COUNTIFS($B$3:$B$500,Employees!$A$3:$A$500,$H$3:$H$500,"Approved",$D$3:$D$500,"&lt;="&amp;E451,$E$3:$E$500,"&gt;="&amp;D451,$A$3:$A$500,"&lt;&gt;"&amp;A451)=0)),0))</f>
        <v/>
      </c>
      <c r="M451">
        <f>IF(B451="","",IFERROR(SUMPRODUCT((LEN(Employees!$A$3:$A$500)&gt;0)*(Employees!$U$3:$U$500=1)*(COUNTIFS($B$3:$B$500,Employees!$A$3:$A$500,$H$3:$H$500,"Approved",$D$3:$D$500,"&lt;="&amp;E451,$E$3:$E$500,"&gt;="&amp;D451,$A$3:$A$500,"&lt;&gt;"&amp;A451)=0)),0))</f>
        <v/>
      </c>
      <c r="N451">
        <f>IF(B451="","",IFERROR(SUMPRODUCT((LEN(Employees!$A$3:$A$500)&gt;0)*(Employees!$B$3:$B$500="Manager")*(Employees!$U$3:$U$500=1)*(COUNTIFS($B$3:$B$500,Employees!$A$3:$A$500,$H$3:$H$500,"Approved",$D$3:$D$500,"&lt;="&amp;E451,$E$3:$E$500,"&gt;="&amp;D451,$A$3:$A$500,"&lt;&gt;"&amp;A451)=0)),0))</f>
        <v/>
      </c>
      <c r="O451">
        <f>IF(B451="","",IFERROR(SUMPRODUCT((LEN(Employees!$A$3:$A$500)&gt;0)*(Employees!$V$3:$V$500=1)*(COUNTIFS($B$3:$B$500,Employees!$A$3:$A$500,$H$3:$H$500,"Approved",$D$3:$D$500,"&lt;="&amp;E451,$E$3:$E$500,"&gt;="&amp;D451,$A$3:$A$500,"&lt;&gt;"&amp;A451)=0)),0))</f>
        <v/>
      </c>
      <c r="P451">
        <f>IF(B451="","",IFERROR(SUMPRODUCT((LEN(Employees!$A$3:$A$500)&gt;0)*(Employees!$W$3:$W$500=1)*(COUNTIFS($B$3:$B$500,Employees!$A$3:$A$500,$H$3:$H$500,"Approved",$D$3:$D$500,"&lt;="&amp;E451,$E$3:$E$500,"&gt;="&amp;D451,$A$3:$A$500,"&lt;&gt;"&amp;A451)=0)),0))</f>
        <v/>
      </c>
      <c r="Q451">
        <f>IF(B451="","",IFERROR(SUMPRODUCT((LEN(Employees!$A$3:$A$500)&gt;0)*(Employees!$N$3:$N$500=1)*(COUNTIFS($B$3:$B$500,Employees!$A$3:$A$500,$H$3:$H$500,"Approved",$D$3:$D$500,"&lt;="&amp;E451,$E$3:$E$500,"&gt;="&amp;D451,$A$3:$A$500,"&lt;&gt;"&amp;A451)&gt;0)),0))</f>
        <v/>
      </c>
      <c r="R451">
        <f>IF(B451="","",IFERROR(SUMPRODUCT((LEN(Employees!$A$3:$A$500)&gt;0)*(Employees!$O$3:$O$500=1)*(COUNTIFS($B$3:$B$500,Employees!$A$3:$A$500,$H$3:$H$500,"Approved",$D$3:$D$500,"&lt;="&amp;E451,$E$3:$E$500,"&gt;="&amp;D451,$A$3:$A$500,"&lt;&gt;"&amp;A451)&gt;0)),0))</f>
        <v/>
      </c>
      <c r="S451">
        <f>IF(OR(B451="",IFERROR(XLOOKUP(B451,Employees!$A$3:$A$500,Employees!$G$3:$G$500,""),"")=""),"",IFERROR(SUMPRODUCT((LEN(Employees!$A$3:$A$500)&gt;0)*(Employees!$G$3:$G$500=IFERROR(XLOOKUP(B451,Employees!$A$3:$A$500,Employees!$G$3:$G$500,""),""))*(COUNTIFS($B$3:$B$500,Employees!$A$3:$A$500,$H$3:$H$500,"Approved",$D$3:$D$500,"&lt;="&amp;E451,$E$3:$E$500,"&gt;="&amp;D451,$A$3:$A$500,"&lt;&gt;"&amp;A451)&gt;0)),0))</f>
        <v/>
      </c>
    </row>
    <row r="452">
      <c r="C452">
        <f>IFERROR(XLOOKUP(B452,Employees!$A$3:$A$500,Employees!$B$3:$B$500,""),"")</f>
        <v/>
      </c>
      <c r="I452">
        <f>IF(AND(B452&lt;&gt;"",D452&lt;&gt;"",E452&lt;&gt;""),E452-D452+1,"")</f>
        <v/>
      </c>
      <c r="J452">
        <f>IF(OR(B452="",D452="",E452=""),"",IF(OR(L452&lt;'Coverage Rules'!E7,M452&lt;'Coverage Rules'!E8,N452&lt;'Coverage Rules'!C8,O452&lt;'Coverage Rules'!E9,P452&lt;'Coverage Rules'!E10,Q452&gt;='Coverage Rules'!B16,R452&gt;='Coverage Rules'!B17,IF(S452="",FALSE,S452&gt;='Coverage Rules'!D24)),"Denied","OK"))</f>
        <v/>
      </c>
      <c r="L452">
        <f>IF(B452="","",IFERROR(SUMPRODUCT((LEN(Employees!$A$3:$A$500)&gt;0)*(Employees!$T$3:$T$500=1)*(COUNTIFS($B$3:$B$500,Employees!$A$3:$A$500,$H$3:$H$500,"Approved",$D$3:$D$500,"&lt;="&amp;E452,$E$3:$E$500,"&gt;="&amp;D452,$A$3:$A$500,"&lt;&gt;"&amp;A452)=0)),0))</f>
        <v/>
      </c>
      <c r="M452">
        <f>IF(B452="","",IFERROR(SUMPRODUCT((LEN(Employees!$A$3:$A$500)&gt;0)*(Employees!$U$3:$U$500=1)*(COUNTIFS($B$3:$B$500,Employees!$A$3:$A$500,$H$3:$H$500,"Approved",$D$3:$D$500,"&lt;="&amp;E452,$E$3:$E$500,"&gt;="&amp;D452,$A$3:$A$500,"&lt;&gt;"&amp;A452)=0)),0))</f>
        <v/>
      </c>
      <c r="N452">
        <f>IF(B452="","",IFERROR(SUMPRODUCT((LEN(Employees!$A$3:$A$500)&gt;0)*(Employees!$B$3:$B$500="Manager")*(Employees!$U$3:$U$500=1)*(COUNTIFS($B$3:$B$500,Employees!$A$3:$A$500,$H$3:$H$500,"Approved",$D$3:$D$500,"&lt;="&amp;E452,$E$3:$E$500,"&gt;="&amp;D452,$A$3:$A$500,"&lt;&gt;"&amp;A452)=0)),0))</f>
        <v/>
      </c>
      <c r="O452">
        <f>IF(B452="","",IFERROR(SUMPRODUCT((LEN(Employees!$A$3:$A$500)&gt;0)*(Employees!$V$3:$V$500=1)*(COUNTIFS($B$3:$B$500,Employees!$A$3:$A$500,$H$3:$H$500,"Approved",$D$3:$D$500,"&lt;="&amp;E452,$E$3:$E$500,"&gt;="&amp;D452,$A$3:$A$500,"&lt;&gt;"&amp;A452)=0)),0))</f>
        <v/>
      </c>
      <c r="P452">
        <f>IF(B452="","",IFERROR(SUMPRODUCT((LEN(Employees!$A$3:$A$500)&gt;0)*(Employees!$W$3:$W$500=1)*(COUNTIFS($B$3:$B$500,Employees!$A$3:$A$500,$H$3:$H$500,"Approved",$D$3:$D$500,"&lt;="&amp;E452,$E$3:$E$500,"&gt;="&amp;D452,$A$3:$A$500,"&lt;&gt;"&amp;A452)=0)),0))</f>
        <v/>
      </c>
      <c r="Q452">
        <f>IF(B452="","",IFERROR(SUMPRODUCT((LEN(Employees!$A$3:$A$500)&gt;0)*(Employees!$N$3:$N$500=1)*(COUNTIFS($B$3:$B$500,Employees!$A$3:$A$500,$H$3:$H$500,"Approved",$D$3:$D$500,"&lt;="&amp;E452,$E$3:$E$500,"&gt;="&amp;D452,$A$3:$A$500,"&lt;&gt;"&amp;A452)&gt;0)),0))</f>
        <v/>
      </c>
      <c r="R452">
        <f>IF(B452="","",IFERROR(SUMPRODUCT((LEN(Employees!$A$3:$A$500)&gt;0)*(Employees!$O$3:$O$500=1)*(COUNTIFS($B$3:$B$500,Employees!$A$3:$A$500,$H$3:$H$500,"Approved",$D$3:$D$500,"&lt;="&amp;E452,$E$3:$E$500,"&gt;="&amp;D452,$A$3:$A$500,"&lt;&gt;"&amp;A452)&gt;0)),0))</f>
        <v/>
      </c>
      <c r="S452">
        <f>IF(OR(B452="",IFERROR(XLOOKUP(B452,Employees!$A$3:$A$500,Employees!$G$3:$G$500,""),"")=""),"",IFERROR(SUMPRODUCT((LEN(Employees!$A$3:$A$500)&gt;0)*(Employees!$G$3:$G$500=IFERROR(XLOOKUP(B452,Employees!$A$3:$A$500,Employees!$G$3:$G$500,""),""))*(COUNTIFS($B$3:$B$500,Employees!$A$3:$A$500,$H$3:$H$500,"Approved",$D$3:$D$500,"&lt;="&amp;E452,$E$3:$E$500,"&gt;="&amp;D452,$A$3:$A$500,"&lt;&gt;"&amp;A452)&gt;0)),0))</f>
        <v/>
      </c>
    </row>
    <row r="453">
      <c r="C453">
        <f>IFERROR(XLOOKUP(B453,Employees!$A$3:$A$500,Employees!$B$3:$B$500,""),"")</f>
        <v/>
      </c>
      <c r="I453">
        <f>IF(AND(B453&lt;&gt;"",D453&lt;&gt;"",E453&lt;&gt;""),E453-D453+1,"")</f>
        <v/>
      </c>
      <c r="J453">
        <f>IF(OR(B453="",D453="",E453=""),"",IF(OR(L453&lt;'Coverage Rules'!E7,M453&lt;'Coverage Rules'!E8,N453&lt;'Coverage Rules'!C8,O453&lt;'Coverage Rules'!E9,P453&lt;'Coverage Rules'!E10,Q453&gt;='Coverage Rules'!B16,R453&gt;='Coverage Rules'!B17,IF(S453="",FALSE,S453&gt;='Coverage Rules'!D24)),"Denied","OK"))</f>
        <v/>
      </c>
      <c r="L453">
        <f>IF(B453="","",IFERROR(SUMPRODUCT((LEN(Employees!$A$3:$A$500)&gt;0)*(Employees!$T$3:$T$500=1)*(COUNTIFS($B$3:$B$500,Employees!$A$3:$A$500,$H$3:$H$500,"Approved",$D$3:$D$500,"&lt;="&amp;E453,$E$3:$E$500,"&gt;="&amp;D453,$A$3:$A$500,"&lt;&gt;"&amp;A453)=0)),0))</f>
        <v/>
      </c>
      <c r="M453">
        <f>IF(B453="","",IFERROR(SUMPRODUCT((LEN(Employees!$A$3:$A$500)&gt;0)*(Employees!$U$3:$U$500=1)*(COUNTIFS($B$3:$B$500,Employees!$A$3:$A$500,$H$3:$H$500,"Approved",$D$3:$D$500,"&lt;="&amp;E453,$E$3:$E$500,"&gt;="&amp;D453,$A$3:$A$500,"&lt;&gt;"&amp;A453)=0)),0))</f>
        <v/>
      </c>
      <c r="N453">
        <f>IF(B453="","",IFERROR(SUMPRODUCT((LEN(Employees!$A$3:$A$500)&gt;0)*(Employees!$B$3:$B$500="Manager")*(Employees!$U$3:$U$500=1)*(COUNTIFS($B$3:$B$500,Employees!$A$3:$A$500,$H$3:$H$500,"Approved",$D$3:$D$500,"&lt;="&amp;E453,$E$3:$E$500,"&gt;="&amp;D453,$A$3:$A$500,"&lt;&gt;"&amp;A453)=0)),0))</f>
        <v/>
      </c>
      <c r="O453">
        <f>IF(B453="","",IFERROR(SUMPRODUCT((LEN(Employees!$A$3:$A$500)&gt;0)*(Employees!$V$3:$V$500=1)*(COUNTIFS($B$3:$B$500,Employees!$A$3:$A$500,$H$3:$H$500,"Approved",$D$3:$D$500,"&lt;="&amp;E453,$E$3:$E$500,"&gt;="&amp;D453,$A$3:$A$500,"&lt;&gt;"&amp;A453)=0)),0))</f>
        <v/>
      </c>
      <c r="P453">
        <f>IF(B453="","",IFERROR(SUMPRODUCT((LEN(Employees!$A$3:$A$500)&gt;0)*(Employees!$W$3:$W$500=1)*(COUNTIFS($B$3:$B$500,Employees!$A$3:$A$500,$H$3:$H$500,"Approved",$D$3:$D$500,"&lt;="&amp;E453,$E$3:$E$500,"&gt;="&amp;D453,$A$3:$A$500,"&lt;&gt;"&amp;A453)=0)),0))</f>
        <v/>
      </c>
      <c r="Q453">
        <f>IF(B453="","",IFERROR(SUMPRODUCT((LEN(Employees!$A$3:$A$500)&gt;0)*(Employees!$N$3:$N$500=1)*(COUNTIFS($B$3:$B$500,Employees!$A$3:$A$500,$H$3:$H$500,"Approved",$D$3:$D$500,"&lt;="&amp;E453,$E$3:$E$500,"&gt;="&amp;D453,$A$3:$A$500,"&lt;&gt;"&amp;A453)&gt;0)),0))</f>
        <v/>
      </c>
      <c r="R453">
        <f>IF(B453="","",IFERROR(SUMPRODUCT((LEN(Employees!$A$3:$A$500)&gt;0)*(Employees!$O$3:$O$500=1)*(COUNTIFS($B$3:$B$500,Employees!$A$3:$A$500,$H$3:$H$500,"Approved",$D$3:$D$500,"&lt;="&amp;E453,$E$3:$E$500,"&gt;="&amp;D453,$A$3:$A$500,"&lt;&gt;"&amp;A453)&gt;0)),0))</f>
        <v/>
      </c>
      <c r="S453">
        <f>IF(OR(B453="",IFERROR(XLOOKUP(B453,Employees!$A$3:$A$500,Employees!$G$3:$G$500,""),"")=""),"",IFERROR(SUMPRODUCT((LEN(Employees!$A$3:$A$500)&gt;0)*(Employees!$G$3:$G$500=IFERROR(XLOOKUP(B453,Employees!$A$3:$A$500,Employees!$G$3:$G$500,""),""))*(COUNTIFS($B$3:$B$500,Employees!$A$3:$A$500,$H$3:$H$500,"Approved",$D$3:$D$500,"&lt;="&amp;E453,$E$3:$E$500,"&gt;="&amp;D453,$A$3:$A$500,"&lt;&gt;"&amp;A453)&gt;0)),0))</f>
        <v/>
      </c>
    </row>
    <row r="454">
      <c r="C454">
        <f>IFERROR(XLOOKUP(B454,Employees!$A$3:$A$500,Employees!$B$3:$B$500,""),"")</f>
        <v/>
      </c>
      <c r="I454">
        <f>IF(AND(B454&lt;&gt;"",D454&lt;&gt;"",E454&lt;&gt;""),E454-D454+1,"")</f>
        <v/>
      </c>
      <c r="J454">
        <f>IF(OR(B454="",D454="",E454=""),"",IF(OR(L454&lt;'Coverage Rules'!E7,M454&lt;'Coverage Rules'!E8,N454&lt;'Coverage Rules'!C8,O454&lt;'Coverage Rules'!E9,P454&lt;'Coverage Rules'!E10,Q454&gt;='Coverage Rules'!B16,R454&gt;='Coverage Rules'!B17,IF(S454="",FALSE,S454&gt;='Coverage Rules'!D24)),"Denied","OK"))</f>
        <v/>
      </c>
      <c r="L454">
        <f>IF(B454="","",IFERROR(SUMPRODUCT((LEN(Employees!$A$3:$A$500)&gt;0)*(Employees!$T$3:$T$500=1)*(COUNTIFS($B$3:$B$500,Employees!$A$3:$A$500,$H$3:$H$500,"Approved",$D$3:$D$500,"&lt;="&amp;E454,$E$3:$E$500,"&gt;="&amp;D454,$A$3:$A$500,"&lt;&gt;"&amp;A454)=0)),0))</f>
        <v/>
      </c>
      <c r="M454">
        <f>IF(B454="","",IFERROR(SUMPRODUCT((LEN(Employees!$A$3:$A$500)&gt;0)*(Employees!$U$3:$U$500=1)*(COUNTIFS($B$3:$B$500,Employees!$A$3:$A$500,$H$3:$H$500,"Approved",$D$3:$D$500,"&lt;="&amp;E454,$E$3:$E$500,"&gt;="&amp;D454,$A$3:$A$500,"&lt;&gt;"&amp;A454)=0)),0))</f>
        <v/>
      </c>
      <c r="N454">
        <f>IF(B454="","",IFERROR(SUMPRODUCT((LEN(Employees!$A$3:$A$500)&gt;0)*(Employees!$B$3:$B$500="Manager")*(Employees!$U$3:$U$500=1)*(COUNTIFS($B$3:$B$500,Employees!$A$3:$A$500,$H$3:$H$500,"Approved",$D$3:$D$500,"&lt;="&amp;E454,$E$3:$E$500,"&gt;="&amp;D454,$A$3:$A$500,"&lt;&gt;"&amp;A454)=0)),0))</f>
        <v/>
      </c>
      <c r="O454">
        <f>IF(B454="","",IFERROR(SUMPRODUCT((LEN(Employees!$A$3:$A$500)&gt;0)*(Employees!$V$3:$V$500=1)*(COUNTIFS($B$3:$B$500,Employees!$A$3:$A$500,$H$3:$H$500,"Approved",$D$3:$D$500,"&lt;="&amp;E454,$E$3:$E$500,"&gt;="&amp;D454,$A$3:$A$500,"&lt;&gt;"&amp;A454)=0)),0))</f>
        <v/>
      </c>
      <c r="P454">
        <f>IF(B454="","",IFERROR(SUMPRODUCT((LEN(Employees!$A$3:$A$500)&gt;0)*(Employees!$W$3:$W$500=1)*(COUNTIFS($B$3:$B$500,Employees!$A$3:$A$500,$H$3:$H$500,"Approved",$D$3:$D$500,"&lt;="&amp;E454,$E$3:$E$500,"&gt;="&amp;D454,$A$3:$A$500,"&lt;&gt;"&amp;A454)=0)),0))</f>
        <v/>
      </c>
      <c r="Q454">
        <f>IF(B454="","",IFERROR(SUMPRODUCT((LEN(Employees!$A$3:$A$500)&gt;0)*(Employees!$N$3:$N$500=1)*(COUNTIFS($B$3:$B$500,Employees!$A$3:$A$500,$H$3:$H$500,"Approved",$D$3:$D$500,"&lt;="&amp;E454,$E$3:$E$500,"&gt;="&amp;D454,$A$3:$A$500,"&lt;&gt;"&amp;A454)&gt;0)),0))</f>
        <v/>
      </c>
      <c r="R454">
        <f>IF(B454="","",IFERROR(SUMPRODUCT((LEN(Employees!$A$3:$A$500)&gt;0)*(Employees!$O$3:$O$500=1)*(COUNTIFS($B$3:$B$500,Employees!$A$3:$A$500,$H$3:$H$500,"Approved",$D$3:$D$500,"&lt;="&amp;E454,$E$3:$E$500,"&gt;="&amp;D454,$A$3:$A$500,"&lt;&gt;"&amp;A454)&gt;0)),0))</f>
        <v/>
      </c>
      <c r="S454">
        <f>IF(OR(B454="",IFERROR(XLOOKUP(B454,Employees!$A$3:$A$500,Employees!$G$3:$G$500,""),"")=""),"",IFERROR(SUMPRODUCT((LEN(Employees!$A$3:$A$500)&gt;0)*(Employees!$G$3:$G$500=IFERROR(XLOOKUP(B454,Employees!$A$3:$A$500,Employees!$G$3:$G$500,""),""))*(COUNTIFS($B$3:$B$500,Employees!$A$3:$A$500,$H$3:$H$500,"Approved",$D$3:$D$500,"&lt;="&amp;E454,$E$3:$E$500,"&gt;="&amp;D454,$A$3:$A$500,"&lt;&gt;"&amp;A454)&gt;0)),0))</f>
        <v/>
      </c>
    </row>
    <row r="455">
      <c r="C455">
        <f>IFERROR(XLOOKUP(B455,Employees!$A$3:$A$500,Employees!$B$3:$B$500,""),"")</f>
        <v/>
      </c>
      <c r="I455">
        <f>IF(AND(B455&lt;&gt;"",D455&lt;&gt;"",E455&lt;&gt;""),E455-D455+1,"")</f>
        <v/>
      </c>
      <c r="J455">
        <f>IF(OR(B455="",D455="",E455=""),"",IF(OR(L455&lt;'Coverage Rules'!E7,M455&lt;'Coverage Rules'!E8,N455&lt;'Coverage Rules'!C8,O455&lt;'Coverage Rules'!E9,P455&lt;'Coverage Rules'!E10,Q455&gt;='Coverage Rules'!B16,R455&gt;='Coverage Rules'!B17,IF(S455="",FALSE,S455&gt;='Coverage Rules'!D24)),"Denied","OK"))</f>
        <v/>
      </c>
      <c r="L455">
        <f>IF(B455="","",IFERROR(SUMPRODUCT((LEN(Employees!$A$3:$A$500)&gt;0)*(Employees!$T$3:$T$500=1)*(COUNTIFS($B$3:$B$500,Employees!$A$3:$A$500,$H$3:$H$500,"Approved",$D$3:$D$500,"&lt;="&amp;E455,$E$3:$E$500,"&gt;="&amp;D455,$A$3:$A$500,"&lt;&gt;"&amp;A455)=0)),0))</f>
        <v/>
      </c>
      <c r="M455">
        <f>IF(B455="","",IFERROR(SUMPRODUCT((LEN(Employees!$A$3:$A$500)&gt;0)*(Employees!$U$3:$U$500=1)*(COUNTIFS($B$3:$B$500,Employees!$A$3:$A$500,$H$3:$H$500,"Approved",$D$3:$D$500,"&lt;="&amp;E455,$E$3:$E$500,"&gt;="&amp;D455,$A$3:$A$500,"&lt;&gt;"&amp;A455)=0)),0))</f>
        <v/>
      </c>
      <c r="N455">
        <f>IF(B455="","",IFERROR(SUMPRODUCT((LEN(Employees!$A$3:$A$500)&gt;0)*(Employees!$B$3:$B$500="Manager")*(Employees!$U$3:$U$500=1)*(COUNTIFS($B$3:$B$500,Employees!$A$3:$A$500,$H$3:$H$500,"Approved",$D$3:$D$500,"&lt;="&amp;E455,$E$3:$E$500,"&gt;="&amp;D455,$A$3:$A$500,"&lt;&gt;"&amp;A455)=0)),0))</f>
        <v/>
      </c>
      <c r="O455">
        <f>IF(B455="","",IFERROR(SUMPRODUCT((LEN(Employees!$A$3:$A$500)&gt;0)*(Employees!$V$3:$V$500=1)*(COUNTIFS($B$3:$B$500,Employees!$A$3:$A$500,$H$3:$H$500,"Approved",$D$3:$D$500,"&lt;="&amp;E455,$E$3:$E$500,"&gt;="&amp;D455,$A$3:$A$500,"&lt;&gt;"&amp;A455)=0)),0))</f>
        <v/>
      </c>
      <c r="P455">
        <f>IF(B455="","",IFERROR(SUMPRODUCT((LEN(Employees!$A$3:$A$500)&gt;0)*(Employees!$W$3:$W$500=1)*(COUNTIFS($B$3:$B$500,Employees!$A$3:$A$500,$H$3:$H$500,"Approved",$D$3:$D$500,"&lt;="&amp;E455,$E$3:$E$500,"&gt;="&amp;D455,$A$3:$A$500,"&lt;&gt;"&amp;A455)=0)),0))</f>
        <v/>
      </c>
      <c r="Q455">
        <f>IF(B455="","",IFERROR(SUMPRODUCT((LEN(Employees!$A$3:$A$500)&gt;0)*(Employees!$N$3:$N$500=1)*(COUNTIFS($B$3:$B$500,Employees!$A$3:$A$500,$H$3:$H$500,"Approved",$D$3:$D$500,"&lt;="&amp;E455,$E$3:$E$500,"&gt;="&amp;D455,$A$3:$A$500,"&lt;&gt;"&amp;A455)&gt;0)),0))</f>
        <v/>
      </c>
      <c r="R455">
        <f>IF(B455="","",IFERROR(SUMPRODUCT((LEN(Employees!$A$3:$A$500)&gt;0)*(Employees!$O$3:$O$500=1)*(COUNTIFS($B$3:$B$500,Employees!$A$3:$A$500,$H$3:$H$500,"Approved",$D$3:$D$500,"&lt;="&amp;E455,$E$3:$E$500,"&gt;="&amp;D455,$A$3:$A$500,"&lt;&gt;"&amp;A455)&gt;0)),0))</f>
        <v/>
      </c>
      <c r="S455">
        <f>IF(OR(B455="",IFERROR(XLOOKUP(B455,Employees!$A$3:$A$500,Employees!$G$3:$G$500,""),"")=""),"",IFERROR(SUMPRODUCT((LEN(Employees!$A$3:$A$500)&gt;0)*(Employees!$G$3:$G$500=IFERROR(XLOOKUP(B455,Employees!$A$3:$A$500,Employees!$G$3:$G$500,""),""))*(COUNTIFS($B$3:$B$500,Employees!$A$3:$A$500,$H$3:$H$500,"Approved",$D$3:$D$500,"&lt;="&amp;E455,$E$3:$E$500,"&gt;="&amp;D455,$A$3:$A$500,"&lt;&gt;"&amp;A455)&gt;0)),0))</f>
        <v/>
      </c>
    </row>
    <row r="456">
      <c r="C456">
        <f>IFERROR(XLOOKUP(B456,Employees!$A$3:$A$500,Employees!$B$3:$B$500,""),"")</f>
        <v/>
      </c>
      <c r="I456">
        <f>IF(AND(B456&lt;&gt;"",D456&lt;&gt;"",E456&lt;&gt;""),E456-D456+1,"")</f>
        <v/>
      </c>
      <c r="J456">
        <f>IF(OR(B456="",D456="",E456=""),"",IF(OR(L456&lt;'Coverage Rules'!E7,M456&lt;'Coverage Rules'!E8,N456&lt;'Coverage Rules'!C8,O456&lt;'Coverage Rules'!E9,P456&lt;'Coverage Rules'!E10,Q456&gt;='Coverage Rules'!B16,R456&gt;='Coverage Rules'!B17,IF(S456="",FALSE,S456&gt;='Coverage Rules'!D24)),"Denied","OK"))</f>
        <v/>
      </c>
      <c r="L456">
        <f>IF(B456="","",IFERROR(SUMPRODUCT((LEN(Employees!$A$3:$A$500)&gt;0)*(Employees!$T$3:$T$500=1)*(COUNTIFS($B$3:$B$500,Employees!$A$3:$A$500,$H$3:$H$500,"Approved",$D$3:$D$500,"&lt;="&amp;E456,$E$3:$E$500,"&gt;="&amp;D456,$A$3:$A$500,"&lt;&gt;"&amp;A456)=0)),0))</f>
        <v/>
      </c>
      <c r="M456">
        <f>IF(B456="","",IFERROR(SUMPRODUCT((LEN(Employees!$A$3:$A$500)&gt;0)*(Employees!$U$3:$U$500=1)*(COUNTIFS($B$3:$B$500,Employees!$A$3:$A$500,$H$3:$H$500,"Approved",$D$3:$D$500,"&lt;="&amp;E456,$E$3:$E$500,"&gt;="&amp;D456,$A$3:$A$500,"&lt;&gt;"&amp;A456)=0)),0))</f>
        <v/>
      </c>
      <c r="N456">
        <f>IF(B456="","",IFERROR(SUMPRODUCT((LEN(Employees!$A$3:$A$500)&gt;0)*(Employees!$B$3:$B$500="Manager")*(Employees!$U$3:$U$500=1)*(COUNTIFS($B$3:$B$500,Employees!$A$3:$A$500,$H$3:$H$500,"Approved",$D$3:$D$500,"&lt;="&amp;E456,$E$3:$E$500,"&gt;="&amp;D456,$A$3:$A$500,"&lt;&gt;"&amp;A456)=0)),0))</f>
        <v/>
      </c>
      <c r="O456">
        <f>IF(B456="","",IFERROR(SUMPRODUCT((LEN(Employees!$A$3:$A$500)&gt;0)*(Employees!$V$3:$V$500=1)*(COUNTIFS($B$3:$B$500,Employees!$A$3:$A$500,$H$3:$H$500,"Approved",$D$3:$D$500,"&lt;="&amp;E456,$E$3:$E$500,"&gt;="&amp;D456,$A$3:$A$500,"&lt;&gt;"&amp;A456)=0)),0))</f>
        <v/>
      </c>
      <c r="P456">
        <f>IF(B456="","",IFERROR(SUMPRODUCT((LEN(Employees!$A$3:$A$500)&gt;0)*(Employees!$W$3:$W$500=1)*(COUNTIFS($B$3:$B$500,Employees!$A$3:$A$500,$H$3:$H$500,"Approved",$D$3:$D$500,"&lt;="&amp;E456,$E$3:$E$500,"&gt;="&amp;D456,$A$3:$A$500,"&lt;&gt;"&amp;A456)=0)),0))</f>
        <v/>
      </c>
      <c r="Q456">
        <f>IF(B456="","",IFERROR(SUMPRODUCT((LEN(Employees!$A$3:$A$500)&gt;0)*(Employees!$N$3:$N$500=1)*(COUNTIFS($B$3:$B$500,Employees!$A$3:$A$500,$H$3:$H$500,"Approved",$D$3:$D$500,"&lt;="&amp;E456,$E$3:$E$500,"&gt;="&amp;D456,$A$3:$A$500,"&lt;&gt;"&amp;A456)&gt;0)),0))</f>
        <v/>
      </c>
      <c r="R456">
        <f>IF(B456="","",IFERROR(SUMPRODUCT((LEN(Employees!$A$3:$A$500)&gt;0)*(Employees!$O$3:$O$500=1)*(COUNTIFS($B$3:$B$500,Employees!$A$3:$A$500,$H$3:$H$500,"Approved",$D$3:$D$500,"&lt;="&amp;E456,$E$3:$E$500,"&gt;="&amp;D456,$A$3:$A$500,"&lt;&gt;"&amp;A456)&gt;0)),0))</f>
        <v/>
      </c>
      <c r="S456">
        <f>IF(OR(B456="",IFERROR(XLOOKUP(B456,Employees!$A$3:$A$500,Employees!$G$3:$G$500,""),"")=""),"",IFERROR(SUMPRODUCT((LEN(Employees!$A$3:$A$500)&gt;0)*(Employees!$G$3:$G$500=IFERROR(XLOOKUP(B456,Employees!$A$3:$A$500,Employees!$G$3:$G$500,""),""))*(COUNTIFS($B$3:$B$500,Employees!$A$3:$A$500,$H$3:$H$500,"Approved",$D$3:$D$500,"&lt;="&amp;E456,$E$3:$E$500,"&gt;="&amp;D456,$A$3:$A$500,"&lt;&gt;"&amp;A456)&gt;0)),0))</f>
        <v/>
      </c>
    </row>
    <row r="457">
      <c r="C457">
        <f>IFERROR(XLOOKUP(B457,Employees!$A$3:$A$500,Employees!$B$3:$B$500,""),"")</f>
        <v/>
      </c>
      <c r="I457">
        <f>IF(AND(B457&lt;&gt;"",D457&lt;&gt;"",E457&lt;&gt;""),E457-D457+1,"")</f>
        <v/>
      </c>
      <c r="J457">
        <f>IF(OR(B457="",D457="",E457=""),"",IF(OR(L457&lt;'Coverage Rules'!E7,M457&lt;'Coverage Rules'!E8,N457&lt;'Coverage Rules'!C8,O457&lt;'Coverage Rules'!E9,P457&lt;'Coverage Rules'!E10,Q457&gt;='Coverage Rules'!B16,R457&gt;='Coverage Rules'!B17,IF(S457="",FALSE,S457&gt;='Coverage Rules'!D24)),"Denied","OK"))</f>
        <v/>
      </c>
      <c r="L457">
        <f>IF(B457="","",IFERROR(SUMPRODUCT((LEN(Employees!$A$3:$A$500)&gt;0)*(Employees!$T$3:$T$500=1)*(COUNTIFS($B$3:$B$500,Employees!$A$3:$A$500,$H$3:$H$500,"Approved",$D$3:$D$500,"&lt;="&amp;E457,$E$3:$E$500,"&gt;="&amp;D457,$A$3:$A$500,"&lt;&gt;"&amp;A457)=0)),0))</f>
        <v/>
      </c>
      <c r="M457">
        <f>IF(B457="","",IFERROR(SUMPRODUCT((LEN(Employees!$A$3:$A$500)&gt;0)*(Employees!$U$3:$U$500=1)*(COUNTIFS($B$3:$B$500,Employees!$A$3:$A$500,$H$3:$H$500,"Approved",$D$3:$D$500,"&lt;="&amp;E457,$E$3:$E$500,"&gt;="&amp;D457,$A$3:$A$500,"&lt;&gt;"&amp;A457)=0)),0))</f>
        <v/>
      </c>
      <c r="N457">
        <f>IF(B457="","",IFERROR(SUMPRODUCT((LEN(Employees!$A$3:$A$500)&gt;0)*(Employees!$B$3:$B$500="Manager")*(Employees!$U$3:$U$500=1)*(COUNTIFS($B$3:$B$500,Employees!$A$3:$A$500,$H$3:$H$500,"Approved",$D$3:$D$500,"&lt;="&amp;E457,$E$3:$E$500,"&gt;="&amp;D457,$A$3:$A$500,"&lt;&gt;"&amp;A457)=0)),0))</f>
        <v/>
      </c>
      <c r="O457">
        <f>IF(B457="","",IFERROR(SUMPRODUCT((LEN(Employees!$A$3:$A$500)&gt;0)*(Employees!$V$3:$V$500=1)*(COUNTIFS($B$3:$B$500,Employees!$A$3:$A$500,$H$3:$H$500,"Approved",$D$3:$D$500,"&lt;="&amp;E457,$E$3:$E$500,"&gt;="&amp;D457,$A$3:$A$500,"&lt;&gt;"&amp;A457)=0)),0))</f>
        <v/>
      </c>
      <c r="P457">
        <f>IF(B457="","",IFERROR(SUMPRODUCT((LEN(Employees!$A$3:$A$500)&gt;0)*(Employees!$W$3:$W$500=1)*(COUNTIFS($B$3:$B$500,Employees!$A$3:$A$500,$H$3:$H$500,"Approved",$D$3:$D$500,"&lt;="&amp;E457,$E$3:$E$500,"&gt;="&amp;D457,$A$3:$A$500,"&lt;&gt;"&amp;A457)=0)),0))</f>
        <v/>
      </c>
      <c r="Q457">
        <f>IF(B457="","",IFERROR(SUMPRODUCT((LEN(Employees!$A$3:$A$500)&gt;0)*(Employees!$N$3:$N$500=1)*(COUNTIFS($B$3:$B$500,Employees!$A$3:$A$500,$H$3:$H$500,"Approved",$D$3:$D$500,"&lt;="&amp;E457,$E$3:$E$500,"&gt;="&amp;D457,$A$3:$A$500,"&lt;&gt;"&amp;A457)&gt;0)),0))</f>
        <v/>
      </c>
      <c r="R457">
        <f>IF(B457="","",IFERROR(SUMPRODUCT((LEN(Employees!$A$3:$A$500)&gt;0)*(Employees!$O$3:$O$500=1)*(COUNTIFS($B$3:$B$500,Employees!$A$3:$A$500,$H$3:$H$500,"Approved",$D$3:$D$500,"&lt;="&amp;E457,$E$3:$E$500,"&gt;="&amp;D457,$A$3:$A$500,"&lt;&gt;"&amp;A457)&gt;0)),0))</f>
        <v/>
      </c>
      <c r="S457">
        <f>IF(OR(B457="",IFERROR(XLOOKUP(B457,Employees!$A$3:$A$500,Employees!$G$3:$G$500,""),"")=""),"",IFERROR(SUMPRODUCT((LEN(Employees!$A$3:$A$500)&gt;0)*(Employees!$G$3:$G$500=IFERROR(XLOOKUP(B457,Employees!$A$3:$A$500,Employees!$G$3:$G$500,""),""))*(COUNTIFS($B$3:$B$500,Employees!$A$3:$A$500,$H$3:$H$500,"Approved",$D$3:$D$500,"&lt;="&amp;E457,$E$3:$E$500,"&gt;="&amp;D457,$A$3:$A$500,"&lt;&gt;"&amp;A457)&gt;0)),0))</f>
        <v/>
      </c>
    </row>
    <row r="458">
      <c r="C458">
        <f>IFERROR(XLOOKUP(B458,Employees!$A$3:$A$500,Employees!$B$3:$B$500,""),"")</f>
        <v/>
      </c>
      <c r="I458">
        <f>IF(AND(B458&lt;&gt;"",D458&lt;&gt;"",E458&lt;&gt;""),E458-D458+1,"")</f>
        <v/>
      </c>
      <c r="J458">
        <f>IF(OR(B458="",D458="",E458=""),"",IF(OR(L458&lt;'Coverage Rules'!E7,M458&lt;'Coverage Rules'!E8,N458&lt;'Coverage Rules'!C8,O458&lt;'Coverage Rules'!E9,P458&lt;'Coverage Rules'!E10,Q458&gt;='Coverage Rules'!B16,R458&gt;='Coverage Rules'!B17,IF(S458="",FALSE,S458&gt;='Coverage Rules'!D24)),"Denied","OK"))</f>
        <v/>
      </c>
      <c r="L458">
        <f>IF(B458="","",IFERROR(SUMPRODUCT((LEN(Employees!$A$3:$A$500)&gt;0)*(Employees!$T$3:$T$500=1)*(COUNTIFS($B$3:$B$500,Employees!$A$3:$A$500,$H$3:$H$500,"Approved",$D$3:$D$500,"&lt;="&amp;E458,$E$3:$E$500,"&gt;="&amp;D458,$A$3:$A$500,"&lt;&gt;"&amp;A458)=0)),0))</f>
        <v/>
      </c>
      <c r="M458">
        <f>IF(B458="","",IFERROR(SUMPRODUCT((LEN(Employees!$A$3:$A$500)&gt;0)*(Employees!$U$3:$U$500=1)*(COUNTIFS($B$3:$B$500,Employees!$A$3:$A$500,$H$3:$H$500,"Approved",$D$3:$D$500,"&lt;="&amp;E458,$E$3:$E$500,"&gt;="&amp;D458,$A$3:$A$500,"&lt;&gt;"&amp;A458)=0)),0))</f>
        <v/>
      </c>
      <c r="N458">
        <f>IF(B458="","",IFERROR(SUMPRODUCT((LEN(Employees!$A$3:$A$500)&gt;0)*(Employees!$B$3:$B$500="Manager")*(Employees!$U$3:$U$500=1)*(COUNTIFS($B$3:$B$500,Employees!$A$3:$A$500,$H$3:$H$500,"Approved",$D$3:$D$500,"&lt;="&amp;E458,$E$3:$E$500,"&gt;="&amp;D458,$A$3:$A$500,"&lt;&gt;"&amp;A458)=0)),0))</f>
        <v/>
      </c>
      <c r="O458">
        <f>IF(B458="","",IFERROR(SUMPRODUCT((LEN(Employees!$A$3:$A$500)&gt;0)*(Employees!$V$3:$V$500=1)*(COUNTIFS($B$3:$B$500,Employees!$A$3:$A$500,$H$3:$H$500,"Approved",$D$3:$D$500,"&lt;="&amp;E458,$E$3:$E$500,"&gt;="&amp;D458,$A$3:$A$500,"&lt;&gt;"&amp;A458)=0)),0))</f>
        <v/>
      </c>
      <c r="P458">
        <f>IF(B458="","",IFERROR(SUMPRODUCT((LEN(Employees!$A$3:$A$500)&gt;0)*(Employees!$W$3:$W$500=1)*(COUNTIFS($B$3:$B$500,Employees!$A$3:$A$500,$H$3:$H$500,"Approved",$D$3:$D$500,"&lt;="&amp;E458,$E$3:$E$500,"&gt;="&amp;D458,$A$3:$A$500,"&lt;&gt;"&amp;A458)=0)),0))</f>
        <v/>
      </c>
      <c r="Q458">
        <f>IF(B458="","",IFERROR(SUMPRODUCT((LEN(Employees!$A$3:$A$500)&gt;0)*(Employees!$N$3:$N$500=1)*(COUNTIFS($B$3:$B$500,Employees!$A$3:$A$500,$H$3:$H$500,"Approved",$D$3:$D$500,"&lt;="&amp;E458,$E$3:$E$500,"&gt;="&amp;D458,$A$3:$A$500,"&lt;&gt;"&amp;A458)&gt;0)),0))</f>
        <v/>
      </c>
      <c r="R458">
        <f>IF(B458="","",IFERROR(SUMPRODUCT((LEN(Employees!$A$3:$A$500)&gt;0)*(Employees!$O$3:$O$500=1)*(COUNTIFS($B$3:$B$500,Employees!$A$3:$A$500,$H$3:$H$500,"Approved",$D$3:$D$500,"&lt;="&amp;E458,$E$3:$E$500,"&gt;="&amp;D458,$A$3:$A$500,"&lt;&gt;"&amp;A458)&gt;0)),0))</f>
        <v/>
      </c>
      <c r="S458">
        <f>IF(OR(B458="",IFERROR(XLOOKUP(B458,Employees!$A$3:$A$500,Employees!$G$3:$G$500,""),"")=""),"",IFERROR(SUMPRODUCT((LEN(Employees!$A$3:$A$500)&gt;0)*(Employees!$G$3:$G$500=IFERROR(XLOOKUP(B458,Employees!$A$3:$A$500,Employees!$G$3:$G$500,""),""))*(COUNTIFS($B$3:$B$500,Employees!$A$3:$A$500,$H$3:$H$500,"Approved",$D$3:$D$500,"&lt;="&amp;E458,$E$3:$E$500,"&gt;="&amp;D458,$A$3:$A$500,"&lt;&gt;"&amp;A458)&gt;0)),0))</f>
        <v/>
      </c>
    </row>
    <row r="459">
      <c r="C459">
        <f>IFERROR(XLOOKUP(B459,Employees!$A$3:$A$500,Employees!$B$3:$B$500,""),"")</f>
        <v/>
      </c>
      <c r="I459">
        <f>IF(AND(B459&lt;&gt;"",D459&lt;&gt;"",E459&lt;&gt;""),E459-D459+1,"")</f>
        <v/>
      </c>
      <c r="J459">
        <f>IF(OR(B459="",D459="",E459=""),"",IF(OR(L459&lt;'Coverage Rules'!E7,M459&lt;'Coverage Rules'!E8,N459&lt;'Coverage Rules'!C8,O459&lt;'Coverage Rules'!E9,P459&lt;'Coverage Rules'!E10,Q459&gt;='Coverage Rules'!B16,R459&gt;='Coverage Rules'!B17,IF(S459="",FALSE,S459&gt;='Coverage Rules'!D24)),"Denied","OK"))</f>
        <v/>
      </c>
      <c r="L459">
        <f>IF(B459="","",IFERROR(SUMPRODUCT((LEN(Employees!$A$3:$A$500)&gt;0)*(Employees!$T$3:$T$500=1)*(COUNTIFS($B$3:$B$500,Employees!$A$3:$A$500,$H$3:$H$500,"Approved",$D$3:$D$500,"&lt;="&amp;E459,$E$3:$E$500,"&gt;="&amp;D459,$A$3:$A$500,"&lt;&gt;"&amp;A459)=0)),0))</f>
        <v/>
      </c>
      <c r="M459">
        <f>IF(B459="","",IFERROR(SUMPRODUCT((LEN(Employees!$A$3:$A$500)&gt;0)*(Employees!$U$3:$U$500=1)*(COUNTIFS($B$3:$B$500,Employees!$A$3:$A$500,$H$3:$H$500,"Approved",$D$3:$D$500,"&lt;="&amp;E459,$E$3:$E$500,"&gt;="&amp;D459,$A$3:$A$500,"&lt;&gt;"&amp;A459)=0)),0))</f>
        <v/>
      </c>
      <c r="N459">
        <f>IF(B459="","",IFERROR(SUMPRODUCT((LEN(Employees!$A$3:$A$500)&gt;0)*(Employees!$B$3:$B$500="Manager")*(Employees!$U$3:$U$500=1)*(COUNTIFS($B$3:$B$500,Employees!$A$3:$A$500,$H$3:$H$500,"Approved",$D$3:$D$500,"&lt;="&amp;E459,$E$3:$E$500,"&gt;="&amp;D459,$A$3:$A$500,"&lt;&gt;"&amp;A459)=0)),0))</f>
        <v/>
      </c>
      <c r="O459">
        <f>IF(B459="","",IFERROR(SUMPRODUCT((LEN(Employees!$A$3:$A$500)&gt;0)*(Employees!$V$3:$V$500=1)*(COUNTIFS($B$3:$B$500,Employees!$A$3:$A$500,$H$3:$H$500,"Approved",$D$3:$D$500,"&lt;="&amp;E459,$E$3:$E$500,"&gt;="&amp;D459,$A$3:$A$500,"&lt;&gt;"&amp;A459)=0)),0))</f>
        <v/>
      </c>
      <c r="P459">
        <f>IF(B459="","",IFERROR(SUMPRODUCT((LEN(Employees!$A$3:$A$500)&gt;0)*(Employees!$W$3:$W$500=1)*(COUNTIFS($B$3:$B$500,Employees!$A$3:$A$500,$H$3:$H$500,"Approved",$D$3:$D$500,"&lt;="&amp;E459,$E$3:$E$500,"&gt;="&amp;D459,$A$3:$A$500,"&lt;&gt;"&amp;A459)=0)),0))</f>
        <v/>
      </c>
      <c r="Q459">
        <f>IF(B459="","",IFERROR(SUMPRODUCT((LEN(Employees!$A$3:$A$500)&gt;0)*(Employees!$N$3:$N$500=1)*(COUNTIFS($B$3:$B$500,Employees!$A$3:$A$500,$H$3:$H$500,"Approved",$D$3:$D$500,"&lt;="&amp;E459,$E$3:$E$500,"&gt;="&amp;D459,$A$3:$A$500,"&lt;&gt;"&amp;A459)&gt;0)),0))</f>
        <v/>
      </c>
      <c r="R459">
        <f>IF(B459="","",IFERROR(SUMPRODUCT((LEN(Employees!$A$3:$A$500)&gt;0)*(Employees!$O$3:$O$500=1)*(COUNTIFS($B$3:$B$500,Employees!$A$3:$A$500,$H$3:$H$500,"Approved",$D$3:$D$500,"&lt;="&amp;E459,$E$3:$E$500,"&gt;="&amp;D459,$A$3:$A$500,"&lt;&gt;"&amp;A459)&gt;0)),0))</f>
        <v/>
      </c>
      <c r="S459">
        <f>IF(OR(B459="",IFERROR(XLOOKUP(B459,Employees!$A$3:$A$500,Employees!$G$3:$G$500,""),"")=""),"",IFERROR(SUMPRODUCT((LEN(Employees!$A$3:$A$500)&gt;0)*(Employees!$G$3:$G$500=IFERROR(XLOOKUP(B459,Employees!$A$3:$A$500,Employees!$G$3:$G$500,""),""))*(COUNTIFS($B$3:$B$500,Employees!$A$3:$A$500,$H$3:$H$500,"Approved",$D$3:$D$500,"&lt;="&amp;E459,$E$3:$E$500,"&gt;="&amp;D459,$A$3:$A$500,"&lt;&gt;"&amp;A459)&gt;0)),0))</f>
        <v/>
      </c>
    </row>
    <row r="460">
      <c r="C460">
        <f>IFERROR(XLOOKUP(B460,Employees!$A$3:$A$500,Employees!$B$3:$B$500,""),"")</f>
        <v/>
      </c>
      <c r="I460">
        <f>IF(AND(B460&lt;&gt;"",D460&lt;&gt;"",E460&lt;&gt;""),E460-D460+1,"")</f>
        <v/>
      </c>
      <c r="J460">
        <f>IF(OR(B460="",D460="",E460=""),"",IF(OR(L460&lt;'Coverage Rules'!E7,M460&lt;'Coverage Rules'!E8,N460&lt;'Coverage Rules'!C8,O460&lt;'Coverage Rules'!E9,P460&lt;'Coverage Rules'!E10,Q460&gt;='Coverage Rules'!B16,R460&gt;='Coverage Rules'!B17,IF(S460="",FALSE,S460&gt;='Coverage Rules'!D24)),"Denied","OK"))</f>
        <v/>
      </c>
      <c r="L460">
        <f>IF(B460="","",IFERROR(SUMPRODUCT((LEN(Employees!$A$3:$A$500)&gt;0)*(Employees!$T$3:$T$500=1)*(COUNTIFS($B$3:$B$500,Employees!$A$3:$A$500,$H$3:$H$500,"Approved",$D$3:$D$500,"&lt;="&amp;E460,$E$3:$E$500,"&gt;="&amp;D460,$A$3:$A$500,"&lt;&gt;"&amp;A460)=0)),0))</f>
        <v/>
      </c>
      <c r="M460">
        <f>IF(B460="","",IFERROR(SUMPRODUCT((LEN(Employees!$A$3:$A$500)&gt;0)*(Employees!$U$3:$U$500=1)*(COUNTIFS($B$3:$B$500,Employees!$A$3:$A$500,$H$3:$H$500,"Approved",$D$3:$D$500,"&lt;="&amp;E460,$E$3:$E$500,"&gt;="&amp;D460,$A$3:$A$500,"&lt;&gt;"&amp;A460)=0)),0))</f>
        <v/>
      </c>
      <c r="N460">
        <f>IF(B460="","",IFERROR(SUMPRODUCT((LEN(Employees!$A$3:$A$500)&gt;0)*(Employees!$B$3:$B$500="Manager")*(Employees!$U$3:$U$500=1)*(COUNTIFS($B$3:$B$500,Employees!$A$3:$A$500,$H$3:$H$500,"Approved",$D$3:$D$500,"&lt;="&amp;E460,$E$3:$E$500,"&gt;="&amp;D460,$A$3:$A$500,"&lt;&gt;"&amp;A460)=0)),0))</f>
        <v/>
      </c>
      <c r="O460">
        <f>IF(B460="","",IFERROR(SUMPRODUCT((LEN(Employees!$A$3:$A$500)&gt;0)*(Employees!$V$3:$V$500=1)*(COUNTIFS($B$3:$B$500,Employees!$A$3:$A$500,$H$3:$H$500,"Approved",$D$3:$D$500,"&lt;="&amp;E460,$E$3:$E$500,"&gt;="&amp;D460,$A$3:$A$500,"&lt;&gt;"&amp;A460)=0)),0))</f>
        <v/>
      </c>
      <c r="P460">
        <f>IF(B460="","",IFERROR(SUMPRODUCT((LEN(Employees!$A$3:$A$500)&gt;0)*(Employees!$W$3:$W$500=1)*(COUNTIFS($B$3:$B$500,Employees!$A$3:$A$500,$H$3:$H$500,"Approved",$D$3:$D$500,"&lt;="&amp;E460,$E$3:$E$500,"&gt;="&amp;D460,$A$3:$A$500,"&lt;&gt;"&amp;A460)=0)),0))</f>
        <v/>
      </c>
      <c r="Q460">
        <f>IF(B460="","",IFERROR(SUMPRODUCT((LEN(Employees!$A$3:$A$500)&gt;0)*(Employees!$N$3:$N$500=1)*(COUNTIFS($B$3:$B$500,Employees!$A$3:$A$500,$H$3:$H$500,"Approved",$D$3:$D$500,"&lt;="&amp;E460,$E$3:$E$500,"&gt;="&amp;D460,$A$3:$A$500,"&lt;&gt;"&amp;A460)&gt;0)),0))</f>
        <v/>
      </c>
      <c r="R460">
        <f>IF(B460="","",IFERROR(SUMPRODUCT((LEN(Employees!$A$3:$A$500)&gt;0)*(Employees!$O$3:$O$500=1)*(COUNTIFS($B$3:$B$500,Employees!$A$3:$A$500,$H$3:$H$500,"Approved",$D$3:$D$500,"&lt;="&amp;E460,$E$3:$E$500,"&gt;="&amp;D460,$A$3:$A$500,"&lt;&gt;"&amp;A460)&gt;0)),0))</f>
        <v/>
      </c>
      <c r="S460">
        <f>IF(OR(B460="",IFERROR(XLOOKUP(B460,Employees!$A$3:$A$500,Employees!$G$3:$G$500,""),"")=""),"",IFERROR(SUMPRODUCT((LEN(Employees!$A$3:$A$500)&gt;0)*(Employees!$G$3:$G$500=IFERROR(XLOOKUP(B460,Employees!$A$3:$A$500,Employees!$G$3:$G$500,""),""))*(COUNTIFS($B$3:$B$500,Employees!$A$3:$A$500,$H$3:$H$500,"Approved",$D$3:$D$500,"&lt;="&amp;E460,$E$3:$E$500,"&gt;="&amp;D460,$A$3:$A$500,"&lt;&gt;"&amp;A460)&gt;0)),0))</f>
        <v/>
      </c>
    </row>
    <row r="461">
      <c r="C461">
        <f>IFERROR(XLOOKUP(B461,Employees!$A$3:$A$500,Employees!$B$3:$B$500,""),"")</f>
        <v/>
      </c>
      <c r="I461">
        <f>IF(AND(B461&lt;&gt;"",D461&lt;&gt;"",E461&lt;&gt;""),E461-D461+1,"")</f>
        <v/>
      </c>
      <c r="J461">
        <f>IF(OR(B461="",D461="",E461=""),"",IF(OR(L461&lt;'Coverage Rules'!E7,M461&lt;'Coverage Rules'!E8,N461&lt;'Coverage Rules'!C8,O461&lt;'Coverage Rules'!E9,P461&lt;'Coverage Rules'!E10,Q461&gt;='Coverage Rules'!B16,R461&gt;='Coverage Rules'!B17,IF(S461="",FALSE,S461&gt;='Coverage Rules'!D24)),"Denied","OK"))</f>
        <v/>
      </c>
      <c r="L461">
        <f>IF(B461="","",IFERROR(SUMPRODUCT((LEN(Employees!$A$3:$A$500)&gt;0)*(Employees!$T$3:$T$500=1)*(COUNTIFS($B$3:$B$500,Employees!$A$3:$A$500,$H$3:$H$500,"Approved",$D$3:$D$500,"&lt;="&amp;E461,$E$3:$E$500,"&gt;="&amp;D461,$A$3:$A$500,"&lt;&gt;"&amp;A461)=0)),0))</f>
        <v/>
      </c>
      <c r="M461">
        <f>IF(B461="","",IFERROR(SUMPRODUCT((LEN(Employees!$A$3:$A$500)&gt;0)*(Employees!$U$3:$U$500=1)*(COUNTIFS($B$3:$B$500,Employees!$A$3:$A$500,$H$3:$H$500,"Approved",$D$3:$D$500,"&lt;="&amp;E461,$E$3:$E$500,"&gt;="&amp;D461,$A$3:$A$500,"&lt;&gt;"&amp;A461)=0)),0))</f>
        <v/>
      </c>
      <c r="N461">
        <f>IF(B461="","",IFERROR(SUMPRODUCT((LEN(Employees!$A$3:$A$500)&gt;0)*(Employees!$B$3:$B$500="Manager")*(Employees!$U$3:$U$500=1)*(COUNTIFS($B$3:$B$500,Employees!$A$3:$A$500,$H$3:$H$500,"Approved",$D$3:$D$500,"&lt;="&amp;E461,$E$3:$E$500,"&gt;="&amp;D461,$A$3:$A$500,"&lt;&gt;"&amp;A461)=0)),0))</f>
        <v/>
      </c>
      <c r="O461">
        <f>IF(B461="","",IFERROR(SUMPRODUCT((LEN(Employees!$A$3:$A$500)&gt;0)*(Employees!$V$3:$V$500=1)*(COUNTIFS($B$3:$B$500,Employees!$A$3:$A$500,$H$3:$H$500,"Approved",$D$3:$D$500,"&lt;="&amp;E461,$E$3:$E$500,"&gt;="&amp;D461,$A$3:$A$500,"&lt;&gt;"&amp;A461)=0)),0))</f>
        <v/>
      </c>
      <c r="P461">
        <f>IF(B461="","",IFERROR(SUMPRODUCT((LEN(Employees!$A$3:$A$500)&gt;0)*(Employees!$W$3:$W$500=1)*(COUNTIFS($B$3:$B$500,Employees!$A$3:$A$500,$H$3:$H$500,"Approved",$D$3:$D$500,"&lt;="&amp;E461,$E$3:$E$500,"&gt;="&amp;D461,$A$3:$A$500,"&lt;&gt;"&amp;A461)=0)),0))</f>
        <v/>
      </c>
      <c r="Q461">
        <f>IF(B461="","",IFERROR(SUMPRODUCT((LEN(Employees!$A$3:$A$500)&gt;0)*(Employees!$N$3:$N$500=1)*(COUNTIFS($B$3:$B$500,Employees!$A$3:$A$500,$H$3:$H$500,"Approved",$D$3:$D$500,"&lt;="&amp;E461,$E$3:$E$500,"&gt;="&amp;D461,$A$3:$A$500,"&lt;&gt;"&amp;A461)&gt;0)),0))</f>
        <v/>
      </c>
      <c r="R461">
        <f>IF(B461="","",IFERROR(SUMPRODUCT((LEN(Employees!$A$3:$A$500)&gt;0)*(Employees!$O$3:$O$500=1)*(COUNTIFS($B$3:$B$500,Employees!$A$3:$A$500,$H$3:$H$500,"Approved",$D$3:$D$500,"&lt;="&amp;E461,$E$3:$E$500,"&gt;="&amp;D461,$A$3:$A$500,"&lt;&gt;"&amp;A461)&gt;0)),0))</f>
        <v/>
      </c>
      <c r="S461">
        <f>IF(OR(B461="",IFERROR(XLOOKUP(B461,Employees!$A$3:$A$500,Employees!$G$3:$G$500,""),"")=""),"",IFERROR(SUMPRODUCT((LEN(Employees!$A$3:$A$500)&gt;0)*(Employees!$G$3:$G$500=IFERROR(XLOOKUP(B461,Employees!$A$3:$A$500,Employees!$G$3:$G$500,""),""))*(COUNTIFS($B$3:$B$500,Employees!$A$3:$A$500,$H$3:$H$500,"Approved",$D$3:$D$500,"&lt;="&amp;E461,$E$3:$E$500,"&gt;="&amp;D461,$A$3:$A$500,"&lt;&gt;"&amp;A461)&gt;0)),0))</f>
        <v/>
      </c>
    </row>
    <row r="462">
      <c r="C462">
        <f>IFERROR(XLOOKUP(B462,Employees!$A$3:$A$500,Employees!$B$3:$B$500,""),"")</f>
        <v/>
      </c>
      <c r="I462">
        <f>IF(AND(B462&lt;&gt;"",D462&lt;&gt;"",E462&lt;&gt;""),E462-D462+1,"")</f>
        <v/>
      </c>
      <c r="J462">
        <f>IF(OR(B462="",D462="",E462=""),"",IF(OR(L462&lt;'Coverage Rules'!E7,M462&lt;'Coverage Rules'!E8,N462&lt;'Coverage Rules'!C8,O462&lt;'Coverage Rules'!E9,P462&lt;'Coverage Rules'!E10,Q462&gt;='Coverage Rules'!B16,R462&gt;='Coverage Rules'!B17,IF(S462="",FALSE,S462&gt;='Coverage Rules'!D24)),"Denied","OK"))</f>
        <v/>
      </c>
      <c r="L462">
        <f>IF(B462="","",IFERROR(SUMPRODUCT((LEN(Employees!$A$3:$A$500)&gt;0)*(Employees!$T$3:$T$500=1)*(COUNTIFS($B$3:$B$500,Employees!$A$3:$A$500,$H$3:$H$500,"Approved",$D$3:$D$500,"&lt;="&amp;E462,$E$3:$E$500,"&gt;="&amp;D462,$A$3:$A$500,"&lt;&gt;"&amp;A462)=0)),0))</f>
        <v/>
      </c>
      <c r="M462">
        <f>IF(B462="","",IFERROR(SUMPRODUCT((LEN(Employees!$A$3:$A$500)&gt;0)*(Employees!$U$3:$U$500=1)*(COUNTIFS($B$3:$B$500,Employees!$A$3:$A$500,$H$3:$H$500,"Approved",$D$3:$D$500,"&lt;="&amp;E462,$E$3:$E$500,"&gt;="&amp;D462,$A$3:$A$500,"&lt;&gt;"&amp;A462)=0)),0))</f>
        <v/>
      </c>
      <c r="N462">
        <f>IF(B462="","",IFERROR(SUMPRODUCT((LEN(Employees!$A$3:$A$500)&gt;0)*(Employees!$B$3:$B$500="Manager")*(Employees!$U$3:$U$500=1)*(COUNTIFS($B$3:$B$500,Employees!$A$3:$A$500,$H$3:$H$500,"Approved",$D$3:$D$500,"&lt;="&amp;E462,$E$3:$E$500,"&gt;="&amp;D462,$A$3:$A$500,"&lt;&gt;"&amp;A462)=0)),0))</f>
        <v/>
      </c>
      <c r="O462">
        <f>IF(B462="","",IFERROR(SUMPRODUCT((LEN(Employees!$A$3:$A$500)&gt;0)*(Employees!$V$3:$V$500=1)*(COUNTIFS($B$3:$B$500,Employees!$A$3:$A$500,$H$3:$H$500,"Approved",$D$3:$D$500,"&lt;="&amp;E462,$E$3:$E$500,"&gt;="&amp;D462,$A$3:$A$500,"&lt;&gt;"&amp;A462)=0)),0))</f>
        <v/>
      </c>
      <c r="P462">
        <f>IF(B462="","",IFERROR(SUMPRODUCT((LEN(Employees!$A$3:$A$500)&gt;0)*(Employees!$W$3:$W$500=1)*(COUNTIFS($B$3:$B$500,Employees!$A$3:$A$500,$H$3:$H$500,"Approved",$D$3:$D$500,"&lt;="&amp;E462,$E$3:$E$500,"&gt;="&amp;D462,$A$3:$A$500,"&lt;&gt;"&amp;A462)=0)),0))</f>
        <v/>
      </c>
      <c r="Q462">
        <f>IF(B462="","",IFERROR(SUMPRODUCT((LEN(Employees!$A$3:$A$500)&gt;0)*(Employees!$N$3:$N$500=1)*(COUNTIFS($B$3:$B$500,Employees!$A$3:$A$500,$H$3:$H$500,"Approved",$D$3:$D$500,"&lt;="&amp;E462,$E$3:$E$500,"&gt;="&amp;D462,$A$3:$A$500,"&lt;&gt;"&amp;A462)&gt;0)),0))</f>
        <v/>
      </c>
      <c r="R462">
        <f>IF(B462="","",IFERROR(SUMPRODUCT((LEN(Employees!$A$3:$A$500)&gt;0)*(Employees!$O$3:$O$500=1)*(COUNTIFS($B$3:$B$500,Employees!$A$3:$A$500,$H$3:$H$500,"Approved",$D$3:$D$500,"&lt;="&amp;E462,$E$3:$E$500,"&gt;="&amp;D462,$A$3:$A$500,"&lt;&gt;"&amp;A462)&gt;0)),0))</f>
        <v/>
      </c>
      <c r="S462">
        <f>IF(OR(B462="",IFERROR(XLOOKUP(B462,Employees!$A$3:$A$500,Employees!$G$3:$G$500,""),"")=""),"",IFERROR(SUMPRODUCT((LEN(Employees!$A$3:$A$500)&gt;0)*(Employees!$G$3:$G$500=IFERROR(XLOOKUP(B462,Employees!$A$3:$A$500,Employees!$G$3:$G$500,""),""))*(COUNTIFS($B$3:$B$500,Employees!$A$3:$A$500,$H$3:$H$500,"Approved",$D$3:$D$500,"&lt;="&amp;E462,$E$3:$E$500,"&gt;="&amp;D462,$A$3:$A$500,"&lt;&gt;"&amp;A462)&gt;0)),0))</f>
        <v/>
      </c>
    </row>
    <row r="463">
      <c r="C463">
        <f>IFERROR(XLOOKUP(B463,Employees!$A$3:$A$500,Employees!$B$3:$B$500,""),"")</f>
        <v/>
      </c>
      <c r="I463">
        <f>IF(AND(B463&lt;&gt;"",D463&lt;&gt;"",E463&lt;&gt;""),E463-D463+1,"")</f>
        <v/>
      </c>
      <c r="J463">
        <f>IF(OR(B463="",D463="",E463=""),"",IF(OR(L463&lt;'Coverage Rules'!E7,M463&lt;'Coverage Rules'!E8,N463&lt;'Coverage Rules'!C8,O463&lt;'Coverage Rules'!E9,P463&lt;'Coverage Rules'!E10,Q463&gt;='Coverage Rules'!B16,R463&gt;='Coverage Rules'!B17,IF(S463="",FALSE,S463&gt;='Coverage Rules'!D24)),"Denied","OK"))</f>
        <v/>
      </c>
      <c r="L463">
        <f>IF(B463="","",IFERROR(SUMPRODUCT((LEN(Employees!$A$3:$A$500)&gt;0)*(Employees!$T$3:$T$500=1)*(COUNTIFS($B$3:$B$500,Employees!$A$3:$A$500,$H$3:$H$500,"Approved",$D$3:$D$500,"&lt;="&amp;E463,$E$3:$E$500,"&gt;="&amp;D463,$A$3:$A$500,"&lt;&gt;"&amp;A463)=0)),0))</f>
        <v/>
      </c>
      <c r="M463">
        <f>IF(B463="","",IFERROR(SUMPRODUCT((LEN(Employees!$A$3:$A$500)&gt;0)*(Employees!$U$3:$U$500=1)*(COUNTIFS($B$3:$B$500,Employees!$A$3:$A$500,$H$3:$H$500,"Approved",$D$3:$D$500,"&lt;="&amp;E463,$E$3:$E$500,"&gt;="&amp;D463,$A$3:$A$500,"&lt;&gt;"&amp;A463)=0)),0))</f>
        <v/>
      </c>
      <c r="N463">
        <f>IF(B463="","",IFERROR(SUMPRODUCT((LEN(Employees!$A$3:$A$500)&gt;0)*(Employees!$B$3:$B$500="Manager")*(Employees!$U$3:$U$500=1)*(COUNTIFS($B$3:$B$500,Employees!$A$3:$A$500,$H$3:$H$500,"Approved",$D$3:$D$500,"&lt;="&amp;E463,$E$3:$E$500,"&gt;="&amp;D463,$A$3:$A$500,"&lt;&gt;"&amp;A463)=0)),0))</f>
        <v/>
      </c>
      <c r="O463">
        <f>IF(B463="","",IFERROR(SUMPRODUCT((LEN(Employees!$A$3:$A$500)&gt;0)*(Employees!$V$3:$V$500=1)*(COUNTIFS($B$3:$B$500,Employees!$A$3:$A$500,$H$3:$H$500,"Approved",$D$3:$D$500,"&lt;="&amp;E463,$E$3:$E$500,"&gt;="&amp;D463,$A$3:$A$500,"&lt;&gt;"&amp;A463)=0)),0))</f>
        <v/>
      </c>
      <c r="P463">
        <f>IF(B463="","",IFERROR(SUMPRODUCT((LEN(Employees!$A$3:$A$500)&gt;0)*(Employees!$W$3:$W$500=1)*(COUNTIFS($B$3:$B$500,Employees!$A$3:$A$500,$H$3:$H$500,"Approved",$D$3:$D$500,"&lt;="&amp;E463,$E$3:$E$500,"&gt;="&amp;D463,$A$3:$A$500,"&lt;&gt;"&amp;A463)=0)),0))</f>
        <v/>
      </c>
      <c r="Q463">
        <f>IF(B463="","",IFERROR(SUMPRODUCT((LEN(Employees!$A$3:$A$500)&gt;0)*(Employees!$N$3:$N$500=1)*(COUNTIFS($B$3:$B$500,Employees!$A$3:$A$500,$H$3:$H$500,"Approved",$D$3:$D$500,"&lt;="&amp;E463,$E$3:$E$500,"&gt;="&amp;D463,$A$3:$A$500,"&lt;&gt;"&amp;A463)&gt;0)),0))</f>
        <v/>
      </c>
      <c r="R463">
        <f>IF(B463="","",IFERROR(SUMPRODUCT((LEN(Employees!$A$3:$A$500)&gt;0)*(Employees!$O$3:$O$500=1)*(COUNTIFS($B$3:$B$500,Employees!$A$3:$A$500,$H$3:$H$500,"Approved",$D$3:$D$500,"&lt;="&amp;E463,$E$3:$E$500,"&gt;="&amp;D463,$A$3:$A$500,"&lt;&gt;"&amp;A463)&gt;0)),0))</f>
        <v/>
      </c>
      <c r="S463">
        <f>IF(OR(B463="",IFERROR(XLOOKUP(B463,Employees!$A$3:$A$500,Employees!$G$3:$G$500,""),"")=""),"",IFERROR(SUMPRODUCT((LEN(Employees!$A$3:$A$500)&gt;0)*(Employees!$G$3:$G$500=IFERROR(XLOOKUP(B463,Employees!$A$3:$A$500,Employees!$G$3:$G$500,""),""))*(COUNTIFS($B$3:$B$500,Employees!$A$3:$A$500,$H$3:$H$500,"Approved",$D$3:$D$500,"&lt;="&amp;E463,$E$3:$E$500,"&gt;="&amp;D463,$A$3:$A$500,"&lt;&gt;"&amp;A463)&gt;0)),0))</f>
        <v/>
      </c>
    </row>
    <row r="464">
      <c r="C464">
        <f>IFERROR(XLOOKUP(B464,Employees!$A$3:$A$500,Employees!$B$3:$B$500,""),"")</f>
        <v/>
      </c>
      <c r="I464">
        <f>IF(AND(B464&lt;&gt;"",D464&lt;&gt;"",E464&lt;&gt;""),E464-D464+1,"")</f>
        <v/>
      </c>
      <c r="J464">
        <f>IF(OR(B464="",D464="",E464=""),"",IF(OR(L464&lt;'Coverage Rules'!E7,M464&lt;'Coverage Rules'!E8,N464&lt;'Coverage Rules'!C8,O464&lt;'Coverage Rules'!E9,P464&lt;'Coverage Rules'!E10,Q464&gt;='Coverage Rules'!B16,R464&gt;='Coverage Rules'!B17,IF(S464="",FALSE,S464&gt;='Coverage Rules'!D24)),"Denied","OK"))</f>
        <v/>
      </c>
      <c r="L464">
        <f>IF(B464="","",IFERROR(SUMPRODUCT((LEN(Employees!$A$3:$A$500)&gt;0)*(Employees!$T$3:$T$500=1)*(COUNTIFS($B$3:$B$500,Employees!$A$3:$A$500,$H$3:$H$500,"Approved",$D$3:$D$500,"&lt;="&amp;E464,$E$3:$E$500,"&gt;="&amp;D464,$A$3:$A$500,"&lt;&gt;"&amp;A464)=0)),0))</f>
        <v/>
      </c>
      <c r="M464">
        <f>IF(B464="","",IFERROR(SUMPRODUCT((LEN(Employees!$A$3:$A$500)&gt;0)*(Employees!$U$3:$U$500=1)*(COUNTIFS($B$3:$B$500,Employees!$A$3:$A$500,$H$3:$H$500,"Approved",$D$3:$D$500,"&lt;="&amp;E464,$E$3:$E$500,"&gt;="&amp;D464,$A$3:$A$500,"&lt;&gt;"&amp;A464)=0)),0))</f>
        <v/>
      </c>
      <c r="N464">
        <f>IF(B464="","",IFERROR(SUMPRODUCT((LEN(Employees!$A$3:$A$500)&gt;0)*(Employees!$B$3:$B$500="Manager")*(Employees!$U$3:$U$500=1)*(COUNTIFS($B$3:$B$500,Employees!$A$3:$A$500,$H$3:$H$500,"Approved",$D$3:$D$500,"&lt;="&amp;E464,$E$3:$E$500,"&gt;="&amp;D464,$A$3:$A$500,"&lt;&gt;"&amp;A464)=0)),0))</f>
        <v/>
      </c>
      <c r="O464">
        <f>IF(B464="","",IFERROR(SUMPRODUCT((LEN(Employees!$A$3:$A$500)&gt;0)*(Employees!$V$3:$V$500=1)*(COUNTIFS($B$3:$B$500,Employees!$A$3:$A$500,$H$3:$H$500,"Approved",$D$3:$D$500,"&lt;="&amp;E464,$E$3:$E$500,"&gt;="&amp;D464,$A$3:$A$500,"&lt;&gt;"&amp;A464)=0)),0))</f>
        <v/>
      </c>
      <c r="P464">
        <f>IF(B464="","",IFERROR(SUMPRODUCT((LEN(Employees!$A$3:$A$500)&gt;0)*(Employees!$W$3:$W$500=1)*(COUNTIFS($B$3:$B$500,Employees!$A$3:$A$500,$H$3:$H$500,"Approved",$D$3:$D$500,"&lt;="&amp;E464,$E$3:$E$500,"&gt;="&amp;D464,$A$3:$A$500,"&lt;&gt;"&amp;A464)=0)),0))</f>
        <v/>
      </c>
      <c r="Q464">
        <f>IF(B464="","",IFERROR(SUMPRODUCT((LEN(Employees!$A$3:$A$500)&gt;0)*(Employees!$N$3:$N$500=1)*(COUNTIFS($B$3:$B$500,Employees!$A$3:$A$500,$H$3:$H$500,"Approved",$D$3:$D$500,"&lt;="&amp;E464,$E$3:$E$500,"&gt;="&amp;D464,$A$3:$A$500,"&lt;&gt;"&amp;A464)&gt;0)),0))</f>
        <v/>
      </c>
      <c r="R464">
        <f>IF(B464="","",IFERROR(SUMPRODUCT((LEN(Employees!$A$3:$A$500)&gt;0)*(Employees!$O$3:$O$500=1)*(COUNTIFS($B$3:$B$500,Employees!$A$3:$A$500,$H$3:$H$500,"Approved",$D$3:$D$500,"&lt;="&amp;E464,$E$3:$E$500,"&gt;="&amp;D464,$A$3:$A$500,"&lt;&gt;"&amp;A464)&gt;0)),0))</f>
        <v/>
      </c>
      <c r="S464">
        <f>IF(OR(B464="",IFERROR(XLOOKUP(B464,Employees!$A$3:$A$500,Employees!$G$3:$G$500,""),"")=""),"",IFERROR(SUMPRODUCT((LEN(Employees!$A$3:$A$500)&gt;0)*(Employees!$G$3:$G$500=IFERROR(XLOOKUP(B464,Employees!$A$3:$A$500,Employees!$G$3:$G$500,""),""))*(COUNTIFS($B$3:$B$500,Employees!$A$3:$A$500,$H$3:$H$500,"Approved",$D$3:$D$500,"&lt;="&amp;E464,$E$3:$E$500,"&gt;="&amp;D464,$A$3:$A$500,"&lt;&gt;"&amp;A464)&gt;0)),0))</f>
        <v/>
      </c>
    </row>
    <row r="465">
      <c r="C465">
        <f>IFERROR(XLOOKUP(B465,Employees!$A$3:$A$500,Employees!$B$3:$B$500,""),"")</f>
        <v/>
      </c>
      <c r="I465">
        <f>IF(AND(B465&lt;&gt;"",D465&lt;&gt;"",E465&lt;&gt;""),E465-D465+1,"")</f>
        <v/>
      </c>
      <c r="J465">
        <f>IF(OR(B465="",D465="",E465=""),"",IF(OR(L465&lt;'Coverage Rules'!E7,M465&lt;'Coverage Rules'!E8,N465&lt;'Coverage Rules'!C8,O465&lt;'Coverage Rules'!E9,P465&lt;'Coverage Rules'!E10,Q465&gt;='Coverage Rules'!B16,R465&gt;='Coverage Rules'!B17,IF(S465="",FALSE,S465&gt;='Coverage Rules'!D24)),"Denied","OK"))</f>
        <v/>
      </c>
      <c r="L465">
        <f>IF(B465="","",IFERROR(SUMPRODUCT((LEN(Employees!$A$3:$A$500)&gt;0)*(Employees!$T$3:$T$500=1)*(COUNTIFS($B$3:$B$500,Employees!$A$3:$A$500,$H$3:$H$500,"Approved",$D$3:$D$500,"&lt;="&amp;E465,$E$3:$E$500,"&gt;="&amp;D465,$A$3:$A$500,"&lt;&gt;"&amp;A465)=0)),0))</f>
        <v/>
      </c>
      <c r="M465">
        <f>IF(B465="","",IFERROR(SUMPRODUCT((LEN(Employees!$A$3:$A$500)&gt;0)*(Employees!$U$3:$U$500=1)*(COUNTIFS($B$3:$B$500,Employees!$A$3:$A$500,$H$3:$H$500,"Approved",$D$3:$D$500,"&lt;="&amp;E465,$E$3:$E$500,"&gt;="&amp;D465,$A$3:$A$500,"&lt;&gt;"&amp;A465)=0)),0))</f>
        <v/>
      </c>
      <c r="N465">
        <f>IF(B465="","",IFERROR(SUMPRODUCT((LEN(Employees!$A$3:$A$500)&gt;0)*(Employees!$B$3:$B$500="Manager")*(Employees!$U$3:$U$500=1)*(COUNTIFS($B$3:$B$500,Employees!$A$3:$A$500,$H$3:$H$500,"Approved",$D$3:$D$500,"&lt;="&amp;E465,$E$3:$E$500,"&gt;="&amp;D465,$A$3:$A$500,"&lt;&gt;"&amp;A465)=0)),0))</f>
        <v/>
      </c>
      <c r="O465">
        <f>IF(B465="","",IFERROR(SUMPRODUCT((LEN(Employees!$A$3:$A$500)&gt;0)*(Employees!$V$3:$V$500=1)*(COUNTIFS($B$3:$B$500,Employees!$A$3:$A$500,$H$3:$H$500,"Approved",$D$3:$D$500,"&lt;="&amp;E465,$E$3:$E$500,"&gt;="&amp;D465,$A$3:$A$500,"&lt;&gt;"&amp;A465)=0)),0))</f>
        <v/>
      </c>
      <c r="P465">
        <f>IF(B465="","",IFERROR(SUMPRODUCT((LEN(Employees!$A$3:$A$500)&gt;0)*(Employees!$W$3:$W$500=1)*(COUNTIFS($B$3:$B$500,Employees!$A$3:$A$500,$H$3:$H$500,"Approved",$D$3:$D$500,"&lt;="&amp;E465,$E$3:$E$500,"&gt;="&amp;D465,$A$3:$A$500,"&lt;&gt;"&amp;A465)=0)),0))</f>
        <v/>
      </c>
      <c r="Q465">
        <f>IF(B465="","",IFERROR(SUMPRODUCT((LEN(Employees!$A$3:$A$500)&gt;0)*(Employees!$N$3:$N$500=1)*(COUNTIFS($B$3:$B$500,Employees!$A$3:$A$500,$H$3:$H$500,"Approved",$D$3:$D$500,"&lt;="&amp;E465,$E$3:$E$500,"&gt;="&amp;D465,$A$3:$A$500,"&lt;&gt;"&amp;A465)&gt;0)),0))</f>
        <v/>
      </c>
      <c r="R465">
        <f>IF(B465="","",IFERROR(SUMPRODUCT((LEN(Employees!$A$3:$A$500)&gt;0)*(Employees!$O$3:$O$500=1)*(COUNTIFS($B$3:$B$500,Employees!$A$3:$A$500,$H$3:$H$500,"Approved",$D$3:$D$500,"&lt;="&amp;E465,$E$3:$E$500,"&gt;="&amp;D465,$A$3:$A$500,"&lt;&gt;"&amp;A465)&gt;0)),0))</f>
        <v/>
      </c>
      <c r="S465">
        <f>IF(OR(B465="",IFERROR(XLOOKUP(B465,Employees!$A$3:$A$500,Employees!$G$3:$G$500,""),"")=""),"",IFERROR(SUMPRODUCT((LEN(Employees!$A$3:$A$500)&gt;0)*(Employees!$G$3:$G$500=IFERROR(XLOOKUP(B465,Employees!$A$3:$A$500,Employees!$G$3:$G$500,""),""))*(COUNTIFS($B$3:$B$500,Employees!$A$3:$A$500,$H$3:$H$500,"Approved",$D$3:$D$500,"&lt;="&amp;E465,$E$3:$E$500,"&gt;="&amp;D465,$A$3:$A$500,"&lt;&gt;"&amp;A465)&gt;0)),0))</f>
        <v/>
      </c>
    </row>
    <row r="466">
      <c r="C466">
        <f>IFERROR(XLOOKUP(B466,Employees!$A$3:$A$500,Employees!$B$3:$B$500,""),"")</f>
        <v/>
      </c>
      <c r="I466">
        <f>IF(AND(B466&lt;&gt;"",D466&lt;&gt;"",E466&lt;&gt;""),E466-D466+1,"")</f>
        <v/>
      </c>
      <c r="J466">
        <f>IF(OR(B466="",D466="",E466=""),"",IF(OR(L466&lt;'Coverage Rules'!E7,M466&lt;'Coverage Rules'!E8,N466&lt;'Coverage Rules'!C8,O466&lt;'Coverage Rules'!E9,P466&lt;'Coverage Rules'!E10,Q466&gt;='Coverage Rules'!B16,R466&gt;='Coverage Rules'!B17,IF(S466="",FALSE,S466&gt;='Coverage Rules'!D24)),"Denied","OK"))</f>
        <v/>
      </c>
      <c r="L466">
        <f>IF(B466="","",IFERROR(SUMPRODUCT((LEN(Employees!$A$3:$A$500)&gt;0)*(Employees!$T$3:$T$500=1)*(COUNTIFS($B$3:$B$500,Employees!$A$3:$A$500,$H$3:$H$500,"Approved",$D$3:$D$500,"&lt;="&amp;E466,$E$3:$E$500,"&gt;="&amp;D466,$A$3:$A$500,"&lt;&gt;"&amp;A466)=0)),0))</f>
        <v/>
      </c>
      <c r="M466">
        <f>IF(B466="","",IFERROR(SUMPRODUCT((LEN(Employees!$A$3:$A$500)&gt;0)*(Employees!$U$3:$U$500=1)*(COUNTIFS($B$3:$B$500,Employees!$A$3:$A$500,$H$3:$H$500,"Approved",$D$3:$D$500,"&lt;="&amp;E466,$E$3:$E$500,"&gt;="&amp;D466,$A$3:$A$500,"&lt;&gt;"&amp;A466)=0)),0))</f>
        <v/>
      </c>
      <c r="N466">
        <f>IF(B466="","",IFERROR(SUMPRODUCT((LEN(Employees!$A$3:$A$500)&gt;0)*(Employees!$B$3:$B$500="Manager")*(Employees!$U$3:$U$500=1)*(COUNTIFS($B$3:$B$500,Employees!$A$3:$A$500,$H$3:$H$500,"Approved",$D$3:$D$500,"&lt;="&amp;E466,$E$3:$E$500,"&gt;="&amp;D466,$A$3:$A$500,"&lt;&gt;"&amp;A466)=0)),0))</f>
        <v/>
      </c>
      <c r="O466">
        <f>IF(B466="","",IFERROR(SUMPRODUCT((LEN(Employees!$A$3:$A$500)&gt;0)*(Employees!$V$3:$V$500=1)*(COUNTIFS($B$3:$B$500,Employees!$A$3:$A$500,$H$3:$H$500,"Approved",$D$3:$D$500,"&lt;="&amp;E466,$E$3:$E$500,"&gt;="&amp;D466,$A$3:$A$500,"&lt;&gt;"&amp;A466)=0)),0))</f>
        <v/>
      </c>
      <c r="P466">
        <f>IF(B466="","",IFERROR(SUMPRODUCT((LEN(Employees!$A$3:$A$500)&gt;0)*(Employees!$W$3:$W$500=1)*(COUNTIFS($B$3:$B$500,Employees!$A$3:$A$500,$H$3:$H$500,"Approved",$D$3:$D$500,"&lt;="&amp;E466,$E$3:$E$500,"&gt;="&amp;D466,$A$3:$A$500,"&lt;&gt;"&amp;A466)=0)),0))</f>
        <v/>
      </c>
      <c r="Q466">
        <f>IF(B466="","",IFERROR(SUMPRODUCT((LEN(Employees!$A$3:$A$500)&gt;0)*(Employees!$N$3:$N$500=1)*(COUNTIFS($B$3:$B$500,Employees!$A$3:$A$500,$H$3:$H$500,"Approved",$D$3:$D$500,"&lt;="&amp;E466,$E$3:$E$500,"&gt;="&amp;D466,$A$3:$A$500,"&lt;&gt;"&amp;A466)&gt;0)),0))</f>
        <v/>
      </c>
      <c r="R466">
        <f>IF(B466="","",IFERROR(SUMPRODUCT((LEN(Employees!$A$3:$A$500)&gt;0)*(Employees!$O$3:$O$500=1)*(COUNTIFS($B$3:$B$500,Employees!$A$3:$A$500,$H$3:$H$500,"Approved",$D$3:$D$500,"&lt;="&amp;E466,$E$3:$E$500,"&gt;="&amp;D466,$A$3:$A$500,"&lt;&gt;"&amp;A466)&gt;0)),0))</f>
        <v/>
      </c>
      <c r="S466">
        <f>IF(OR(B466="",IFERROR(XLOOKUP(B466,Employees!$A$3:$A$500,Employees!$G$3:$G$500,""),"")=""),"",IFERROR(SUMPRODUCT((LEN(Employees!$A$3:$A$500)&gt;0)*(Employees!$G$3:$G$500=IFERROR(XLOOKUP(B466,Employees!$A$3:$A$500,Employees!$G$3:$G$500,""),""))*(COUNTIFS($B$3:$B$500,Employees!$A$3:$A$500,$H$3:$H$500,"Approved",$D$3:$D$500,"&lt;="&amp;E466,$E$3:$E$500,"&gt;="&amp;D466,$A$3:$A$500,"&lt;&gt;"&amp;A466)&gt;0)),0))</f>
        <v/>
      </c>
    </row>
    <row r="467">
      <c r="C467">
        <f>IFERROR(XLOOKUP(B467,Employees!$A$3:$A$500,Employees!$B$3:$B$500,""),"")</f>
        <v/>
      </c>
      <c r="I467">
        <f>IF(AND(B467&lt;&gt;"",D467&lt;&gt;"",E467&lt;&gt;""),E467-D467+1,"")</f>
        <v/>
      </c>
      <c r="J467">
        <f>IF(OR(B467="",D467="",E467=""),"",IF(OR(L467&lt;'Coverage Rules'!E7,M467&lt;'Coverage Rules'!E8,N467&lt;'Coverage Rules'!C8,O467&lt;'Coverage Rules'!E9,P467&lt;'Coverage Rules'!E10,Q467&gt;='Coverage Rules'!B16,R467&gt;='Coverage Rules'!B17,IF(S467="",FALSE,S467&gt;='Coverage Rules'!D24)),"Denied","OK"))</f>
        <v/>
      </c>
      <c r="L467">
        <f>IF(B467="","",IFERROR(SUMPRODUCT((LEN(Employees!$A$3:$A$500)&gt;0)*(Employees!$T$3:$T$500=1)*(COUNTIFS($B$3:$B$500,Employees!$A$3:$A$500,$H$3:$H$500,"Approved",$D$3:$D$500,"&lt;="&amp;E467,$E$3:$E$500,"&gt;="&amp;D467,$A$3:$A$500,"&lt;&gt;"&amp;A467)=0)),0))</f>
        <v/>
      </c>
      <c r="M467">
        <f>IF(B467="","",IFERROR(SUMPRODUCT((LEN(Employees!$A$3:$A$500)&gt;0)*(Employees!$U$3:$U$500=1)*(COUNTIFS($B$3:$B$500,Employees!$A$3:$A$500,$H$3:$H$500,"Approved",$D$3:$D$500,"&lt;="&amp;E467,$E$3:$E$500,"&gt;="&amp;D467,$A$3:$A$500,"&lt;&gt;"&amp;A467)=0)),0))</f>
        <v/>
      </c>
      <c r="N467">
        <f>IF(B467="","",IFERROR(SUMPRODUCT((LEN(Employees!$A$3:$A$500)&gt;0)*(Employees!$B$3:$B$500="Manager")*(Employees!$U$3:$U$500=1)*(COUNTIFS($B$3:$B$500,Employees!$A$3:$A$500,$H$3:$H$500,"Approved",$D$3:$D$500,"&lt;="&amp;E467,$E$3:$E$500,"&gt;="&amp;D467,$A$3:$A$500,"&lt;&gt;"&amp;A467)=0)),0))</f>
        <v/>
      </c>
      <c r="O467">
        <f>IF(B467="","",IFERROR(SUMPRODUCT((LEN(Employees!$A$3:$A$500)&gt;0)*(Employees!$V$3:$V$500=1)*(COUNTIFS($B$3:$B$500,Employees!$A$3:$A$500,$H$3:$H$500,"Approved",$D$3:$D$500,"&lt;="&amp;E467,$E$3:$E$500,"&gt;="&amp;D467,$A$3:$A$500,"&lt;&gt;"&amp;A467)=0)),0))</f>
        <v/>
      </c>
      <c r="P467">
        <f>IF(B467="","",IFERROR(SUMPRODUCT((LEN(Employees!$A$3:$A$500)&gt;0)*(Employees!$W$3:$W$500=1)*(COUNTIFS($B$3:$B$500,Employees!$A$3:$A$500,$H$3:$H$500,"Approved",$D$3:$D$500,"&lt;="&amp;E467,$E$3:$E$500,"&gt;="&amp;D467,$A$3:$A$500,"&lt;&gt;"&amp;A467)=0)),0))</f>
        <v/>
      </c>
      <c r="Q467">
        <f>IF(B467="","",IFERROR(SUMPRODUCT((LEN(Employees!$A$3:$A$500)&gt;0)*(Employees!$N$3:$N$500=1)*(COUNTIFS($B$3:$B$500,Employees!$A$3:$A$500,$H$3:$H$500,"Approved",$D$3:$D$500,"&lt;="&amp;E467,$E$3:$E$500,"&gt;="&amp;D467,$A$3:$A$500,"&lt;&gt;"&amp;A467)&gt;0)),0))</f>
        <v/>
      </c>
      <c r="R467">
        <f>IF(B467="","",IFERROR(SUMPRODUCT((LEN(Employees!$A$3:$A$500)&gt;0)*(Employees!$O$3:$O$500=1)*(COUNTIFS($B$3:$B$500,Employees!$A$3:$A$500,$H$3:$H$500,"Approved",$D$3:$D$500,"&lt;="&amp;E467,$E$3:$E$500,"&gt;="&amp;D467,$A$3:$A$500,"&lt;&gt;"&amp;A467)&gt;0)),0))</f>
        <v/>
      </c>
      <c r="S467">
        <f>IF(OR(B467="",IFERROR(XLOOKUP(B467,Employees!$A$3:$A$500,Employees!$G$3:$G$500,""),"")=""),"",IFERROR(SUMPRODUCT((LEN(Employees!$A$3:$A$500)&gt;0)*(Employees!$G$3:$G$500=IFERROR(XLOOKUP(B467,Employees!$A$3:$A$500,Employees!$G$3:$G$500,""),""))*(COUNTIFS($B$3:$B$500,Employees!$A$3:$A$500,$H$3:$H$500,"Approved",$D$3:$D$500,"&lt;="&amp;E467,$E$3:$E$500,"&gt;="&amp;D467,$A$3:$A$500,"&lt;&gt;"&amp;A467)&gt;0)),0))</f>
        <v/>
      </c>
    </row>
    <row r="468">
      <c r="C468">
        <f>IFERROR(XLOOKUP(B468,Employees!$A$3:$A$500,Employees!$B$3:$B$500,""),"")</f>
        <v/>
      </c>
      <c r="I468">
        <f>IF(AND(B468&lt;&gt;"",D468&lt;&gt;"",E468&lt;&gt;""),E468-D468+1,"")</f>
        <v/>
      </c>
      <c r="J468">
        <f>IF(OR(B468="",D468="",E468=""),"",IF(OR(L468&lt;'Coverage Rules'!E7,M468&lt;'Coverage Rules'!E8,N468&lt;'Coverage Rules'!C8,O468&lt;'Coverage Rules'!E9,P468&lt;'Coverage Rules'!E10,Q468&gt;='Coverage Rules'!B16,R468&gt;='Coverage Rules'!B17,IF(S468="",FALSE,S468&gt;='Coverage Rules'!D24)),"Denied","OK"))</f>
        <v/>
      </c>
      <c r="L468">
        <f>IF(B468="","",IFERROR(SUMPRODUCT((LEN(Employees!$A$3:$A$500)&gt;0)*(Employees!$T$3:$T$500=1)*(COUNTIFS($B$3:$B$500,Employees!$A$3:$A$500,$H$3:$H$500,"Approved",$D$3:$D$500,"&lt;="&amp;E468,$E$3:$E$500,"&gt;="&amp;D468,$A$3:$A$500,"&lt;&gt;"&amp;A468)=0)),0))</f>
        <v/>
      </c>
      <c r="M468">
        <f>IF(B468="","",IFERROR(SUMPRODUCT((LEN(Employees!$A$3:$A$500)&gt;0)*(Employees!$U$3:$U$500=1)*(COUNTIFS($B$3:$B$500,Employees!$A$3:$A$500,$H$3:$H$500,"Approved",$D$3:$D$500,"&lt;="&amp;E468,$E$3:$E$500,"&gt;="&amp;D468,$A$3:$A$500,"&lt;&gt;"&amp;A468)=0)),0))</f>
        <v/>
      </c>
      <c r="N468">
        <f>IF(B468="","",IFERROR(SUMPRODUCT((LEN(Employees!$A$3:$A$500)&gt;0)*(Employees!$B$3:$B$500="Manager")*(Employees!$U$3:$U$500=1)*(COUNTIFS($B$3:$B$500,Employees!$A$3:$A$500,$H$3:$H$500,"Approved",$D$3:$D$500,"&lt;="&amp;E468,$E$3:$E$500,"&gt;="&amp;D468,$A$3:$A$500,"&lt;&gt;"&amp;A468)=0)),0))</f>
        <v/>
      </c>
      <c r="O468">
        <f>IF(B468="","",IFERROR(SUMPRODUCT((LEN(Employees!$A$3:$A$500)&gt;0)*(Employees!$V$3:$V$500=1)*(COUNTIFS($B$3:$B$500,Employees!$A$3:$A$500,$H$3:$H$500,"Approved",$D$3:$D$500,"&lt;="&amp;E468,$E$3:$E$500,"&gt;="&amp;D468,$A$3:$A$500,"&lt;&gt;"&amp;A468)=0)),0))</f>
        <v/>
      </c>
      <c r="P468">
        <f>IF(B468="","",IFERROR(SUMPRODUCT((LEN(Employees!$A$3:$A$500)&gt;0)*(Employees!$W$3:$W$500=1)*(COUNTIFS($B$3:$B$500,Employees!$A$3:$A$500,$H$3:$H$500,"Approved",$D$3:$D$500,"&lt;="&amp;E468,$E$3:$E$500,"&gt;="&amp;D468,$A$3:$A$500,"&lt;&gt;"&amp;A468)=0)),0))</f>
        <v/>
      </c>
      <c r="Q468">
        <f>IF(B468="","",IFERROR(SUMPRODUCT((LEN(Employees!$A$3:$A$500)&gt;0)*(Employees!$N$3:$N$500=1)*(COUNTIFS($B$3:$B$500,Employees!$A$3:$A$500,$H$3:$H$500,"Approved",$D$3:$D$500,"&lt;="&amp;E468,$E$3:$E$500,"&gt;="&amp;D468,$A$3:$A$500,"&lt;&gt;"&amp;A468)&gt;0)),0))</f>
        <v/>
      </c>
      <c r="R468">
        <f>IF(B468="","",IFERROR(SUMPRODUCT((LEN(Employees!$A$3:$A$500)&gt;0)*(Employees!$O$3:$O$500=1)*(COUNTIFS($B$3:$B$500,Employees!$A$3:$A$500,$H$3:$H$500,"Approved",$D$3:$D$500,"&lt;="&amp;E468,$E$3:$E$500,"&gt;="&amp;D468,$A$3:$A$500,"&lt;&gt;"&amp;A468)&gt;0)),0))</f>
        <v/>
      </c>
      <c r="S468">
        <f>IF(OR(B468="",IFERROR(XLOOKUP(B468,Employees!$A$3:$A$500,Employees!$G$3:$G$500,""),"")=""),"",IFERROR(SUMPRODUCT((LEN(Employees!$A$3:$A$500)&gt;0)*(Employees!$G$3:$G$500=IFERROR(XLOOKUP(B468,Employees!$A$3:$A$500,Employees!$G$3:$G$500,""),""))*(COUNTIFS($B$3:$B$500,Employees!$A$3:$A$500,$H$3:$H$500,"Approved",$D$3:$D$500,"&lt;="&amp;E468,$E$3:$E$500,"&gt;="&amp;D468,$A$3:$A$500,"&lt;&gt;"&amp;A468)&gt;0)),0))</f>
        <v/>
      </c>
    </row>
    <row r="469">
      <c r="C469">
        <f>IFERROR(XLOOKUP(B469,Employees!$A$3:$A$500,Employees!$B$3:$B$500,""),"")</f>
        <v/>
      </c>
      <c r="I469">
        <f>IF(AND(B469&lt;&gt;"",D469&lt;&gt;"",E469&lt;&gt;""),E469-D469+1,"")</f>
        <v/>
      </c>
      <c r="J469">
        <f>IF(OR(B469="",D469="",E469=""),"",IF(OR(L469&lt;'Coverage Rules'!E7,M469&lt;'Coverage Rules'!E8,N469&lt;'Coverage Rules'!C8,O469&lt;'Coverage Rules'!E9,P469&lt;'Coverage Rules'!E10,Q469&gt;='Coverage Rules'!B16,R469&gt;='Coverage Rules'!B17,IF(S469="",FALSE,S469&gt;='Coverage Rules'!D24)),"Denied","OK"))</f>
        <v/>
      </c>
      <c r="L469">
        <f>IF(B469="","",IFERROR(SUMPRODUCT((LEN(Employees!$A$3:$A$500)&gt;0)*(Employees!$T$3:$T$500=1)*(COUNTIFS($B$3:$B$500,Employees!$A$3:$A$500,$H$3:$H$500,"Approved",$D$3:$D$500,"&lt;="&amp;E469,$E$3:$E$500,"&gt;="&amp;D469,$A$3:$A$500,"&lt;&gt;"&amp;A469)=0)),0))</f>
        <v/>
      </c>
      <c r="M469">
        <f>IF(B469="","",IFERROR(SUMPRODUCT((LEN(Employees!$A$3:$A$500)&gt;0)*(Employees!$U$3:$U$500=1)*(COUNTIFS($B$3:$B$500,Employees!$A$3:$A$500,$H$3:$H$500,"Approved",$D$3:$D$500,"&lt;="&amp;E469,$E$3:$E$500,"&gt;="&amp;D469,$A$3:$A$500,"&lt;&gt;"&amp;A469)=0)),0))</f>
        <v/>
      </c>
      <c r="N469">
        <f>IF(B469="","",IFERROR(SUMPRODUCT((LEN(Employees!$A$3:$A$500)&gt;0)*(Employees!$B$3:$B$500="Manager")*(Employees!$U$3:$U$500=1)*(COUNTIFS($B$3:$B$500,Employees!$A$3:$A$500,$H$3:$H$500,"Approved",$D$3:$D$500,"&lt;="&amp;E469,$E$3:$E$500,"&gt;="&amp;D469,$A$3:$A$500,"&lt;&gt;"&amp;A469)=0)),0))</f>
        <v/>
      </c>
      <c r="O469">
        <f>IF(B469="","",IFERROR(SUMPRODUCT((LEN(Employees!$A$3:$A$500)&gt;0)*(Employees!$V$3:$V$500=1)*(COUNTIFS($B$3:$B$500,Employees!$A$3:$A$500,$H$3:$H$500,"Approved",$D$3:$D$500,"&lt;="&amp;E469,$E$3:$E$500,"&gt;="&amp;D469,$A$3:$A$500,"&lt;&gt;"&amp;A469)=0)),0))</f>
        <v/>
      </c>
      <c r="P469">
        <f>IF(B469="","",IFERROR(SUMPRODUCT((LEN(Employees!$A$3:$A$500)&gt;0)*(Employees!$W$3:$W$500=1)*(COUNTIFS($B$3:$B$500,Employees!$A$3:$A$500,$H$3:$H$500,"Approved",$D$3:$D$500,"&lt;="&amp;E469,$E$3:$E$500,"&gt;="&amp;D469,$A$3:$A$500,"&lt;&gt;"&amp;A469)=0)),0))</f>
        <v/>
      </c>
      <c r="Q469">
        <f>IF(B469="","",IFERROR(SUMPRODUCT((LEN(Employees!$A$3:$A$500)&gt;0)*(Employees!$N$3:$N$500=1)*(COUNTIFS($B$3:$B$500,Employees!$A$3:$A$500,$H$3:$H$500,"Approved",$D$3:$D$500,"&lt;="&amp;E469,$E$3:$E$500,"&gt;="&amp;D469,$A$3:$A$500,"&lt;&gt;"&amp;A469)&gt;0)),0))</f>
        <v/>
      </c>
      <c r="R469">
        <f>IF(B469="","",IFERROR(SUMPRODUCT((LEN(Employees!$A$3:$A$500)&gt;0)*(Employees!$O$3:$O$500=1)*(COUNTIFS($B$3:$B$500,Employees!$A$3:$A$500,$H$3:$H$500,"Approved",$D$3:$D$500,"&lt;="&amp;E469,$E$3:$E$500,"&gt;="&amp;D469,$A$3:$A$500,"&lt;&gt;"&amp;A469)&gt;0)),0))</f>
        <v/>
      </c>
      <c r="S469">
        <f>IF(OR(B469="",IFERROR(XLOOKUP(B469,Employees!$A$3:$A$500,Employees!$G$3:$G$500,""),"")=""),"",IFERROR(SUMPRODUCT((LEN(Employees!$A$3:$A$500)&gt;0)*(Employees!$G$3:$G$500=IFERROR(XLOOKUP(B469,Employees!$A$3:$A$500,Employees!$G$3:$G$500,""),""))*(COUNTIFS($B$3:$B$500,Employees!$A$3:$A$500,$H$3:$H$500,"Approved",$D$3:$D$500,"&lt;="&amp;E469,$E$3:$E$500,"&gt;="&amp;D469,$A$3:$A$500,"&lt;&gt;"&amp;A469)&gt;0)),0))</f>
        <v/>
      </c>
    </row>
    <row r="470">
      <c r="C470">
        <f>IFERROR(XLOOKUP(B470,Employees!$A$3:$A$500,Employees!$B$3:$B$500,""),"")</f>
        <v/>
      </c>
      <c r="I470">
        <f>IF(AND(B470&lt;&gt;"",D470&lt;&gt;"",E470&lt;&gt;""),E470-D470+1,"")</f>
        <v/>
      </c>
      <c r="J470">
        <f>IF(OR(B470="",D470="",E470=""),"",IF(OR(L470&lt;'Coverage Rules'!E7,M470&lt;'Coverage Rules'!E8,N470&lt;'Coverage Rules'!C8,O470&lt;'Coverage Rules'!E9,P470&lt;'Coverage Rules'!E10,Q470&gt;='Coverage Rules'!B16,R470&gt;='Coverage Rules'!B17,IF(S470="",FALSE,S470&gt;='Coverage Rules'!D24)),"Denied","OK"))</f>
        <v/>
      </c>
      <c r="L470">
        <f>IF(B470="","",IFERROR(SUMPRODUCT((LEN(Employees!$A$3:$A$500)&gt;0)*(Employees!$T$3:$T$500=1)*(COUNTIFS($B$3:$B$500,Employees!$A$3:$A$500,$H$3:$H$500,"Approved",$D$3:$D$500,"&lt;="&amp;E470,$E$3:$E$500,"&gt;="&amp;D470,$A$3:$A$500,"&lt;&gt;"&amp;A470)=0)),0))</f>
        <v/>
      </c>
      <c r="M470">
        <f>IF(B470="","",IFERROR(SUMPRODUCT((LEN(Employees!$A$3:$A$500)&gt;0)*(Employees!$U$3:$U$500=1)*(COUNTIFS($B$3:$B$500,Employees!$A$3:$A$500,$H$3:$H$500,"Approved",$D$3:$D$500,"&lt;="&amp;E470,$E$3:$E$500,"&gt;="&amp;D470,$A$3:$A$500,"&lt;&gt;"&amp;A470)=0)),0))</f>
        <v/>
      </c>
      <c r="N470">
        <f>IF(B470="","",IFERROR(SUMPRODUCT((LEN(Employees!$A$3:$A$500)&gt;0)*(Employees!$B$3:$B$500="Manager")*(Employees!$U$3:$U$500=1)*(COUNTIFS($B$3:$B$500,Employees!$A$3:$A$500,$H$3:$H$500,"Approved",$D$3:$D$500,"&lt;="&amp;E470,$E$3:$E$500,"&gt;="&amp;D470,$A$3:$A$500,"&lt;&gt;"&amp;A470)=0)),0))</f>
        <v/>
      </c>
      <c r="O470">
        <f>IF(B470="","",IFERROR(SUMPRODUCT((LEN(Employees!$A$3:$A$500)&gt;0)*(Employees!$V$3:$V$500=1)*(COUNTIFS($B$3:$B$500,Employees!$A$3:$A$500,$H$3:$H$500,"Approved",$D$3:$D$500,"&lt;="&amp;E470,$E$3:$E$500,"&gt;="&amp;D470,$A$3:$A$500,"&lt;&gt;"&amp;A470)=0)),0))</f>
        <v/>
      </c>
      <c r="P470">
        <f>IF(B470="","",IFERROR(SUMPRODUCT((LEN(Employees!$A$3:$A$500)&gt;0)*(Employees!$W$3:$W$500=1)*(COUNTIFS($B$3:$B$500,Employees!$A$3:$A$500,$H$3:$H$500,"Approved",$D$3:$D$500,"&lt;="&amp;E470,$E$3:$E$500,"&gt;="&amp;D470,$A$3:$A$500,"&lt;&gt;"&amp;A470)=0)),0))</f>
        <v/>
      </c>
      <c r="Q470">
        <f>IF(B470="","",IFERROR(SUMPRODUCT((LEN(Employees!$A$3:$A$500)&gt;0)*(Employees!$N$3:$N$500=1)*(COUNTIFS($B$3:$B$500,Employees!$A$3:$A$500,$H$3:$H$500,"Approved",$D$3:$D$500,"&lt;="&amp;E470,$E$3:$E$500,"&gt;="&amp;D470,$A$3:$A$500,"&lt;&gt;"&amp;A470)&gt;0)),0))</f>
        <v/>
      </c>
      <c r="R470">
        <f>IF(B470="","",IFERROR(SUMPRODUCT((LEN(Employees!$A$3:$A$500)&gt;0)*(Employees!$O$3:$O$500=1)*(COUNTIFS($B$3:$B$500,Employees!$A$3:$A$500,$H$3:$H$500,"Approved",$D$3:$D$500,"&lt;="&amp;E470,$E$3:$E$500,"&gt;="&amp;D470,$A$3:$A$500,"&lt;&gt;"&amp;A470)&gt;0)),0))</f>
        <v/>
      </c>
      <c r="S470">
        <f>IF(OR(B470="",IFERROR(XLOOKUP(B470,Employees!$A$3:$A$500,Employees!$G$3:$G$500,""),"")=""),"",IFERROR(SUMPRODUCT((LEN(Employees!$A$3:$A$500)&gt;0)*(Employees!$G$3:$G$500=IFERROR(XLOOKUP(B470,Employees!$A$3:$A$500,Employees!$G$3:$G$500,""),""))*(COUNTIFS($B$3:$B$500,Employees!$A$3:$A$500,$H$3:$H$500,"Approved",$D$3:$D$500,"&lt;="&amp;E470,$E$3:$E$500,"&gt;="&amp;D470,$A$3:$A$500,"&lt;&gt;"&amp;A470)&gt;0)),0))</f>
        <v/>
      </c>
    </row>
    <row r="471">
      <c r="C471">
        <f>IFERROR(XLOOKUP(B471,Employees!$A$3:$A$500,Employees!$B$3:$B$500,""),"")</f>
        <v/>
      </c>
      <c r="I471">
        <f>IF(AND(B471&lt;&gt;"",D471&lt;&gt;"",E471&lt;&gt;""),E471-D471+1,"")</f>
        <v/>
      </c>
      <c r="J471">
        <f>IF(OR(B471="",D471="",E471=""),"",IF(OR(L471&lt;'Coverage Rules'!E7,M471&lt;'Coverage Rules'!E8,N471&lt;'Coverage Rules'!C8,O471&lt;'Coverage Rules'!E9,P471&lt;'Coverage Rules'!E10,Q471&gt;='Coverage Rules'!B16,R471&gt;='Coverage Rules'!B17,IF(S471="",FALSE,S471&gt;='Coverage Rules'!D24)),"Denied","OK"))</f>
        <v/>
      </c>
      <c r="L471">
        <f>IF(B471="","",IFERROR(SUMPRODUCT((LEN(Employees!$A$3:$A$500)&gt;0)*(Employees!$T$3:$T$500=1)*(COUNTIFS($B$3:$B$500,Employees!$A$3:$A$500,$H$3:$H$500,"Approved",$D$3:$D$500,"&lt;="&amp;E471,$E$3:$E$500,"&gt;="&amp;D471,$A$3:$A$500,"&lt;&gt;"&amp;A471)=0)),0))</f>
        <v/>
      </c>
      <c r="M471">
        <f>IF(B471="","",IFERROR(SUMPRODUCT((LEN(Employees!$A$3:$A$500)&gt;0)*(Employees!$U$3:$U$500=1)*(COUNTIFS($B$3:$B$500,Employees!$A$3:$A$500,$H$3:$H$500,"Approved",$D$3:$D$500,"&lt;="&amp;E471,$E$3:$E$500,"&gt;="&amp;D471,$A$3:$A$500,"&lt;&gt;"&amp;A471)=0)),0))</f>
        <v/>
      </c>
      <c r="N471">
        <f>IF(B471="","",IFERROR(SUMPRODUCT((LEN(Employees!$A$3:$A$500)&gt;0)*(Employees!$B$3:$B$500="Manager")*(Employees!$U$3:$U$500=1)*(COUNTIFS($B$3:$B$500,Employees!$A$3:$A$500,$H$3:$H$500,"Approved",$D$3:$D$500,"&lt;="&amp;E471,$E$3:$E$500,"&gt;="&amp;D471,$A$3:$A$500,"&lt;&gt;"&amp;A471)=0)),0))</f>
        <v/>
      </c>
      <c r="O471">
        <f>IF(B471="","",IFERROR(SUMPRODUCT((LEN(Employees!$A$3:$A$500)&gt;0)*(Employees!$V$3:$V$500=1)*(COUNTIFS($B$3:$B$500,Employees!$A$3:$A$500,$H$3:$H$500,"Approved",$D$3:$D$500,"&lt;="&amp;E471,$E$3:$E$500,"&gt;="&amp;D471,$A$3:$A$500,"&lt;&gt;"&amp;A471)=0)),0))</f>
        <v/>
      </c>
      <c r="P471">
        <f>IF(B471="","",IFERROR(SUMPRODUCT((LEN(Employees!$A$3:$A$500)&gt;0)*(Employees!$W$3:$W$500=1)*(COUNTIFS($B$3:$B$500,Employees!$A$3:$A$500,$H$3:$H$500,"Approved",$D$3:$D$500,"&lt;="&amp;E471,$E$3:$E$500,"&gt;="&amp;D471,$A$3:$A$500,"&lt;&gt;"&amp;A471)=0)),0))</f>
        <v/>
      </c>
      <c r="Q471">
        <f>IF(B471="","",IFERROR(SUMPRODUCT((LEN(Employees!$A$3:$A$500)&gt;0)*(Employees!$N$3:$N$500=1)*(COUNTIFS($B$3:$B$500,Employees!$A$3:$A$500,$H$3:$H$500,"Approved",$D$3:$D$500,"&lt;="&amp;E471,$E$3:$E$500,"&gt;="&amp;D471,$A$3:$A$500,"&lt;&gt;"&amp;A471)&gt;0)),0))</f>
        <v/>
      </c>
      <c r="R471">
        <f>IF(B471="","",IFERROR(SUMPRODUCT((LEN(Employees!$A$3:$A$500)&gt;0)*(Employees!$O$3:$O$500=1)*(COUNTIFS($B$3:$B$500,Employees!$A$3:$A$500,$H$3:$H$500,"Approved",$D$3:$D$500,"&lt;="&amp;E471,$E$3:$E$500,"&gt;="&amp;D471,$A$3:$A$500,"&lt;&gt;"&amp;A471)&gt;0)),0))</f>
        <v/>
      </c>
      <c r="S471">
        <f>IF(OR(B471="",IFERROR(XLOOKUP(B471,Employees!$A$3:$A$500,Employees!$G$3:$G$500,""),"")=""),"",IFERROR(SUMPRODUCT((LEN(Employees!$A$3:$A$500)&gt;0)*(Employees!$G$3:$G$500=IFERROR(XLOOKUP(B471,Employees!$A$3:$A$500,Employees!$G$3:$G$500,""),""))*(COUNTIFS($B$3:$B$500,Employees!$A$3:$A$500,$H$3:$H$500,"Approved",$D$3:$D$500,"&lt;="&amp;E471,$E$3:$E$500,"&gt;="&amp;D471,$A$3:$A$500,"&lt;&gt;"&amp;A471)&gt;0)),0))</f>
        <v/>
      </c>
    </row>
    <row r="472">
      <c r="C472">
        <f>IFERROR(XLOOKUP(B472,Employees!$A$3:$A$500,Employees!$B$3:$B$500,""),"")</f>
        <v/>
      </c>
      <c r="I472">
        <f>IF(AND(B472&lt;&gt;"",D472&lt;&gt;"",E472&lt;&gt;""),E472-D472+1,"")</f>
        <v/>
      </c>
      <c r="J472">
        <f>IF(OR(B472="",D472="",E472=""),"",IF(OR(L472&lt;'Coverage Rules'!E7,M472&lt;'Coverage Rules'!E8,N472&lt;'Coverage Rules'!C8,O472&lt;'Coverage Rules'!E9,P472&lt;'Coverage Rules'!E10,Q472&gt;='Coverage Rules'!B16,R472&gt;='Coverage Rules'!B17,IF(S472="",FALSE,S472&gt;='Coverage Rules'!D24)),"Denied","OK"))</f>
        <v/>
      </c>
      <c r="L472">
        <f>IF(B472="","",IFERROR(SUMPRODUCT((LEN(Employees!$A$3:$A$500)&gt;0)*(Employees!$T$3:$T$500=1)*(COUNTIFS($B$3:$B$500,Employees!$A$3:$A$500,$H$3:$H$500,"Approved",$D$3:$D$500,"&lt;="&amp;E472,$E$3:$E$500,"&gt;="&amp;D472,$A$3:$A$500,"&lt;&gt;"&amp;A472)=0)),0))</f>
        <v/>
      </c>
      <c r="M472">
        <f>IF(B472="","",IFERROR(SUMPRODUCT((LEN(Employees!$A$3:$A$500)&gt;0)*(Employees!$U$3:$U$500=1)*(COUNTIFS($B$3:$B$500,Employees!$A$3:$A$500,$H$3:$H$500,"Approved",$D$3:$D$500,"&lt;="&amp;E472,$E$3:$E$500,"&gt;="&amp;D472,$A$3:$A$500,"&lt;&gt;"&amp;A472)=0)),0))</f>
        <v/>
      </c>
      <c r="N472">
        <f>IF(B472="","",IFERROR(SUMPRODUCT((LEN(Employees!$A$3:$A$500)&gt;0)*(Employees!$B$3:$B$500="Manager")*(Employees!$U$3:$U$500=1)*(COUNTIFS($B$3:$B$500,Employees!$A$3:$A$500,$H$3:$H$500,"Approved",$D$3:$D$500,"&lt;="&amp;E472,$E$3:$E$500,"&gt;="&amp;D472,$A$3:$A$500,"&lt;&gt;"&amp;A472)=0)),0))</f>
        <v/>
      </c>
      <c r="O472">
        <f>IF(B472="","",IFERROR(SUMPRODUCT((LEN(Employees!$A$3:$A$500)&gt;0)*(Employees!$V$3:$V$500=1)*(COUNTIFS($B$3:$B$500,Employees!$A$3:$A$500,$H$3:$H$500,"Approved",$D$3:$D$500,"&lt;="&amp;E472,$E$3:$E$500,"&gt;="&amp;D472,$A$3:$A$500,"&lt;&gt;"&amp;A472)=0)),0))</f>
        <v/>
      </c>
      <c r="P472">
        <f>IF(B472="","",IFERROR(SUMPRODUCT((LEN(Employees!$A$3:$A$500)&gt;0)*(Employees!$W$3:$W$500=1)*(COUNTIFS($B$3:$B$500,Employees!$A$3:$A$500,$H$3:$H$500,"Approved",$D$3:$D$500,"&lt;="&amp;E472,$E$3:$E$500,"&gt;="&amp;D472,$A$3:$A$500,"&lt;&gt;"&amp;A472)=0)),0))</f>
        <v/>
      </c>
      <c r="Q472">
        <f>IF(B472="","",IFERROR(SUMPRODUCT((LEN(Employees!$A$3:$A$500)&gt;0)*(Employees!$N$3:$N$500=1)*(COUNTIFS($B$3:$B$500,Employees!$A$3:$A$500,$H$3:$H$500,"Approved",$D$3:$D$500,"&lt;="&amp;E472,$E$3:$E$500,"&gt;="&amp;D472,$A$3:$A$500,"&lt;&gt;"&amp;A472)&gt;0)),0))</f>
        <v/>
      </c>
      <c r="R472">
        <f>IF(B472="","",IFERROR(SUMPRODUCT((LEN(Employees!$A$3:$A$500)&gt;0)*(Employees!$O$3:$O$500=1)*(COUNTIFS($B$3:$B$500,Employees!$A$3:$A$500,$H$3:$H$500,"Approved",$D$3:$D$500,"&lt;="&amp;E472,$E$3:$E$500,"&gt;="&amp;D472,$A$3:$A$500,"&lt;&gt;"&amp;A472)&gt;0)),0))</f>
        <v/>
      </c>
      <c r="S472">
        <f>IF(OR(B472="",IFERROR(XLOOKUP(B472,Employees!$A$3:$A$500,Employees!$G$3:$G$500,""),"")=""),"",IFERROR(SUMPRODUCT((LEN(Employees!$A$3:$A$500)&gt;0)*(Employees!$G$3:$G$500=IFERROR(XLOOKUP(B472,Employees!$A$3:$A$500,Employees!$G$3:$G$500,""),""))*(COUNTIFS($B$3:$B$500,Employees!$A$3:$A$500,$H$3:$H$500,"Approved",$D$3:$D$500,"&lt;="&amp;E472,$E$3:$E$500,"&gt;="&amp;D472,$A$3:$A$500,"&lt;&gt;"&amp;A472)&gt;0)),0))</f>
        <v/>
      </c>
    </row>
    <row r="473">
      <c r="C473">
        <f>IFERROR(XLOOKUP(B473,Employees!$A$3:$A$500,Employees!$B$3:$B$500,""),"")</f>
        <v/>
      </c>
      <c r="I473">
        <f>IF(AND(B473&lt;&gt;"",D473&lt;&gt;"",E473&lt;&gt;""),E473-D473+1,"")</f>
        <v/>
      </c>
      <c r="J473">
        <f>IF(OR(B473="",D473="",E473=""),"",IF(OR(L473&lt;'Coverage Rules'!E7,M473&lt;'Coverage Rules'!E8,N473&lt;'Coverage Rules'!C8,O473&lt;'Coverage Rules'!E9,P473&lt;'Coverage Rules'!E10,Q473&gt;='Coverage Rules'!B16,R473&gt;='Coverage Rules'!B17,IF(S473="",FALSE,S473&gt;='Coverage Rules'!D24)),"Denied","OK"))</f>
        <v/>
      </c>
      <c r="L473">
        <f>IF(B473="","",IFERROR(SUMPRODUCT((LEN(Employees!$A$3:$A$500)&gt;0)*(Employees!$T$3:$T$500=1)*(COUNTIFS($B$3:$B$500,Employees!$A$3:$A$500,$H$3:$H$500,"Approved",$D$3:$D$500,"&lt;="&amp;E473,$E$3:$E$500,"&gt;="&amp;D473,$A$3:$A$500,"&lt;&gt;"&amp;A473)=0)),0))</f>
        <v/>
      </c>
      <c r="M473">
        <f>IF(B473="","",IFERROR(SUMPRODUCT((LEN(Employees!$A$3:$A$500)&gt;0)*(Employees!$U$3:$U$500=1)*(COUNTIFS($B$3:$B$500,Employees!$A$3:$A$500,$H$3:$H$500,"Approved",$D$3:$D$500,"&lt;="&amp;E473,$E$3:$E$500,"&gt;="&amp;D473,$A$3:$A$500,"&lt;&gt;"&amp;A473)=0)),0))</f>
        <v/>
      </c>
      <c r="N473">
        <f>IF(B473="","",IFERROR(SUMPRODUCT((LEN(Employees!$A$3:$A$500)&gt;0)*(Employees!$B$3:$B$500="Manager")*(Employees!$U$3:$U$500=1)*(COUNTIFS($B$3:$B$500,Employees!$A$3:$A$500,$H$3:$H$500,"Approved",$D$3:$D$500,"&lt;="&amp;E473,$E$3:$E$500,"&gt;="&amp;D473,$A$3:$A$500,"&lt;&gt;"&amp;A473)=0)),0))</f>
        <v/>
      </c>
      <c r="O473">
        <f>IF(B473="","",IFERROR(SUMPRODUCT((LEN(Employees!$A$3:$A$500)&gt;0)*(Employees!$V$3:$V$500=1)*(COUNTIFS($B$3:$B$500,Employees!$A$3:$A$500,$H$3:$H$500,"Approved",$D$3:$D$500,"&lt;="&amp;E473,$E$3:$E$500,"&gt;="&amp;D473,$A$3:$A$500,"&lt;&gt;"&amp;A473)=0)),0))</f>
        <v/>
      </c>
      <c r="P473">
        <f>IF(B473="","",IFERROR(SUMPRODUCT((LEN(Employees!$A$3:$A$500)&gt;0)*(Employees!$W$3:$W$500=1)*(COUNTIFS($B$3:$B$500,Employees!$A$3:$A$500,$H$3:$H$500,"Approved",$D$3:$D$500,"&lt;="&amp;E473,$E$3:$E$500,"&gt;="&amp;D473,$A$3:$A$500,"&lt;&gt;"&amp;A473)=0)),0))</f>
        <v/>
      </c>
      <c r="Q473">
        <f>IF(B473="","",IFERROR(SUMPRODUCT((LEN(Employees!$A$3:$A$500)&gt;0)*(Employees!$N$3:$N$500=1)*(COUNTIFS($B$3:$B$500,Employees!$A$3:$A$500,$H$3:$H$500,"Approved",$D$3:$D$500,"&lt;="&amp;E473,$E$3:$E$500,"&gt;="&amp;D473,$A$3:$A$500,"&lt;&gt;"&amp;A473)&gt;0)),0))</f>
        <v/>
      </c>
      <c r="R473">
        <f>IF(B473="","",IFERROR(SUMPRODUCT((LEN(Employees!$A$3:$A$500)&gt;0)*(Employees!$O$3:$O$500=1)*(COUNTIFS($B$3:$B$500,Employees!$A$3:$A$500,$H$3:$H$500,"Approved",$D$3:$D$500,"&lt;="&amp;E473,$E$3:$E$500,"&gt;="&amp;D473,$A$3:$A$500,"&lt;&gt;"&amp;A473)&gt;0)),0))</f>
        <v/>
      </c>
      <c r="S473">
        <f>IF(OR(B473="",IFERROR(XLOOKUP(B473,Employees!$A$3:$A$500,Employees!$G$3:$G$500,""),"")=""),"",IFERROR(SUMPRODUCT((LEN(Employees!$A$3:$A$500)&gt;0)*(Employees!$G$3:$G$500=IFERROR(XLOOKUP(B473,Employees!$A$3:$A$500,Employees!$G$3:$G$500,""),""))*(COUNTIFS($B$3:$B$500,Employees!$A$3:$A$500,$H$3:$H$500,"Approved",$D$3:$D$500,"&lt;="&amp;E473,$E$3:$E$500,"&gt;="&amp;D473,$A$3:$A$500,"&lt;&gt;"&amp;A473)&gt;0)),0))</f>
        <v/>
      </c>
    </row>
    <row r="474">
      <c r="C474">
        <f>IFERROR(XLOOKUP(B474,Employees!$A$3:$A$500,Employees!$B$3:$B$500,""),"")</f>
        <v/>
      </c>
      <c r="I474">
        <f>IF(AND(B474&lt;&gt;"",D474&lt;&gt;"",E474&lt;&gt;""),E474-D474+1,"")</f>
        <v/>
      </c>
      <c r="J474">
        <f>IF(OR(B474="",D474="",E474=""),"",IF(OR(L474&lt;'Coverage Rules'!E7,M474&lt;'Coverage Rules'!E8,N474&lt;'Coverage Rules'!C8,O474&lt;'Coverage Rules'!E9,P474&lt;'Coverage Rules'!E10,Q474&gt;='Coverage Rules'!B16,R474&gt;='Coverage Rules'!B17,IF(S474="",FALSE,S474&gt;='Coverage Rules'!D24)),"Denied","OK"))</f>
        <v/>
      </c>
      <c r="L474">
        <f>IF(B474="","",IFERROR(SUMPRODUCT((LEN(Employees!$A$3:$A$500)&gt;0)*(Employees!$T$3:$T$500=1)*(COUNTIFS($B$3:$B$500,Employees!$A$3:$A$500,$H$3:$H$500,"Approved",$D$3:$D$500,"&lt;="&amp;E474,$E$3:$E$500,"&gt;="&amp;D474,$A$3:$A$500,"&lt;&gt;"&amp;A474)=0)),0))</f>
        <v/>
      </c>
      <c r="M474">
        <f>IF(B474="","",IFERROR(SUMPRODUCT((LEN(Employees!$A$3:$A$500)&gt;0)*(Employees!$U$3:$U$500=1)*(COUNTIFS($B$3:$B$500,Employees!$A$3:$A$500,$H$3:$H$500,"Approved",$D$3:$D$500,"&lt;="&amp;E474,$E$3:$E$500,"&gt;="&amp;D474,$A$3:$A$500,"&lt;&gt;"&amp;A474)=0)),0))</f>
        <v/>
      </c>
      <c r="N474">
        <f>IF(B474="","",IFERROR(SUMPRODUCT((LEN(Employees!$A$3:$A$500)&gt;0)*(Employees!$B$3:$B$500="Manager")*(Employees!$U$3:$U$500=1)*(COUNTIFS($B$3:$B$500,Employees!$A$3:$A$500,$H$3:$H$500,"Approved",$D$3:$D$500,"&lt;="&amp;E474,$E$3:$E$500,"&gt;="&amp;D474,$A$3:$A$500,"&lt;&gt;"&amp;A474)=0)),0))</f>
        <v/>
      </c>
      <c r="O474">
        <f>IF(B474="","",IFERROR(SUMPRODUCT((LEN(Employees!$A$3:$A$500)&gt;0)*(Employees!$V$3:$V$500=1)*(COUNTIFS($B$3:$B$500,Employees!$A$3:$A$500,$H$3:$H$500,"Approved",$D$3:$D$500,"&lt;="&amp;E474,$E$3:$E$500,"&gt;="&amp;D474,$A$3:$A$500,"&lt;&gt;"&amp;A474)=0)),0))</f>
        <v/>
      </c>
      <c r="P474">
        <f>IF(B474="","",IFERROR(SUMPRODUCT((LEN(Employees!$A$3:$A$500)&gt;0)*(Employees!$W$3:$W$500=1)*(COUNTIFS($B$3:$B$500,Employees!$A$3:$A$500,$H$3:$H$500,"Approved",$D$3:$D$500,"&lt;="&amp;E474,$E$3:$E$500,"&gt;="&amp;D474,$A$3:$A$500,"&lt;&gt;"&amp;A474)=0)),0))</f>
        <v/>
      </c>
      <c r="Q474">
        <f>IF(B474="","",IFERROR(SUMPRODUCT((LEN(Employees!$A$3:$A$500)&gt;0)*(Employees!$N$3:$N$500=1)*(COUNTIFS($B$3:$B$500,Employees!$A$3:$A$500,$H$3:$H$500,"Approved",$D$3:$D$500,"&lt;="&amp;E474,$E$3:$E$500,"&gt;="&amp;D474,$A$3:$A$500,"&lt;&gt;"&amp;A474)&gt;0)),0))</f>
        <v/>
      </c>
      <c r="R474">
        <f>IF(B474="","",IFERROR(SUMPRODUCT((LEN(Employees!$A$3:$A$500)&gt;0)*(Employees!$O$3:$O$500=1)*(COUNTIFS($B$3:$B$500,Employees!$A$3:$A$500,$H$3:$H$500,"Approved",$D$3:$D$500,"&lt;="&amp;E474,$E$3:$E$500,"&gt;="&amp;D474,$A$3:$A$500,"&lt;&gt;"&amp;A474)&gt;0)),0))</f>
        <v/>
      </c>
      <c r="S474">
        <f>IF(OR(B474="",IFERROR(XLOOKUP(B474,Employees!$A$3:$A$500,Employees!$G$3:$G$500,""),"")=""),"",IFERROR(SUMPRODUCT((LEN(Employees!$A$3:$A$500)&gt;0)*(Employees!$G$3:$G$500=IFERROR(XLOOKUP(B474,Employees!$A$3:$A$500,Employees!$G$3:$G$500,""),""))*(COUNTIFS($B$3:$B$500,Employees!$A$3:$A$500,$H$3:$H$500,"Approved",$D$3:$D$500,"&lt;="&amp;E474,$E$3:$E$500,"&gt;="&amp;D474,$A$3:$A$500,"&lt;&gt;"&amp;A474)&gt;0)),0))</f>
        <v/>
      </c>
    </row>
    <row r="475">
      <c r="C475">
        <f>IFERROR(XLOOKUP(B475,Employees!$A$3:$A$500,Employees!$B$3:$B$500,""),"")</f>
        <v/>
      </c>
      <c r="I475">
        <f>IF(AND(B475&lt;&gt;"",D475&lt;&gt;"",E475&lt;&gt;""),E475-D475+1,"")</f>
        <v/>
      </c>
      <c r="J475">
        <f>IF(OR(B475="",D475="",E475=""),"",IF(OR(L475&lt;'Coverage Rules'!E7,M475&lt;'Coverage Rules'!E8,N475&lt;'Coverage Rules'!C8,O475&lt;'Coverage Rules'!E9,P475&lt;'Coverage Rules'!E10,Q475&gt;='Coverage Rules'!B16,R475&gt;='Coverage Rules'!B17,IF(S475="",FALSE,S475&gt;='Coverage Rules'!D24)),"Denied","OK"))</f>
        <v/>
      </c>
      <c r="L475">
        <f>IF(B475="","",IFERROR(SUMPRODUCT((LEN(Employees!$A$3:$A$500)&gt;0)*(Employees!$T$3:$T$500=1)*(COUNTIFS($B$3:$B$500,Employees!$A$3:$A$500,$H$3:$H$500,"Approved",$D$3:$D$500,"&lt;="&amp;E475,$E$3:$E$500,"&gt;="&amp;D475,$A$3:$A$500,"&lt;&gt;"&amp;A475)=0)),0))</f>
        <v/>
      </c>
      <c r="M475">
        <f>IF(B475="","",IFERROR(SUMPRODUCT((LEN(Employees!$A$3:$A$500)&gt;0)*(Employees!$U$3:$U$500=1)*(COUNTIFS($B$3:$B$500,Employees!$A$3:$A$500,$H$3:$H$500,"Approved",$D$3:$D$500,"&lt;="&amp;E475,$E$3:$E$500,"&gt;="&amp;D475,$A$3:$A$500,"&lt;&gt;"&amp;A475)=0)),0))</f>
        <v/>
      </c>
      <c r="N475">
        <f>IF(B475="","",IFERROR(SUMPRODUCT((LEN(Employees!$A$3:$A$500)&gt;0)*(Employees!$B$3:$B$500="Manager")*(Employees!$U$3:$U$500=1)*(COUNTIFS($B$3:$B$500,Employees!$A$3:$A$500,$H$3:$H$500,"Approved",$D$3:$D$500,"&lt;="&amp;E475,$E$3:$E$500,"&gt;="&amp;D475,$A$3:$A$500,"&lt;&gt;"&amp;A475)=0)),0))</f>
        <v/>
      </c>
      <c r="O475">
        <f>IF(B475="","",IFERROR(SUMPRODUCT((LEN(Employees!$A$3:$A$500)&gt;0)*(Employees!$V$3:$V$500=1)*(COUNTIFS($B$3:$B$500,Employees!$A$3:$A$500,$H$3:$H$500,"Approved",$D$3:$D$500,"&lt;="&amp;E475,$E$3:$E$500,"&gt;="&amp;D475,$A$3:$A$500,"&lt;&gt;"&amp;A475)=0)),0))</f>
        <v/>
      </c>
      <c r="P475">
        <f>IF(B475="","",IFERROR(SUMPRODUCT((LEN(Employees!$A$3:$A$500)&gt;0)*(Employees!$W$3:$W$500=1)*(COUNTIFS($B$3:$B$500,Employees!$A$3:$A$500,$H$3:$H$500,"Approved",$D$3:$D$500,"&lt;="&amp;E475,$E$3:$E$500,"&gt;="&amp;D475,$A$3:$A$500,"&lt;&gt;"&amp;A475)=0)),0))</f>
        <v/>
      </c>
      <c r="Q475">
        <f>IF(B475="","",IFERROR(SUMPRODUCT((LEN(Employees!$A$3:$A$500)&gt;0)*(Employees!$N$3:$N$500=1)*(COUNTIFS($B$3:$B$500,Employees!$A$3:$A$500,$H$3:$H$500,"Approved",$D$3:$D$500,"&lt;="&amp;E475,$E$3:$E$500,"&gt;="&amp;D475,$A$3:$A$500,"&lt;&gt;"&amp;A475)&gt;0)),0))</f>
        <v/>
      </c>
      <c r="R475">
        <f>IF(B475="","",IFERROR(SUMPRODUCT((LEN(Employees!$A$3:$A$500)&gt;0)*(Employees!$O$3:$O$500=1)*(COUNTIFS($B$3:$B$500,Employees!$A$3:$A$500,$H$3:$H$500,"Approved",$D$3:$D$500,"&lt;="&amp;E475,$E$3:$E$500,"&gt;="&amp;D475,$A$3:$A$500,"&lt;&gt;"&amp;A475)&gt;0)),0))</f>
        <v/>
      </c>
      <c r="S475">
        <f>IF(OR(B475="",IFERROR(XLOOKUP(B475,Employees!$A$3:$A$500,Employees!$G$3:$G$500,""),"")=""),"",IFERROR(SUMPRODUCT((LEN(Employees!$A$3:$A$500)&gt;0)*(Employees!$G$3:$G$500=IFERROR(XLOOKUP(B475,Employees!$A$3:$A$500,Employees!$G$3:$G$500,""),""))*(COUNTIFS($B$3:$B$500,Employees!$A$3:$A$500,$H$3:$H$500,"Approved",$D$3:$D$500,"&lt;="&amp;E475,$E$3:$E$500,"&gt;="&amp;D475,$A$3:$A$500,"&lt;&gt;"&amp;A475)&gt;0)),0))</f>
        <v/>
      </c>
    </row>
    <row r="476">
      <c r="C476">
        <f>IFERROR(XLOOKUP(B476,Employees!$A$3:$A$500,Employees!$B$3:$B$500,""),"")</f>
        <v/>
      </c>
      <c r="I476">
        <f>IF(AND(B476&lt;&gt;"",D476&lt;&gt;"",E476&lt;&gt;""),E476-D476+1,"")</f>
        <v/>
      </c>
      <c r="J476">
        <f>IF(OR(B476="",D476="",E476=""),"",IF(OR(L476&lt;'Coverage Rules'!E7,M476&lt;'Coverage Rules'!E8,N476&lt;'Coverage Rules'!C8,O476&lt;'Coverage Rules'!E9,P476&lt;'Coverage Rules'!E10,Q476&gt;='Coverage Rules'!B16,R476&gt;='Coverage Rules'!B17,IF(S476="",FALSE,S476&gt;='Coverage Rules'!D24)),"Denied","OK"))</f>
        <v/>
      </c>
      <c r="L476">
        <f>IF(B476="","",IFERROR(SUMPRODUCT((LEN(Employees!$A$3:$A$500)&gt;0)*(Employees!$T$3:$T$500=1)*(COUNTIFS($B$3:$B$500,Employees!$A$3:$A$500,$H$3:$H$500,"Approved",$D$3:$D$500,"&lt;="&amp;E476,$E$3:$E$500,"&gt;="&amp;D476,$A$3:$A$500,"&lt;&gt;"&amp;A476)=0)),0))</f>
        <v/>
      </c>
      <c r="M476">
        <f>IF(B476="","",IFERROR(SUMPRODUCT((LEN(Employees!$A$3:$A$500)&gt;0)*(Employees!$U$3:$U$500=1)*(COUNTIFS($B$3:$B$500,Employees!$A$3:$A$500,$H$3:$H$500,"Approved",$D$3:$D$500,"&lt;="&amp;E476,$E$3:$E$500,"&gt;="&amp;D476,$A$3:$A$500,"&lt;&gt;"&amp;A476)=0)),0))</f>
        <v/>
      </c>
      <c r="N476">
        <f>IF(B476="","",IFERROR(SUMPRODUCT((LEN(Employees!$A$3:$A$500)&gt;0)*(Employees!$B$3:$B$500="Manager")*(Employees!$U$3:$U$500=1)*(COUNTIFS($B$3:$B$500,Employees!$A$3:$A$500,$H$3:$H$500,"Approved",$D$3:$D$500,"&lt;="&amp;E476,$E$3:$E$500,"&gt;="&amp;D476,$A$3:$A$500,"&lt;&gt;"&amp;A476)=0)),0))</f>
        <v/>
      </c>
      <c r="O476">
        <f>IF(B476="","",IFERROR(SUMPRODUCT((LEN(Employees!$A$3:$A$500)&gt;0)*(Employees!$V$3:$V$500=1)*(COUNTIFS($B$3:$B$500,Employees!$A$3:$A$500,$H$3:$H$500,"Approved",$D$3:$D$500,"&lt;="&amp;E476,$E$3:$E$500,"&gt;="&amp;D476,$A$3:$A$500,"&lt;&gt;"&amp;A476)=0)),0))</f>
        <v/>
      </c>
      <c r="P476">
        <f>IF(B476="","",IFERROR(SUMPRODUCT((LEN(Employees!$A$3:$A$500)&gt;0)*(Employees!$W$3:$W$500=1)*(COUNTIFS($B$3:$B$500,Employees!$A$3:$A$500,$H$3:$H$500,"Approved",$D$3:$D$500,"&lt;="&amp;E476,$E$3:$E$500,"&gt;="&amp;D476,$A$3:$A$500,"&lt;&gt;"&amp;A476)=0)),0))</f>
        <v/>
      </c>
      <c r="Q476">
        <f>IF(B476="","",IFERROR(SUMPRODUCT((LEN(Employees!$A$3:$A$500)&gt;0)*(Employees!$N$3:$N$500=1)*(COUNTIFS($B$3:$B$500,Employees!$A$3:$A$500,$H$3:$H$500,"Approved",$D$3:$D$500,"&lt;="&amp;E476,$E$3:$E$500,"&gt;="&amp;D476,$A$3:$A$500,"&lt;&gt;"&amp;A476)&gt;0)),0))</f>
        <v/>
      </c>
      <c r="R476">
        <f>IF(B476="","",IFERROR(SUMPRODUCT((LEN(Employees!$A$3:$A$500)&gt;0)*(Employees!$O$3:$O$500=1)*(COUNTIFS($B$3:$B$500,Employees!$A$3:$A$500,$H$3:$H$500,"Approved",$D$3:$D$500,"&lt;="&amp;E476,$E$3:$E$500,"&gt;="&amp;D476,$A$3:$A$500,"&lt;&gt;"&amp;A476)&gt;0)),0))</f>
        <v/>
      </c>
      <c r="S476">
        <f>IF(OR(B476="",IFERROR(XLOOKUP(B476,Employees!$A$3:$A$500,Employees!$G$3:$G$500,""),"")=""),"",IFERROR(SUMPRODUCT((LEN(Employees!$A$3:$A$500)&gt;0)*(Employees!$G$3:$G$500=IFERROR(XLOOKUP(B476,Employees!$A$3:$A$500,Employees!$G$3:$G$500,""),""))*(COUNTIFS($B$3:$B$500,Employees!$A$3:$A$500,$H$3:$H$500,"Approved",$D$3:$D$500,"&lt;="&amp;E476,$E$3:$E$500,"&gt;="&amp;D476,$A$3:$A$500,"&lt;&gt;"&amp;A476)&gt;0)),0))</f>
        <v/>
      </c>
    </row>
    <row r="477">
      <c r="C477">
        <f>IFERROR(XLOOKUP(B477,Employees!$A$3:$A$500,Employees!$B$3:$B$500,""),"")</f>
        <v/>
      </c>
      <c r="I477">
        <f>IF(AND(B477&lt;&gt;"",D477&lt;&gt;"",E477&lt;&gt;""),E477-D477+1,"")</f>
        <v/>
      </c>
      <c r="J477">
        <f>IF(OR(B477="",D477="",E477=""),"",IF(OR(L477&lt;'Coverage Rules'!E7,M477&lt;'Coverage Rules'!E8,N477&lt;'Coverage Rules'!C8,O477&lt;'Coverage Rules'!E9,P477&lt;'Coverage Rules'!E10,Q477&gt;='Coverage Rules'!B16,R477&gt;='Coverage Rules'!B17,IF(S477="",FALSE,S477&gt;='Coverage Rules'!D24)),"Denied","OK"))</f>
        <v/>
      </c>
      <c r="L477">
        <f>IF(B477="","",IFERROR(SUMPRODUCT((LEN(Employees!$A$3:$A$500)&gt;0)*(Employees!$T$3:$T$500=1)*(COUNTIFS($B$3:$B$500,Employees!$A$3:$A$500,$H$3:$H$500,"Approved",$D$3:$D$500,"&lt;="&amp;E477,$E$3:$E$500,"&gt;="&amp;D477,$A$3:$A$500,"&lt;&gt;"&amp;A477)=0)),0))</f>
        <v/>
      </c>
      <c r="M477">
        <f>IF(B477="","",IFERROR(SUMPRODUCT((LEN(Employees!$A$3:$A$500)&gt;0)*(Employees!$U$3:$U$500=1)*(COUNTIFS($B$3:$B$500,Employees!$A$3:$A$500,$H$3:$H$500,"Approved",$D$3:$D$500,"&lt;="&amp;E477,$E$3:$E$500,"&gt;="&amp;D477,$A$3:$A$500,"&lt;&gt;"&amp;A477)=0)),0))</f>
        <v/>
      </c>
      <c r="N477">
        <f>IF(B477="","",IFERROR(SUMPRODUCT((LEN(Employees!$A$3:$A$500)&gt;0)*(Employees!$B$3:$B$500="Manager")*(Employees!$U$3:$U$500=1)*(COUNTIFS($B$3:$B$500,Employees!$A$3:$A$500,$H$3:$H$500,"Approved",$D$3:$D$500,"&lt;="&amp;E477,$E$3:$E$500,"&gt;="&amp;D477,$A$3:$A$500,"&lt;&gt;"&amp;A477)=0)),0))</f>
        <v/>
      </c>
      <c r="O477">
        <f>IF(B477="","",IFERROR(SUMPRODUCT((LEN(Employees!$A$3:$A$500)&gt;0)*(Employees!$V$3:$V$500=1)*(COUNTIFS($B$3:$B$500,Employees!$A$3:$A$500,$H$3:$H$500,"Approved",$D$3:$D$500,"&lt;="&amp;E477,$E$3:$E$500,"&gt;="&amp;D477,$A$3:$A$500,"&lt;&gt;"&amp;A477)=0)),0))</f>
        <v/>
      </c>
      <c r="P477">
        <f>IF(B477="","",IFERROR(SUMPRODUCT((LEN(Employees!$A$3:$A$500)&gt;0)*(Employees!$W$3:$W$500=1)*(COUNTIFS($B$3:$B$500,Employees!$A$3:$A$500,$H$3:$H$500,"Approved",$D$3:$D$500,"&lt;="&amp;E477,$E$3:$E$500,"&gt;="&amp;D477,$A$3:$A$500,"&lt;&gt;"&amp;A477)=0)),0))</f>
        <v/>
      </c>
      <c r="Q477">
        <f>IF(B477="","",IFERROR(SUMPRODUCT((LEN(Employees!$A$3:$A$500)&gt;0)*(Employees!$N$3:$N$500=1)*(COUNTIFS($B$3:$B$500,Employees!$A$3:$A$500,$H$3:$H$500,"Approved",$D$3:$D$500,"&lt;="&amp;E477,$E$3:$E$500,"&gt;="&amp;D477,$A$3:$A$500,"&lt;&gt;"&amp;A477)&gt;0)),0))</f>
        <v/>
      </c>
      <c r="R477">
        <f>IF(B477="","",IFERROR(SUMPRODUCT((LEN(Employees!$A$3:$A$500)&gt;0)*(Employees!$O$3:$O$500=1)*(COUNTIFS($B$3:$B$500,Employees!$A$3:$A$500,$H$3:$H$500,"Approved",$D$3:$D$500,"&lt;="&amp;E477,$E$3:$E$500,"&gt;="&amp;D477,$A$3:$A$500,"&lt;&gt;"&amp;A477)&gt;0)),0))</f>
        <v/>
      </c>
      <c r="S477">
        <f>IF(OR(B477="",IFERROR(XLOOKUP(B477,Employees!$A$3:$A$500,Employees!$G$3:$G$500,""),"")=""),"",IFERROR(SUMPRODUCT((LEN(Employees!$A$3:$A$500)&gt;0)*(Employees!$G$3:$G$500=IFERROR(XLOOKUP(B477,Employees!$A$3:$A$500,Employees!$G$3:$G$500,""),""))*(COUNTIFS($B$3:$B$500,Employees!$A$3:$A$500,$H$3:$H$500,"Approved",$D$3:$D$500,"&lt;="&amp;E477,$E$3:$E$500,"&gt;="&amp;D477,$A$3:$A$500,"&lt;&gt;"&amp;A477)&gt;0)),0))</f>
        <v/>
      </c>
    </row>
    <row r="478">
      <c r="C478">
        <f>IFERROR(XLOOKUP(B478,Employees!$A$3:$A$500,Employees!$B$3:$B$500,""),"")</f>
        <v/>
      </c>
      <c r="I478">
        <f>IF(AND(B478&lt;&gt;"",D478&lt;&gt;"",E478&lt;&gt;""),E478-D478+1,"")</f>
        <v/>
      </c>
      <c r="J478">
        <f>IF(OR(B478="",D478="",E478=""),"",IF(OR(L478&lt;'Coverage Rules'!E7,M478&lt;'Coverage Rules'!E8,N478&lt;'Coverage Rules'!C8,O478&lt;'Coverage Rules'!E9,P478&lt;'Coverage Rules'!E10,Q478&gt;='Coverage Rules'!B16,R478&gt;='Coverage Rules'!B17,IF(S478="",FALSE,S478&gt;='Coverage Rules'!D24)),"Denied","OK"))</f>
        <v/>
      </c>
      <c r="L478">
        <f>IF(B478="","",IFERROR(SUMPRODUCT((LEN(Employees!$A$3:$A$500)&gt;0)*(Employees!$T$3:$T$500=1)*(COUNTIFS($B$3:$B$500,Employees!$A$3:$A$500,$H$3:$H$500,"Approved",$D$3:$D$500,"&lt;="&amp;E478,$E$3:$E$500,"&gt;="&amp;D478,$A$3:$A$500,"&lt;&gt;"&amp;A478)=0)),0))</f>
        <v/>
      </c>
      <c r="M478">
        <f>IF(B478="","",IFERROR(SUMPRODUCT((LEN(Employees!$A$3:$A$500)&gt;0)*(Employees!$U$3:$U$500=1)*(COUNTIFS($B$3:$B$500,Employees!$A$3:$A$500,$H$3:$H$500,"Approved",$D$3:$D$500,"&lt;="&amp;E478,$E$3:$E$500,"&gt;="&amp;D478,$A$3:$A$500,"&lt;&gt;"&amp;A478)=0)),0))</f>
        <v/>
      </c>
      <c r="N478">
        <f>IF(B478="","",IFERROR(SUMPRODUCT((LEN(Employees!$A$3:$A$500)&gt;0)*(Employees!$B$3:$B$500="Manager")*(Employees!$U$3:$U$500=1)*(COUNTIFS($B$3:$B$500,Employees!$A$3:$A$500,$H$3:$H$500,"Approved",$D$3:$D$500,"&lt;="&amp;E478,$E$3:$E$500,"&gt;="&amp;D478,$A$3:$A$500,"&lt;&gt;"&amp;A478)=0)),0))</f>
        <v/>
      </c>
      <c r="O478">
        <f>IF(B478="","",IFERROR(SUMPRODUCT((LEN(Employees!$A$3:$A$500)&gt;0)*(Employees!$V$3:$V$500=1)*(COUNTIFS($B$3:$B$500,Employees!$A$3:$A$500,$H$3:$H$500,"Approved",$D$3:$D$500,"&lt;="&amp;E478,$E$3:$E$500,"&gt;="&amp;D478,$A$3:$A$500,"&lt;&gt;"&amp;A478)=0)),0))</f>
        <v/>
      </c>
      <c r="P478">
        <f>IF(B478="","",IFERROR(SUMPRODUCT((LEN(Employees!$A$3:$A$500)&gt;0)*(Employees!$W$3:$W$500=1)*(COUNTIFS($B$3:$B$500,Employees!$A$3:$A$500,$H$3:$H$500,"Approved",$D$3:$D$500,"&lt;="&amp;E478,$E$3:$E$500,"&gt;="&amp;D478,$A$3:$A$500,"&lt;&gt;"&amp;A478)=0)),0))</f>
        <v/>
      </c>
      <c r="Q478">
        <f>IF(B478="","",IFERROR(SUMPRODUCT((LEN(Employees!$A$3:$A$500)&gt;0)*(Employees!$N$3:$N$500=1)*(COUNTIFS($B$3:$B$500,Employees!$A$3:$A$500,$H$3:$H$500,"Approved",$D$3:$D$500,"&lt;="&amp;E478,$E$3:$E$500,"&gt;="&amp;D478,$A$3:$A$500,"&lt;&gt;"&amp;A478)&gt;0)),0))</f>
        <v/>
      </c>
      <c r="R478">
        <f>IF(B478="","",IFERROR(SUMPRODUCT((LEN(Employees!$A$3:$A$500)&gt;0)*(Employees!$O$3:$O$500=1)*(COUNTIFS($B$3:$B$500,Employees!$A$3:$A$500,$H$3:$H$500,"Approved",$D$3:$D$500,"&lt;="&amp;E478,$E$3:$E$500,"&gt;="&amp;D478,$A$3:$A$500,"&lt;&gt;"&amp;A478)&gt;0)),0))</f>
        <v/>
      </c>
      <c r="S478">
        <f>IF(OR(B478="",IFERROR(XLOOKUP(B478,Employees!$A$3:$A$500,Employees!$G$3:$G$500,""),"")=""),"",IFERROR(SUMPRODUCT((LEN(Employees!$A$3:$A$500)&gt;0)*(Employees!$G$3:$G$500=IFERROR(XLOOKUP(B478,Employees!$A$3:$A$500,Employees!$G$3:$G$500,""),""))*(COUNTIFS($B$3:$B$500,Employees!$A$3:$A$500,$H$3:$H$500,"Approved",$D$3:$D$500,"&lt;="&amp;E478,$E$3:$E$500,"&gt;="&amp;D478,$A$3:$A$500,"&lt;&gt;"&amp;A478)&gt;0)),0))</f>
        <v/>
      </c>
    </row>
    <row r="479">
      <c r="C479">
        <f>IFERROR(XLOOKUP(B479,Employees!$A$3:$A$500,Employees!$B$3:$B$500,""),"")</f>
        <v/>
      </c>
      <c r="I479">
        <f>IF(AND(B479&lt;&gt;"",D479&lt;&gt;"",E479&lt;&gt;""),E479-D479+1,"")</f>
        <v/>
      </c>
      <c r="J479">
        <f>IF(OR(B479="",D479="",E479=""),"",IF(OR(L479&lt;'Coverage Rules'!E7,M479&lt;'Coverage Rules'!E8,N479&lt;'Coverage Rules'!C8,O479&lt;'Coverage Rules'!E9,P479&lt;'Coverage Rules'!E10,Q479&gt;='Coverage Rules'!B16,R479&gt;='Coverage Rules'!B17,IF(S479="",FALSE,S479&gt;='Coverage Rules'!D24)),"Denied","OK"))</f>
        <v/>
      </c>
      <c r="L479">
        <f>IF(B479="","",IFERROR(SUMPRODUCT((LEN(Employees!$A$3:$A$500)&gt;0)*(Employees!$T$3:$T$500=1)*(COUNTIFS($B$3:$B$500,Employees!$A$3:$A$500,$H$3:$H$500,"Approved",$D$3:$D$500,"&lt;="&amp;E479,$E$3:$E$500,"&gt;="&amp;D479,$A$3:$A$500,"&lt;&gt;"&amp;A479)=0)),0))</f>
        <v/>
      </c>
      <c r="M479">
        <f>IF(B479="","",IFERROR(SUMPRODUCT((LEN(Employees!$A$3:$A$500)&gt;0)*(Employees!$U$3:$U$500=1)*(COUNTIFS($B$3:$B$500,Employees!$A$3:$A$500,$H$3:$H$500,"Approved",$D$3:$D$500,"&lt;="&amp;E479,$E$3:$E$500,"&gt;="&amp;D479,$A$3:$A$500,"&lt;&gt;"&amp;A479)=0)),0))</f>
        <v/>
      </c>
      <c r="N479">
        <f>IF(B479="","",IFERROR(SUMPRODUCT((LEN(Employees!$A$3:$A$500)&gt;0)*(Employees!$B$3:$B$500="Manager")*(Employees!$U$3:$U$500=1)*(COUNTIFS($B$3:$B$500,Employees!$A$3:$A$500,$H$3:$H$500,"Approved",$D$3:$D$500,"&lt;="&amp;E479,$E$3:$E$500,"&gt;="&amp;D479,$A$3:$A$500,"&lt;&gt;"&amp;A479)=0)),0))</f>
        <v/>
      </c>
      <c r="O479">
        <f>IF(B479="","",IFERROR(SUMPRODUCT((LEN(Employees!$A$3:$A$500)&gt;0)*(Employees!$V$3:$V$500=1)*(COUNTIFS($B$3:$B$500,Employees!$A$3:$A$500,$H$3:$H$500,"Approved",$D$3:$D$500,"&lt;="&amp;E479,$E$3:$E$500,"&gt;="&amp;D479,$A$3:$A$500,"&lt;&gt;"&amp;A479)=0)),0))</f>
        <v/>
      </c>
      <c r="P479">
        <f>IF(B479="","",IFERROR(SUMPRODUCT((LEN(Employees!$A$3:$A$500)&gt;0)*(Employees!$W$3:$W$500=1)*(COUNTIFS($B$3:$B$500,Employees!$A$3:$A$500,$H$3:$H$500,"Approved",$D$3:$D$500,"&lt;="&amp;E479,$E$3:$E$500,"&gt;="&amp;D479,$A$3:$A$500,"&lt;&gt;"&amp;A479)=0)),0))</f>
        <v/>
      </c>
      <c r="Q479">
        <f>IF(B479="","",IFERROR(SUMPRODUCT((LEN(Employees!$A$3:$A$500)&gt;0)*(Employees!$N$3:$N$500=1)*(COUNTIFS($B$3:$B$500,Employees!$A$3:$A$500,$H$3:$H$500,"Approved",$D$3:$D$500,"&lt;="&amp;E479,$E$3:$E$500,"&gt;="&amp;D479,$A$3:$A$500,"&lt;&gt;"&amp;A479)&gt;0)),0))</f>
        <v/>
      </c>
      <c r="R479">
        <f>IF(B479="","",IFERROR(SUMPRODUCT((LEN(Employees!$A$3:$A$500)&gt;0)*(Employees!$O$3:$O$500=1)*(COUNTIFS($B$3:$B$500,Employees!$A$3:$A$500,$H$3:$H$500,"Approved",$D$3:$D$500,"&lt;="&amp;E479,$E$3:$E$500,"&gt;="&amp;D479,$A$3:$A$500,"&lt;&gt;"&amp;A479)&gt;0)),0))</f>
        <v/>
      </c>
      <c r="S479">
        <f>IF(OR(B479="",IFERROR(XLOOKUP(B479,Employees!$A$3:$A$500,Employees!$G$3:$G$500,""),"")=""),"",IFERROR(SUMPRODUCT((LEN(Employees!$A$3:$A$500)&gt;0)*(Employees!$G$3:$G$500=IFERROR(XLOOKUP(B479,Employees!$A$3:$A$500,Employees!$G$3:$G$500,""),""))*(COUNTIFS($B$3:$B$500,Employees!$A$3:$A$500,$H$3:$H$500,"Approved",$D$3:$D$500,"&lt;="&amp;E479,$E$3:$E$500,"&gt;="&amp;D479,$A$3:$A$500,"&lt;&gt;"&amp;A479)&gt;0)),0))</f>
        <v/>
      </c>
    </row>
    <row r="480">
      <c r="C480">
        <f>IFERROR(XLOOKUP(B480,Employees!$A$3:$A$500,Employees!$B$3:$B$500,""),"")</f>
        <v/>
      </c>
      <c r="I480">
        <f>IF(AND(B480&lt;&gt;"",D480&lt;&gt;"",E480&lt;&gt;""),E480-D480+1,"")</f>
        <v/>
      </c>
      <c r="J480">
        <f>IF(OR(B480="",D480="",E480=""),"",IF(OR(L480&lt;'Coverage Rules'!E7,M480&lt;'Coverage Rules'!E8,N480&lt;'Coverage Rules'!C8,O480&lt;'Coverage Rules'!E9,P480&lt;'Coverage Rules'!E10,Q480&gt;='Coverage Rules'!B16,R480&gt;='Coverage Rules'!B17,IF(S480="",FALSE,S480&gt;='Coverage Rules'!D24)),"Denied","OK"))</f>
        <v/>
      </c>
      <c r="L480">
        <f>IF(B480="","",IFERROR(SUMPRODUCT((LEN(Employees!$A$3:$A$500)&gt;0)*(Employees!$T$3:$T$500=1)*(COUNTIFS($B$3:$B$500,Employees!$A$3:$A$500,$H$3:$H$500,"Approved",$D$3:$D$500,"&lt;="&amp;E480,$E$3:$E$500,"&gt;="&amp;D480,$A$3:$A$500,"&lt;&gt;"&amp;A480)=0)),0))</f>
        <v/>
      </c>
      <c r="M480">
        <f>IF(B480="","",IFERROR(SUMPRODUCT((LEN(Employees!$A$3:$A$500)&gt;0)*(Employees!$U$3:$U$500=1)*(COUNTIFS($B$3:$B$500,Employees!$A$3:$A$500,$H$3:$H$500,"Approved",$D$3:$D$500,"&lt;="&amp;E480,$E$3:$E$500,"&gt;="&amp;D480,$A$3:$A$500,"&lt;&gt;"&amp;A480)=0)),0))</f>
        <v/>
      </c>
      <c r="N480">
        <f>IF(B480="","",IFERROR(SUMPRODUCT((LEN(Employees!$A$3:$A$500)&gt;0)*(Employees!$B$3:$B$500="Manager")*(Employees!$U$3:$U$500=1)*(COUNTIFS($B$3:$B$500,Employees!$A$3:$A$500,$H$3:$H$500,"Approved",$D$3:$D$500,"&lt;="&amp;E480,$E$3:$E$500,"&gt;="&amp;D480,$A$3:$A$500,"&lt;&gt;"&amp;A480)=0)),0))</f>
        <v/>
      </c>
      <c r="O480">
        <f>IF(B480="","",IFERROR(SUMPRODUCT((LEN(Employees!$A$3:$A$500)&gt;0)*(Employees!$V$3:$V$500=1)*(COUNTIFS($B$3:$B$500,Employees!$A$3:$A$500,$H$3:$H$500,"Approved",$D$3:$D$500,"&lt;="&amp;E480,$E$3:$E$500,"&gt;="&amp;D480,$A$3:$A$500,"&lt;&gt;"&amp;A480)=0)),0))</f>
        <v/>
      </c>
      <c r="P480">
        <f>IF(B480="","",IFERROR(SUMPRODUCT((LEN(Employees!$A$3:$A$500)&gt;0)*(Employees!$W$3:$W$500=1)*(COUNTIFS($B$3:$B$500,Employees!$A$3:$A$500,$H$3:$H$500,"Approved",$D$3:$D$500,"&lt;="&amp;E480,$E$3:$E$500,"&gt;="&amp;D480,$A$3:$A$500,"&lt;&gt;"&amp;A480)=0)),0))</f>
        <v/>
      </c>
      <c r="Q480">
        <f>IF(B480="","",IFERROR(SUMPRODUCT((LEN(Employees!$A$3:$A$500)&gt;0)*(Employees!$N$3:$N$500=1)*(COUNTIFS($B$3:$B$500,Employees!$A$3:$A$500,$H$3:$H$500,"Approved",$D$3:$D$500,"&lt;="&amp;E480,$E$3:$E$500,"&gt;="&amp;D480,$A$3:$A$500,"&lt;&gt;"&amp;A480)&gt;0)),0))</f>
        <v/>
      </c>
      <c r="R480">
        <f>IF(B480="","",IFERROR(SUMPRODUCT((LEN(Employees!$A$3:$A$500)&gt;0)*(Employees!$O$3:$O$500=1)*(COUNTIFS($B$3:$B$500,Employees!$A$3:$A$500,$H$3:$H$500,"Approved",$D$3:$D$500,"&lt;="&amp;E480,$E$3:$E$500,"&gt;="&amp;D480,$A$3:$A$500,"&lt;&gt;"&amp;A480)&gt;0)),0))</f>
        <v/>
      </c>
      <c r="S480">
        <f>IF(OR(B480="",IFERROR(XLOOKUP(B480,Employees!$A$3:$A$500,Employees!$G$3:$G$500,""),"")=""),"",IFERROR(SUMPRODUCT((LEN(Employees!$A$3:$A$500)&gt;0)*(Employees!$G$3:$G$500=IFERROR(XLOOKUP(B480,Employees!$A$3:$A$500,Employees!$G$3:$G$500,""),""))*(COUNTIFS($B$3:$B$500,Employees!$A$3:$A$500,$H$3:$H$500,"Approved",$D$3:$D$500,"&lt;="&amp;E480,$E$3:$E$500,"&gt;="&amp;D480,$A$3:$A$500,"&lt;&gt;"&amp;A480)&gt;0)),0))</f>
        <v/>
      </c>
    </row>
    <row r="481">
      <c r="C481">
        <f>IFERROR(XLOOKUP(B481,Employees!$A$3:$A$500,Employees!$B$3:$B$500,""),"")</f>
        <v/>
      </c>
      <c r="I481">
        <f>IF(AND(B481&lt;&gt;"",D481&lt;&gt;"",E481&lt;&gt;""),E481-D481+1,"")</f>
        <v/>
      </c>
      <c r="J481">
        <f>IF(OR(B481="",D481="",E481=""),"",IF(OR(L481&lt;'Coverage Rules'!E7,M481&lt;'Coverage Rules'!E8,N481&lt;'Coverage Rules'!C8,O481&lt;'Coverage Rules'!E9,P481&lt;'Coverage Rules'!E10,Q481&gt;='Coverage Rules'!B16,R481&gt;='Coverage Rules'!B17,IF(S481="",FALSE,S481&gt;='Coverage Rules'!D24)),"Denied","OK"))</f>
        <v/>
      </c>
      <c r="L481">
        <f>IF(B481="","",IFERROR(SUMPRODUCT((LEN(Employees!$A$3:$A$500)&gt;0)*(Employees!$T$3:$T$500=1)*(COUNTIFS($B$3:$B$500,Employees!$A$3:$A$500,$H$3:$H$500,"Approved",$D$3:$D$500,"&lt;="&amp;E481,$E$3:$E$500,"&gt;="&amp;D481,$A$3:$A$500,"&lt;&gt;"&amp;A481)=0)),0))</f>
        <v/>
      </c>
      <c r="M481">
        <f>IF(B481="","",IFERROR(SUMPRODUCT((LEN(Employees!$A$3:$A$500)&gt;0)*(Employees!$U$3:$U$500=1)*(COUNTIFS($B$3:$B$500,Employees!$A$3:$A$500,$H$3:$H$500,"Approved",$D$3:$D$500,"&lt;="&amp;E481,$E$3:$E$500,"&gt;="&amp;D481,$A$3:$A$500,"&lt;&gt;"&amp;A481)=0)),0))</f>
        <v/>
      </c>
      <c r="N481">
        <f>IF(B481="","",IFERROR(SUMPRODUCT((LEN(Employees!$A$3:$A$500)&gt;0)*(Employees!$B$3:$B$500="Manager")*(Employees!$U$3:$U$500=1)*(COUNTIFS($B$3:$B$500,Employees!$A$3:$A$500,$H$3:$H$500,"Approved",$D$3:$D$500,"&lt;="&amp;E481,$E$3:$E$500,"&gt;="&amp;D481,$A$3:$A$500,"&lt;&gt;"&amp;A481)=0)),0))</f>
        <v/>
      </c>
      <c r="O481">
        <f>IF(B481="","",IFERROR(SUMPRODUCT((LEN(Employees!$A$3:$A$500)&gt;0)*(Employees!$V$3:$V$500=1)*(COUNTIFS($B$3:$B$500,Employees!$A$3:$A$500,$H$3:$H$500,"Approved",$D$3:$D$500,"&lt;="&amp;E481,$E$3:$E$500,"&gt;="&amp;D481,$A$3:$A$500,"&lt;&gt;"&amp;A481)=0)),0))</f>
        <v/>
      </c>
      <c r="P481">
        <f>IF(B481="","",IFERROR(SUMPRODUCT((LEN(Employees!$A$3:$A$500)&gt;0)*(Employees!$W$3:$W$500=1)*(COUNTIFS($B$3:$B$500,Employees!$A$3:$A$500,$H$3:$H$500,"Approved",$D$3:$D$500,"&lt;="&amp;E481,$E$3:$E$500,"&gt;="&amp;D481,$A$3:$A$500,"&lt;&gt;"&amp;A481)=0)),0))</f>
        <v/>
      </c>
      <c r="Q481">
        <f>IF(B481="","",IFERROR(SUMPRODUCT((LEN(Employees!$A$3:$A$500)&gt;0)*(Employees!$N$3:$N$500=1)*(COUNTIFS($B$3:$B$500,Employees!$A$3:$A$500,$H$3:$H$500,"Approved",$D$3:$D$500,"&lt;="&amp;E481,$E$3:$E$500,"&gt;="&amp;D481,$A$3:$A$500,"&lt;&gt;"&amp;A481)&gt;0)),0))</f>
        <v/>
      </c>
      <c r="R481">
        <f>IF(B481="","",IFERROR(SUMPRODUCT((LEN(Employees!$A$3:$A$500)&gt;0)*(Employees!$O$3:$O$500=1)*(COUNTIFS($B$3:$B$500,Employees!$A$3:$A$500,$H$3:$H$500,"Approved",$D$3:$D$500,"&lt;="&amp;E481,$E$3:$E$500,"&gt;="&amp;D481,$A$3:$A$500,"&lt;&gt;"&amp;A481)&gt;0)),0))</f>
        <v/>
      </c>
      <c r="S481">
        <f>IF(OR(B481="",IFERROR(XLOOKUP(B481,Employees!$A$3:$A$500,Employees!$G$3:$G$500,""),"")=""),"",IFERROR(SUMPRODUCT((LEN(Employees!$A$3:$A$500)&gt;0)*(Employees!$G$3:$G$500=IFERROR(XLOOKUP(B481,Employees!$A$3:$A$500,Employees!$G$3:$G$500,""),""))*(COUNTIFS($B$3:$B$500,Employees!$A$3:$A$500,$H$3:$H$500,"Approved",$D$3:$D$500,"&lt;="&amp;E481,$E$3:$E$500,"&gt;="&amp;D481,$A$3:$A$500,"&lt;&gt;"&amp;A481)&gt;0)),0))</f>
        <v/>
      </c>
    </row>
    <row r="482">
      <c r="C482">
        <f>IFERROR(XLOOKUP(B482,Employees!$A$3:$A$500,Employees!$B$3:$B$500,""),"")</f>
        <v/>
      </c>
      <c r="I482">
        <f>IF(AND(B482&lt;&gt;"",D482&lt;&gt;"",E482&lt;&gt;""),E482-D482+1,"")</f>
        <v/>
      </c>
      <c r="J482">
        <f>IF(OR(B482="",D482="",E482=""),"",IF(OR(L482&lt;'Coverage Rules'!E7,M482&lt;'Coverage Rules'!E8,N482&lt;'Coverage Rules'!C8,O482&lt;'Coverage Rules'!E9,P482&lt;'Coverage Rules'!E10,Q482&gt;='Coverage Rules'!B16,R482&gt;='Coverage Rules'!B17,IF(S482="",FALSE,S482&gt;='Coverage Rules'!D24)),"Denied","OK"))</f>
        <v/>
      </c>
      <c r="L482">
        <f>IF(B482="","",IFERROR(SUMPRODUCT((LEN(Employees!$A$3:$A$500)&gt;0)*(Employees!$T$3:$T$500=1)*(COUNTIFS($B$3:$B$500,Employees!$A$3:$A$500,$H$3:$H$500,"Approved",$D$3:$D$500,"&lt;="&amp;E482,$E$3:$E$500,"&gt;="&amp;D482,$A$3:$A$500,"&lt;&gt;"&amp;A482)=0)),0))</f>
        <v/>
      </c>
      <c r="M482">
        <f>IF(B482="","",IFERROR(SUMPRODUCT((LEN(Employees!$A$3:$A$500)&gt;0)*(Employees!$U$3:$U$500=1)*(COUNTIFS($B$3:$B$500,Employees!$A$3:$A$500,$H$3:$H$500,"Approved",$D$3:$D$500,"&lt;="&amp;E482,$E$3:$E$500,"&gt;="&amp;D482,$A$3:$A$500,"&lt;&gt;"&amp;A482)=0)),0))</f>
        <v/>
      </c>
      <c r="N482">
        <f>IF(B482="","",IFERROR(SUMPRODUCT((LEN(Employees!$A$3:$A$500)&gt;0)*(Employees!$B$3:$B$500="Manager")*(Employees!$U$3:$U$500=1)*(COUNTIFS($B$3:$B$500,Employees!$A$3:$A$500,$H$3:$H$500,"Approved",$D$3:$D$500,"&lt;="&amp;E482,$E$3:$E$500,"&gt;="&amp;D482,$A$3:$A$500,"&lt;&gt;"&amp;A482)=0)),0))</f>
        <v/>
      </c>
      <c r="O482">
        <f>IF(B482="","",IFERROR(SUMPRODUCT((LEN(Employees!$A$3:$A$500)&gt;0)*(Employees!$V$3:$V$500=1)*(COUNTIFS($B$3:$B$500,Employees!$A$3:$A$500,$H$3:$H$500,"Approved",$D$3:$D$500,"&lt;="&amp;E482,$E$3:$E$500,"&gt;="&amp;D482,$A$3:$A$500,"&lt;&gt;"&amp;A482)=0)),0))</f>
        <v/>
      </c>
      <c r="P482">
        <f>IF(B482="","",IFERROR(SUMPRODUCT((LEN(Employees!$A$3:$A$500)&gt;0)*(Employees!$W$3:$W$500=1)*(COUNTIFS($B$3:$B$500,Employees!$A$3:$A$500,$H$3:$H$500,"Approved",$D$3:$D$500,"&lt;="&amp;E482,$E$3:$E$500,"&gt;="&amp;D482,$A$3:$A$500,"&lt;&gt;"&amp;A482)=0)),0))</f>
        <v/>
      </c>
      <c r="Q482">
        <f>IF(B482="","",IFERROR(SUMPRODUCT((LEN(Employees!$A$3:$A$500)&gt;0)*(Employees!$N$3:$N$500=1)*(COUNTIFS($B$3:$B$500,Employees!$A$3:$A$500,$H$3:$H$500,"Approved",$D$3:$D$500,"&lt;="&amp;E482,$E$3:$E$500,"&gt;="&amp;D482,$A$3:$A$500,"&lt;&gt;"&amp;A482)&gt;0)),0))</f>
        <v/>
      </c>
      <c r="R482">
        <f>IF(B482="","",IFERROR(SUMPRODUCT((LEN(Employees!$A$3:$A$500)&gt;0)*(Employees!$O$3:$O$500=1)*(COUNTIFS($B$3:$B$500,Employees!$A$3:$A$500,$H$3:$H$500,"Approved",$D$3:$D$500,"&lt;="&amp;E482,$E$3:$E$500,"&gt;="&amp;D482,$A$3:$A$500,"&lt;&gt;"&amp;A482)&gt;0)),0))</f>
        <v/>
      </c>
      <c r="S482">
        <f>IF(OR(B482="",IFERROR(XLOOKUP(B482,Employees!$A$3:$A$500,Employees!$G$3:$G$500,""),"")=""),"",IFERROR(SUMPRODUCT((LEN(Employees!$A$3:$A$500)&gt;0)*(Employees!$G$3:$G$500=IFERROR(XLOOKUP(B482,Employees!$A$3:$A$500,Employees!$G$3:$G$500,""),""))*(COUNTIFS($B$3:$B$500,Employees!$A$3:$A$500,$H$3:$H$500,"Approved",$D$3:$D$500,"&lt;="&amp;E482,$E$3:$E$500,"&gt;="&amp;D482,$A$3:$A$500,"&lt;&gt;"&amp;A482)&gt;0)),0))</f>
        <v/>
      </c>
    </row>
    <row r="483">
      <c r="C483">
        <f>IFERROR(XLOOKUP(B483,Employees!$A$3:$A$500,Employees!$B$3:$B$500,""),"")</f>
        <v/>
      </c>
      <c r="I483">
        <f>IF(AND(B483&lt;&gt;"",D483&lt;&gt;"",E483&lt;&gt;""),E483-D483+1,"")</f>
        <v/>
      </c>
      <c r="J483">
        <f>IF(OR(B483="",D483="",E483=""),"",IF(OR(L483&lt;'Coverage Rules'!E7,M483&lt;'Coverage Rules'!E8,N483&lt;'Coverage Rules'!C8,O483&lt;'Coverage Rules'!E9,P483&lt;'Coverage Rules'!E10,Q483&gt;='Coverage Rules'!B16,R483&gt;='Coverage Rules'!B17,IF(S483="",FALSE,S483&gt;='Coverage Rules'!D24)),"Denied","OK"))</f>
        <v/>
      </c>
      <c r="L483">
        <f>IF(B483="","",IFERROR(SUMPRODUCT((LEN(Employees!$A$3:$A$500)&gt;0)*(Employees!$T$3:$T$500=1)*(COUNTIFS($B$3:$B$500,Employees!$A$3:$A$500,$H$3:$H$500,"Approved",$D$3:$D$500,"&lt;="&amp;E483,$E$3:$E$500,"&gt;="&amp;D483,$A$3:$A$500,"&lt;&gt;"&amp;A483)=0)),0))</f>
        <v/>
      </c>
      <c r="M483">
        <f>IF(B483="","",IFERROR(SUMPRODUCT((LEN(Employees!$A$3:$A$500)&gt;0)*(Employees!$U$3:$U$500=1)*(COUNTIFS($B$3:$B$500,Employees!$A$3:$A$500,$H$3:$H$500,"Approved",$D$3:$D$500,"&lt;="&amp;E483,$E$3:$E$500,"&gt;="&amp;D483,$A$3:$A$500,"&lt;&gt;"&amp;A483)=0)),0))</f>
        <v/>
      </c>
      <c r="N483">
        <f>IF(B483="","",IFERROR(SUMPRODUCT((LEN(Employees!$A$3:$A$500)&gt;0)*(Employees!$B$3:$B$500="Manager")*(Employees!$U$3:$U$500=1)*(COUNTIFS($B$3:$B$500,Employees!$A$3:$A$500,$H$3:$H$500,"Approved",$D$3:$D$500,"&lt;="&amp;E483,$E$3:$E$500,"&gt;="&amp;D483,$A$3:$A$500,"&lt;&gt;"&amp;A483)=0)),0))</f>
        <v/>
      </c>
      <c r="O483">
        <f>IF(B483="","",IFERROR(SUMPRODUCT((LEN(Employees!$A$3:$A$500)&gt;0)*(Employees!$V$3:$V$500=1)*(COUNTIFS($B$3:$B$500,Employees!$A$3:$A$500,$H$3:$H$500,"Approved",$D$3:$D$500,"&lt;="&amp;E483,$E$3:$E$500,"&gt;="&amp;D483,$A$3:$A$500,"&lt;&gt;"&amp;A483)=0)),0))</f>
        <v/>
      </c>
      <c r="P483">
        <f>IF(B483="","",IFERROR(SUMPRODUCT((LEN(Employees!$A$3:$A$500)&gt;0)*(Employees!$W$3:$W$500=1)*(COUNTIFS($B$3:$B$500,Employees!$A$3:$A$500,$H$3:$H$500,"Approved",$D$3:$D$500,"&lt;="&amp;E483,$E$3:$E$500,"&gt;="&amp;D483,$A$3:$A$500,"&lt;&gt;"&amp;A483)=0)),0))</f>
        <v/>
      </c>
      <c r="Q483">
        <f>IF(B483="","",IFERROR(SUMPRODUCT((LEN(Employees!$A$3:$A$500)&gt;0)*(Employees!$N$3:$N$500=1)*(COUNTIFS($B$3:$B$500,Employees!$A$3:$A$500,$H$3:$H$500,"Approved",$D$3:$D$500,"&lt;="&amp;E483,$E$3:$E$500,"&gt;="&amp;D483,$A$3:$A$500,"&lt;&gt;"&amp;A483)&gt;0)),0))</f>
        <v/>
      </c>
      <c r="R483">
        <f>IF(B483="","",IFERROR(SUMPRODUCT((LEN(Employees!$A$3:$A$500)&gt;0)*(Employees!$O$3:$O$500=1)*(COUNTIFS($B$3:$B$500,Employees!$A$3:$A$500,$H$3:$H$500,"Approved",$D$3:$D$500,"&lt;="&amp;E483,$E$3:$E$500,"&gt;="&amp;D483,$A$3:$A$500,"&lt;&gt;"&amp;A483)&gt;0)),0))</f>
        <v/>
      </c>
      <c r="S483">
        <f>IF(OR(B483="",IFERROR(XLOOKUP(B483,Employees!$A$3:$A$500,Employees!$G$3:$G$500,""),"")=""),"",IFERROR(SUMPRODUCT((LEN(Employees!$A$3:$A$500)&gt;0)*(Employees!$G$3:$G$500=IFERROR(XLOOKUP(B483,Employees!$A$3:$A$500,Employees!$G$3:$G$500,""),""))*(COUNTIFS($B$3:$B$500,Employees!$A$3:$A$500,$H$3:$H$500,"Approved",$D$3:$D$500,"&lt;="&amp;E483,$E$3:$E$500,"&gt;="&amp;D483,$A$3:$A$500,"&lt;&gt;"&amp;A483)&gt;0)),0))</f>
        <v/>
      </c>
    </row>
    <row r="484">
      <c r="C484">
        <f>IFERROR(XLOOKUP(B484,Employees!$A$3:$A$500,Employees!$B$3:$B$500,""),"")</f>
        <v/>
      </c>
      <c r="I484">
        <f>IF(AND(B484&lt;&gt;"",D484&lt;&gt;"",E484&lt;&gt;""),E484-D484+1,"")</f>
        <v/>
      </c>
      <c r="J484">
        <f>IF(OR(B484="",D484="",E484=""),"",IF(OR(L484&lt;'Coverage Rules'!E7,M484&lt;'Coverage Rules'!E8,N484&lt;'Coverage Rules'!C8,O484&lt;'Coverage Rules'!E9,P484&lt;'Coverage Rules'!E10,Q484&gt;='Coverage Rules'!B16,R484&gt;='Coverage Rules'!B17,IF(S484="",FALSE,S484&gt;='Coverage Rules'!D24)),"Denied","OK"))</f>
        <v/>
      </c>
      <c r="L484">
        <f>IF(B484="","",IFERROR(SUMPRODUCT((LEN(Employees!$A$3:$A$500)&gt;0)*(Employees!$T$3:$T$500=1)*(COUNTIFS($B$3:$B$500,Employees!$A$3:$A$500,$H$3:$H$500,"Approved",$D$3:$D$500,"&lt;="&amp;E484,$E$3:$E$500,"&gt;="&amp;D484,$A$3:$A$500,"&lt;&gt;"&amp;A484)=0)),0))</f>
        <v/>
      </c>
      <c r="M484">
        <f>IF(B484="","",IFERROR(SUMPRODUCT((LEN(Employees!$A$3:$A$500)&gt;0)*(Employees!$U$3:$U$500=1)*(COUNTIFS($B$3:$B$500,Employees!$A$3:$A$500,$H$3:$H$500,"Approved",$D$3:$D$500,"&lt;="&amp;E484,$E$3:$E$500,"&gt;="&amp;D484,$A$3:$A$500,"&lt;&gt;"&amp;A484)=0)),0))</f>
        <v/>
      </c>
      <c r="N484">
        <f>IF(B484="","",IFERROR(SUMPRODUCT((LEN(Employees!$A$3:$A$500)&gt;0)*(Employees!$B$3:$B$500="Manager")*(Employees!$U$3:$U$500=1)*(COUNTIFS($B$3:$B$500,Employees!$A$3:$A$500,$H$3:$H$500,"Approved",$D$3:$D$500,"&lt;="&amp;E484,$E$3:$E$500,"&gt;="&amp;D484,$A$3:$A$500,"&lt;&gt;"&amp;A484)=0)),0))</f>
        <v/>
      </c>
      <c r="O484">
        <f>IF(B484="","",IFERROR(SUMPRODUCT((LEN(Employees!$A$3:$A$500)&gt;0)*(Employees!$V$3:$V$500=1)*(COUNTIFS($B$3:$B$500,Employees!$A$3:$A$500,$H$3:$H$500,"Approved",$D$3:$D$500,"&lt;="&amp;E484,$E$3:$E$500,"&gt;="&amp;D484,$A$3:$A$500,"&lt;&gt;"&amp;A484)=0)),0))</f>
        <v/>
      </c>
      <c r="P484">
        <f>IF(B484="","",IFERROR(SUMPRODUCT((LEN(Employees!$A$3:$A$500)&gt;0)*(Employees!$W$3:$W$500=1)*(COUNTIFS($B$3:$B$500,Employees!$A$3:$A$500,$H$3:$H$500,"Approved",$D$3:$D$500,"&lt;="&amp;E484,$E$3:$E$500,"&gt;="&amp;D484,$A$3:$A$500,"&lt;&gt;"&amp;A484)=0)),0))</f>
        <v/>
      </c>
      <c r="Q484">
        <f>IF(B484="","",IFERROR(SUMPRODUCT((LEN(Employees!$A$3:$A$500)&gt;0)*(Employees!$N$3:$N$500=1)*(COUNTIFS($B$3:$B$500,Employees!$A$3:$A$500,$H$3:$H$500,"Approved",$D$3:$D$500,"&lt;="&amp;E484,$E$3:$E$500,"&gt;="&amp;D484,$A$3:$A$500,"&lt;&gt;"&amp;A484)&gt;0)),0))</f>
        <v/>
      </c>
      <c r="R484">
        <f>IF(B484="","",IFERROR(SUMPRODUCT((LEN(Employees!$A$3:$A$500)&gt;0)*(Employees!$O$3:$O$500=1)*(COUNTIFS($B$3:$B$500,Employees!$A$3:$A$500,$H$3:$H$500,"Approved",$D$3:$D$500,"&lt;="&amp;E484,$E$3:$E$500,"&gt;="&amp;D484,$A$3:$A$500,"&lt;&gt;"&amp;A484)&gt;0)),0))</f>
        <v/>
      </c>
      <c r="S484">
        <f>IF(OR(B484="",IFERROR(XLOOKUP(B484,Employees!$A$3:$A$500,Employees!$G$3:$G$500,""),"")=""),"",IFERROR(SUMPRODUCT((LEN(Employees!$A$3:$A$500)&gt;0)*(Employees!$G$3:$G$500=IFERROR(XLOOKUP(B484,Employees!$A$3:$A$500,Employees!$G$3:$G$500,""),""))*(COUNTIFS($B$3:$B$500,Employees!$A$3:$A$500,$H$3:$H$500,"Approved",$D$3:$D$500,"&lt;="&amp;E484,$E$3:$E$500,"&gt;="&amp;D484,$A$3:$A$500,"&lt;&gt;"&amp;A484)&gt;0)),0))</f>
        <v/>
      </c>
    </row>
    <row r="485">
      <c r="C485">
        <f>IFERROR(XLOOKUP(B485,Employees!$A$3:$A$500,Employees!$B$3:$B$500,""),"")</f>
        <v/>
      </c>
      <c r="I485">
        <f>IF(AND(B485&lt;&gt;"",D485&lt;&gt;"",E485&lt;&gt;""),E485-D485+1,"")</f>
        <v/>
      </c>
      <c r="J485">
        <f>IF(OR(B485="",D485="",E485=""),"",IF(OR(L485&lt;'Coverage Rules'!E7,M485&lt;'Coverage Rules'!E8,N485&lt;'Coverage Rules'!C8,O485&lt;'Coverage Rules'!E9,P485&lt;'Coverage Rules'!E10,Q485&gt;='Coverage Rules'!B16,R485&gt;='Coverage Rules'!B17,IF(S485="",FALSE,S485&gt;='Coverage Rules'!D24)),"Denied","OK"))</f>
        <v/>
      </c>
      <c r="L485">
        <f>IF(B485="","",IFERROR(SUMPRODUCT((LEN(Employees!$A$3:$A$500)&gt;0)*(Employees!$T$3:$T$500=1)*(COUNTIFS($B$3:$B$500,Employees!$A$3:$A$500,$H$3:$H$500,"Approved",$D$3:$D$500,"&lt;="&amp;E485,$E$3:$E$500,"&gt;="&amp;D485,$A$3:$A$500,"&lt;&gt;"&amp;A485)=0)),0))</f>
        <v/>
      </c>
      <c r="M485">
        <f>IF(B485="","",IFERROR(SUMPRODUCT((LEN(Employees!$A$3:$A$500)&gt;0)*(Employees!$U$3:$U$500=1)*(COUNTIFS($B$3:$B$500,Employees!$A$3:$A$500,$H$3:$H$500,"Approved",$D$3:$D$500,"&lt;="&amp;E485,$E$3:$E$500,"&gt;="&amp;D485,$A$3:$A$500,"&lt;&gt;"&amp;A485)=0)),0))</f>
        <v/>
      </c>
      <c r="N485">
        <f>IF(B485="","",IFERROR(SUMPRODUCT((LEN(Employees!$A$3:$A$500)&gt;0)*(Employees!$B$3:$B$500="Manager")*(Employees!$U$3:$U$500=1)*(COUNTIFS($B$3:$B$500,Employees!$A$3:$A$500,$H$3:$H$500,"Approved",$D$3:$D$500,"&lt;="&amp;E485,$E$3:$E$500,"&gt;="&amp;D485,$A$3:$A$500,"&lt;&gt;"&amp;A485)=0)),0))</f>
        <v/>
      </c>
      <c r="O485">
        <f>IF(B485="","",IFERROR(SUMPRODUCT((LEN(Employees!$A$3:$A$500)&gt;0)*(Employees!$V$3:$V$500=1)*(COUNTIFS($B$3:$B$500,Employees!$A$3:$A$500,$H$3:$H$500,"Approved",$D$3:$D$500,"&lt;="&amp;E485,$E$3:$E$500,"&gt;="&amp;D485,$A$3:$A$500,"&lt;&gt;"&amp;A485)=0)),0))</f>
        <v/>
      </c>
      <c r="P485">
        <f>IF(B485="","",IFERROR(SUMPRODUCT((LEN(Employees!$A$3:$A$500)&gt;0)*(Employees!$W$3:$W$500=1)*(COUNTIFS($B$3:$B$500,Employees!$A$3:$A$500,$H$3:$H$500,"Approved",$D$3:$D$500,"&lt;="&amp;E485,$E$3:$E$500,"&gt;="&amp;D485,$A$3:$A$500,"&lt;&gt;"&amp;A485)=0)),0))</f>
        <v/>
      </c>
      <c r="Q485">
        <f>IF(B485="","",IFERROR(SUMPRODUCT((LEN(Employees!$A$3:$A$500)&gt;0)*(Employees!$N$3:$N$500=1)*(COUNTIFS($B$3:$B$500,Employees!$A$3:$A$500,$H$3:$H$500,"Approved",$D$3:$D$500,"&lt;="&amp;E485,$E$3:$E$500,"&gt;="&amp;D485,$A$3:$A$500,"&lt;&gt;"&amp;A485)&gt;0)),0))</f>
        <v/>
      </c>
      <c r="R485">
        <f>IF(B485="","",IFERROR(SUMPRODUCT((LEN(Employees!$A$3:$A$500)&gt;0)*(Employees!$O$3:$O$500=1)*(COUNTIFS($B$3:$B$500,Employees!$A$3:$A$500,$H$3:$H$500,"Approved",$D$3:$D$500,"&lt;="&amp;E485,$E$3:$E$500,"&gt;="&amp;D485,$A$3:$A$500,"&lt;&gt;"&amp;A485)&gt;0)),0))</f>
        <v/>
      </c>
      <c r="S485">
        <f>IF(OR(B485="",IFERROR(XLOOKUP(B485,Employees!$A$3:$A$500,Employees!$G$3:$G$500,""),"")=""),"",IFERROR(SUMPRODUCT((LEN(Employees!$A$3:$A$500)&gt;0)*(Employees!$G$3:$G$500=IFERROR(XLOOKUP(B485,Employees!$A$3:$A$500,Employees!$G$3:$G$500,""),""))*(COUNTIFS($B$3:$B$500,Employees!$A$3:$A$500,$H$3:$H$500,"Approved",$D$3:$D$500,"&lt;="&amp;E485,$E$3:$E$500,"&gt;="&amp;D485,$A$3:$A$500,"&lt;&gt;"&amp;A485)&gt;0)),0))</f>
        <v/>
      </c>
    </row>
    <row r="486">
      <c r="C486">
        <f>IFERROR(XLOOKUP(B486,Employees!$A$3:$A$500,Employees!$B$3:$B$500,""),"")</f>
        <v/>
      </c>
      <c r="I486">
        <f>IF(AND(B486&lt;&gt;"",D486&lt;&gt;"",E486&lt;&gt;""),E486-D486+1,"")</f>
        <v/>
      </c>
      <c r="J486">
        <f>IF(OR(B486="",D486="",E486=""),"",IF(OR(L486&lt;'Coverage Rules'!E7,M486&lt;'Coverage Rules'!E8,N486&lt;'Coverage Rules'!C8,O486&lt;'Coverage Rules'!E9,P486&lt;'Coverage Rules'!E10,Q486&gt;='Coverage Rules'!B16,R486&gt;='Coverage Rules'!B17,IF(S486="",FALSE,S486&gt;='Coverage Rules'!D24)),"Denied","OK"))</f>
        <v/>
      </c>
      <c r="L486">
        <f>IF(B486="","",IFERROR(SUMPRODUCT((LEN(Employees!$A$3:$A$500)&gt;0)*(Employees!$T$3:$T$500=1)*(COUNTIFS($B$3:$B$500,Employees!$A$3:$A$500,$H$3:$H$500,"Approved",$D$3:$D$500,"&lt;="&amp;E486,$E$3:$E$500,"&gt;="&amp;D486,$A$3:$A$500,"&lt;&gt;"&amp;A486)=0)),0))</f>
        <v/>
      </c>
      <c r="M486">
        <f>IF(B486="","",IFERROR(SUMPRODUCT((LEN(Employees!$A$3:$A$500)&gt;0)*(Employees!$U$3:$U$500=1)*(COUNTIFS($B$3:$B$500,Employees!$A$3:$A$500,$H$3:$H$500,"Approved",$D$3:$D$500,"&lt;="&amp;E486,$E$3:$E$500,"&gt;="&amp;D486,$A$3:$A$500,"&lt;&gt;"&amp;A486)=0)),0))</f>
        <v/>
      </c>
      <c r="N486">
        <f>IF(B486="","",IFERROR(SUMPRODUCT((LEN(Employees!$A$3:$A$500)&gt;0)*(Employees!$B$3:$B$500="Manager")*(Employees!$U$3:$U$500=1)*(COUNTIFS($B$3:$B$500,Employees!$A$3:$A$500,$H$3:$H$500,"Approved",$D$3:$D$500,"&lt;="&amp;E486,$E$3:$E$500,"&gt;="&amp;D486,$A$3:$A$500,"&lt;&gt;"&amp;A486)=0)),0))</f>
        <v/>
      </c>
      <c r="O486">
        <f>IF(B486="","",IFERROR(SUMPRODUCT((LEN(Employees!$A$3:$A$500)&gt;0)*(Employees!$V$3:$V$500=1)*(COUNTIFS($B$3:$B$500,Employees!$A$3:$A$500,$H$3:$H$500,"Approved",$D$3:$D$500,"&lt;="&amp;E486,$E$3:$E$500,"&gt;="&amp;D486,$A$3:$A$500,"&lt;&gt;"&amp;A486)=0)),0))</f>
        <v/>
      </c>
      <c r="P486">
        <f>IF(B486="","",IFERROR(SUMPRODUCT((LEN(Employees!$A$3:$A$500)&gt;0)*(Employees!$W$3:$W$500=1)*(COUNTIFS($B$3:$B$500,Employees!$A$3:$A$500,$H$3:$H$500,"Approved",$D$3:$D$500,"&lt;="&amp;E486,$E$3:$E$500,"&gt;="&amp;D486,$A$3:$A$500,"&lt;&gt;"&amp;A486)=0)),0))</f>
        <v/>
      </c>
      <c r="Q486">
        <f>IF(B486="","",IFERROR(SUMPRODUCT((LEN(Employees!$A$3:$A$500)&gt;0)*(Employees!$N$3:$N$500=1)*(COUNTIFS($B$3:$B$500,Employees!$A$3:$A$500,$H$3:$H$500,"Approved",$D$3:$D$500,"&lt;="&amp;E486,$E$3:$E$500,"&gt;="&amp;D486,$A$3:$A$500,"&lt;&gt;"&amp;A486)&gt;0)),0))</f>
        <v/>
      </c>
      <c r="R486">
        <f>IF(B486="","",IFERROR(SUMPRODUCT((LEN(Employees!$A$3:$A$500)&gt;0)*(Employees!$O$3:$O$500=1)*(COUNTIFS($B$3:$B$500,Employees!$A$3:$A$500,$H$3:$H$500,"Approved",$D$3:$D$500,"&lt;="&amp;E486,$E$3:$E$500,"&gt;="&amp;D486,$A$3:$A$500,"&lt;&gt;"&amp;A486)&gt;0)),0))</f>
        <v/>
      </c>
      <c r="S486">
        <f>IF(OR(B486="",IFERROR(XLOOKUP(B486,Employees!$A$3:$A$500,Employees!$G$3:$G$500,""),"")=""),"",IFERROR(SUMPRODUCT((LEN(Employees!$A$3:$A$500)&gt;0)*(Employees!$G$3:$G$500=IFERROR(XLOOKUP(B486,Employees!$A$3:$A$500,Employees!$G$3:$G$500,""),""))*(COUNTIFS($B$3:$B$500,Employees!$A$3:$A$500,$H$3:$H$500,"Approved",$D$3:$D$500,"&lt;="&amp;E486,$E$3:$E$500,"&gt;="&amp;D486,$A$3:$A$500,"&lt;&gt;"&amp;A486)&gt;0)),0))</f>
        <v/>
      </c>
    </row>
    <row r="487">
      <c r="C487">
        <f>IFERROR(XLOOKUP(B487,Employees!$A$3:$A$500,Employees!$B$3:$B$500,""),"")</f>
        <v/>
      </c>
      <c r="I487">
        <f>IF(AND(B487&lt;&gt;"",D487&lt;&gt;"",E487&lt;&gt;""),E487-D487+1,"")</f>
        <v/>
      </c>
      <c r="J487">
        <f>IF(OR(B487="",D487="",E487=""),"",IF(OR(L487&lt;'Coverage Rules'!E7,M487&lt;'Coverage Rules'!E8,N487&lt;'Coverage Rules'!C8,O487&lt;'Coverage Rules'!E9,P487&lt;'Coverage Rules'!E10,Q487&gt;='Coverage Rules'!B16,R487&gt;='Coverage Rules'!B17,IF(S487="",FALSE,S487&gt;='Coverage Rules'!D24)),"Denied","OK"))</f>
        <v/>
      </c>
      <c r="L487">
        <f>IF(B487="","",IFERROR(SUMPRODUCT((LEN(Employees!$A$3:$A$500)&gt;0)*(Employees!$T$3:$T$500=1)*(COUNTIFS($B$3:$B$500,Employees!$A$3:$A$500,$H$3:$H$500,"Approved",$D$3:$D$500,"&lt;="&amp;E487,$E$3:$E$500,"&gt;="&amp;D487,$A$3:$A$500,"&lt;&gt;"&amp;A487)=0)),0))</f>
        <v/>
      </c>
      <c r="M487">
        <f>IF(B487="","",IFERROR(SUMPRODUCT((LEN(Employees!$A$3:$A$500)&gt;0)*(Employees!$U$3:$U$500=1)*(COUNTIFS($B$3:$B$500,Employees!$A$3:$A$500,$H$3:$H$500,"Approved",$D$3:$D$500,"&lt;="&amp;E487,$E$3:$E$500,"&gt;="&amp;D487,$A$3:$A$500,"&lt;&gt;"&amp;A487)=0)),0))</f>
        <v/>
      </c>
      <c r="N487">
        <f>IF(B487="","",IFERROR(SUMPRODUCT((LEN(Employees!$A$3:$A$500)&gt;0)*(Employees!$B$3:$B$500="Manager")*(Employees!$U$3:$U$500=1)*(COUNTIFS($B$3:$B$500,Employees!$A$3:$A$500,$H$3:$H$500,"Approved",$D$3:$D$500,"&lt;="&amp;E487,$E$3:$E$500,"&gt;="&amp;D487,$A$3:$A$500,"&lt;&gt;"&amp;A487)=0)),0))</f>
        <v/>
      </c>
      <c r="O487">
        <f>IF(B487="","",IFERROR(SUMPRODUCT((LEN(Employees!$A$3:$A$500)&gt;0)*(Employees!$V$3:$V$500=1)*(COUNTIFS($B$3:$B$500,Employees!$A$3:$A$500,$H$3:$H$500,"Approved",$D$3:$D$500,"&lt;="&amp;E487,$E$3:$E$500,"&gt;="&amp;D487,$A$3:$A$500,"&lt;&gt;"&amp;A487)=0)),0))</f>
        <v/>
      </c>
      <c r="P487">
        <f>IF(B487="","",IFERROR(SUMPRODUCT((LEN(Employees!$A$3:$A$500)&gt;0)*(Employees!$W$3:$W$500=1)*(COUNTIFS($B$3:$B$500,Employees!$A$3:$A$500,$H$3:$H$500,"Approved",$D$3:$D$500,"&lt;="&amp;E487,$E$3:$E$500,"&gt;="&amp;D487,$A$3:$A$500,"&lt;&gt;"&amp;A487)=0)),0))</f>
        <v/>
      </c>
      <c r="Q487">
        <f>IF(B487="","",IFERROR(SUMPRODUCT((LEN(Employees!$A$3:$A$500)&gt;0)*(Employees!$N$3:$N$500=1)*(COUNTIFS($B$3:$B$500,Employees!$A$3:$A$500,$H$3:$H$500,"Approved",$D$3:$D$500,"&lt;="&amp;E487,$E$3:$E$500,"&gt;="&amp;D487,$A$3:$A$500,"&lt;&gt;"&amp;A487)&gt;0)),0))</f>
        <v/>
      </c>
      <c r="R487">
        <f>IF(B487="","",IFERROR(SUMPRODUCT((LEN(Employees!$A$3:$A$500)&gt;0)*(Employees!$O$3:$O$500=1)*(COUNTIFS($B$3:$B$500,Employees!$A$3:$A$500,$H$3:$H$500,"Approved",$D$3:$D$500,"&lt;="&amp;E487,$E$3:$E$500,"&gt;="&amp;D487,$A$3:$A$500,"&lt;&gt;"&amp;A487)&gt;0)),0))</f>
        <v/>
      </c>
      <c r="S487">
        <f>IF(OR(B487="",IFERROR(XLOOKUP(B487,Employees!$A$3:$A$500,Employees!$G$3:$G$500,""),"")=""),"",IFERROR(SUMPRODUCT((LEN(Employees!$A$3:$A$500)&gt;0)*(Employees!$G$3:$G$500=IFERROR(XLOOKUP(B487,Employees!$A$3:$A$500,Employees!$G$3:$G$500,""),""))*(COUNTIFS($B$3:$B$500,Employees!$A$3:$A$500,$H$3:$H$500,"Approved",$D$3:$D$500,"&lt;="&amp;E487,$E$3:$E$500,"&gt;="&amp;D487,$A$3:$A$500,"&lt;&gt;"&amp;A487)&gt;0)),0))</f>
        <v/>
      </c>
    </row>
    <row r="488">
      <c r="C488">
        <f>IFERROR(XLOOKUP(B488,Employees!$A$3:$A$500,Employees!$B$3:$B$500,""),"")</f>
        <v/>
      </c>
      <c r="I488">
        <f>IF(AND(B488&lt;&gt;"",D488&lt;&gt;"",E488&lt;&gt;""),E488-D488+1,"")</f>
        <v/>
      </c>
      <c r="J488">
        <f>IF(OR(B488="",D488="",E488=""),"",IF(OR(L488&lt;'Coverage Rules'!E7,M488&lt;'Coverage Rules'!E8,N488&lt;'Coverage Rules'!C8,O488&lt;'Coverage Rules'!E9,P488&lt;'Coverage Rules'!E10,Q488&gt;='Coverage Rules'!B16,R488&gt;='Coverage Rules'!B17,IF(S488="",FALSE,S488&gt;='Coverage Rules'!D24)),"Denied","OK"))</f>
        <v/>
      </c>
      <c r="L488">
        <f>IF(B488="","",IFERROR(SUMPRODUCT((LEN(Employees!$A$3:$A$500)&gt;0)*(Employees!$T$3:$T$500=1)*(COUNTIFS($B$3:$B$500,Employees!$A$3:$A$500,$H$3:$H$500,"Approved",$D$3:$D$500,"&lt;="&amp;E488,$E$3:$E$500,"&gt;="&amp;D488,$A$3:$A$500,"&lt;&gt;"&amp;A488)=0)),0))</f>
        <v/>
      </c>
      <c r="M488">
        <f>IF(B488="","",IFERROR(SUMPRODUCT((LEN(Employees!$A$3:$A$500)&gt;0)*(Employees!$U$3:$U$500=1)*(COUNTIFS($B$3:$B$500,Employees!$A$3:$A$500,$H$3:$H$500,"Approved",$D$3:$D$500,"&lt;="&amp;E488,$E$3:$E$500,"&gt;="&amp;D488,$A$3:$A$500,"&lt;&gt;"&amp;A488)=0)),0))</f>
        <v/>
      </c>
      <c r="N488">
        <f>IF(B488="","",IFERROR(SUMPRODUCT((LEN(Employees!$A$3:$A$500)&gt;0)*(Employees!$B$3:$B$500="Manager")*(Employees!$U$3:$U$500=1)*(COUNTIFS($B$3:$B$500,Employees!$A$3:$A$500,$H$3:$H$500,"Approved",$D$3:$D$500,"&lt;="&amp;E488,$E$3:$E$500,"&gt;="&amp;D488,$A$3:$A$500,"&lt;&gt;"&amp;A488)=0)),0))</f>
        <v/>
      </c>
      <c r="O488">
        <f>IF(B488="","",IFERROR(SUMPRODUCT((LEN(Employees!$A$3:$A$500)&gt;0)*(Employees!$V$3:$V$500=1)*(COUNTIFS($B$3:$B$500,Employees!$A$3:$A$500,$H$3:$H$500,"Approved",$D$3:$D$500,"&lt;="&amp;E488,$E$3:$E$500,"&gt;="&amp;D488,$A$3:$A$500,"&lt;&gt;"&amp;A488)=0)),0))</f>
        <v/>
      </c>
      <c r="P488">
        <f>IF(B488="","",IFERROR(SUMPRODUCT((LEN(Employees!$A$3:$A$500)&gt;0)*(Employees!$W$3:$W$500=1)*(COUNTIFS($B$3:$B$500,Employees!$A$3:$A$500,$H$3:$H$500,"Approved",$D$3:$D$500,"&lt;="&amp;E488,$E$3:$E$500,"&gt;="&amp;D488,$A$3:$A$500,"&lt;&gt;"&amp;A488)=0)),0))</f>
        <v/>
      </c>
      <c r="Q488">
        <f>IF(B488="","",IFERROR(SUMPRODUCT((LEN(Employees!$A$3:$A$500)&gt;0)*(Employees!$N$3:$N$500=1)*(COUNTIFS($B$3:$B$500,Employees!$A$3:$A$500,$H$3:$H$500,"Approved",$D$3:$D$500,"&lt;="&amp;E488,$E$3:$E$500,"&gt;="&amp;D488,$A$3:$A$500,"&lt;&gt;"&amp;A488)&gt;0)),0))</f>
        <v/>
      </c>
      <c r="R488">
        <f>IF(B488="","",IFERROR(SUMPRODUCT((LEN(Employees!$A$3:$A$500)&gt;0)*(Employees!$O$3:$O$500=1)*(COUNTIFS($B$3:$B$500,Employees!$A$3:$A$500,$H$3:$H$500,"Approved",$D$3:$D$500,"&lt;="&amp;E488,$E$3:$E$500,"&gt;="&amp;D488,$A$3:$A$500,"&lt;&gt;"&amp;A488)&gt;0)),0))</f>
        <v/>
      </c>
      <c r="S488">
        <f>IF(OR(B488="",IFERROR(XLOOKUP(B488,Employees!$A$3:$A$500,Employees!$G$3:$G$500,""),"")=""),"",IFERROR(SUMPRODUCT((LEN(Employees!$A$3:$A$500)&gt;0)*(Employees!$G$3:$G$500=IFERROR(XLOOKUP(B488,Employees!$A$3:$A$500,Employees!$G$3:$G$500,""),""))*(COUNTIFS($B$3:$B$500,Employees!$A$3:$A$500,$H$3:$H$500,"Approved",$D$3:$D$500,"&lt;="&amp;E488,$E$3:$E$500,"&gt;="&amp;D488,$A$3:$A$500,"&lt;&gt;"&amp;A488)&gt;0)),0))</f>
        <v/>
      </c>
    </row>
    <row r="489">
      <c r="C489">
        <f>IFERROR(XLOOKUP(B489,Employees!$A$3:$A$500,Employees!$B$3:$B$500,""),"")</f>
        <v/>
      </c>
      <c r="I489">
        <f>IF(AND(B489&lt;&gt;"",D489&lt;&gt;"",E489&lt;&gt;""),E489-D489+1,"")</f>
        <v/>
      </c>
      <c r="J489">
        <f>IF(OR(B489="",D489="",E489=""),"",IF(OR(L489&lt;'Coverage Rules'!E7,M489&lt;'Coverage Rules'!E8,N489&lt;'Coverage Rules'!C8,O489&lt;'Coverage Rules'!E9,P489&lt;'Coverage Rules'!E10,Q489&gt;='Coverage Rules'!B16,R489&gt;='Coverage Rules'!B17,IF(S489="",FALSE,S489&gt;='Coverage Rules'!D24)),"Denied","OK"))</f>
        <v/>
      </c>
      <c r="L489">
        <f>IF(B489="","",IFERROR(SUMPRODUCT((LEN(Employees!$A$3:$A$500)&gt;0)*(Employees!$T$3:$T$500=1)*(COUNTIFS($B$3:$B$500,Employees!$A$3:$A$500,$H$3:$H$500,"Approved",$D$3:$D$500,"&lt;="&amp;E489,$E$3:$E$500,"&gt;="&amp;D489,$A$3:$A$500,"&lt;&gt;"&amp;A489)=0)),0))</f>
        <v/>
      </c>
      <c r="M489">
        <f>IF(B489="","",IFERROR(SUMPRODUCT((LEN(Employees!$A$3:$A$500)&gt;0)*(Employees!$U$3:$U$500=1)*(COUNTIFS($B$3:$B$500,Employees!$A$3:$A$500,$H$3:$H$500,"Approved",$D$3:$D$500,"&lt;="&amp;E489,$E$3:$E$500,"&gt;="&amp;D489,$A$3:$A$500,"&lt;&gt;"&amp;A489)=0)),0))</f>
        <v/>
      </c>
      <c r="N489">
        <f>IF(B489="","",IFERROR(SUMPRODUCT((LEN(Employees!$A$3:$A$500)&gt;0)*(Employees!$B$3:$B$500="Manager")*(Employees!$U$3:$U$500=1)*(COUNTIFS($B$3:$B$500,Employees!$A$3:$A$500,$H$3:$H$500,"Approved",$D$3:$D$500,"&lt;="&amp;E489,$E$3:$E$500,"&gt;="&amp;D489,$A$3:$A$500,"&lt;&gt;"&amp;A489)=0)),0))</f>
        <v/>
      </c>
      <c r="O489">
        <f>IF(B489="","",IFERROR(SUMPRODUCT((LEN(Employees!$A$3:$A$500)&gt;0)*(Employees!$V$3:$V$500=1)*(COUNTIFS($B$3:$B$500,Employees!$A$3:$A$500,$H$3:$H$500,"Approved",$D$3:$D$500,"&lt;="&amp;E489,$E$3:$E$500,"&gt;="&amp;D489,$A$3:$A$500,"&lt;&gt;"&amp;A489)=0)),0))</f>
        <v/>
      </c>
      <c r="P489">
        <f>IF(B489="","",IFERROR(SUMPRODUCT((LEN(Employees!$A$3:$A$500)&gt;0)*(Employees!$W$3:$W$500=1)*(COUNTIFS($B$3:$B$500,Employees!$A$3:$A$500,$H$3:$H$500,"Approved",$D$3:$D$500,"&lt;="&amp;E489,$E$3:$E$500,"&gt;="&amp;D489,$A$3:$A$500,"&lt;&gt;"&amp;A489)=0)),0))</f>
        <v/>
      </c>
      <c r="Q489">
        <f>IF(B489="","",IFERROR(SUMPRODUCT((LEN(Employees!$A$3:$A$500)&gt;0)*(Employees!$N$3:$N$500=1)*(COUNTIFS($B$3:$B$500,Employees!$A$3:$A$500,$H$3:$H$500,"Approved",$D$3:$D$500,"&lt;="&amp;E489,$E$3:$E$500,"&gt;="&amp;D489,$A$3:$A$500,"&lt;&gt;"&amp;A489)&gt;0)),0))</f>
        <v/>
      </c>
      <c r="R489">
        <f>IF(B489="","",IFERROR(SUMPRODUCT((LEN(Employees!$A$3:$A$500)&gt;0)*(Employees!$O$3:$O$500=1)*(COUNTIFS($B$3:$B$500,Employees!$A$3:$A$500,$H$3:$H$500,"Approved",$D$3:$D$500,"&lt;="&amp;E489,$E$3:$E$500,"&gt;="&amp;D489,$A$3:$A$500,"&lt;&gt;"&amp;A489)&gt;0)),0))</f>
        <v/>
      </c>
      <c r="S489">
        <f>IF(OR(B489="",IFERROR(XLOOKUP(B489,Employees!$A$3:$A$500,Employees!$G$3:$G$500,""),"")=""),"",IFERROR(SUMPRODUCT((LEN(Employees!$A$3:$A$500)&gt;0)*(Employees!$G$3:$G$500=IFERROR(XLOOKUP(B489,Employees!$A$3:$A$500,Employees!$G$3:$G$500,""),""))*(COUNTIFS($B$3:$B$500,Employees!$A$3:$A$500,$H$3:$H$500,"Approved",$D$3:$D$500,"&lt;="&amp;E489,$E$3:$E$500,"&gt;="&amp;D489,$A$3:$A$500,"&lt;&gt;"&amp;A489)&gt;0)),0))</f>
        <v/>
      </c>
    </row>
    <row r="490">
      <c r="C490">
        <f>IFERROR(XLOOKUP(B490,Employees!$A$3:$A$500,Employees!$B$3:$B$500,""),"")</f>
        <v/>
      </c>
      <c r="I490">
        <f>IF(AND(B490&lt;&gt;"",D490&lt;&gt;"",E490&lt;&gt;""),E490-D490+1,"")</f>
        <v/>
      </c>
      <c r="J490">
        <f>IF(OR(B490="",D490="",E490=""),"",IF(OR(L490&lt;'Coverage Rules'!E7,M490&lt;'Coverage Rules'!E8,N490&lt;'Coverage Rules'!C8,O490&lt;'Coverage Rules'!E9,P490&lt;'Coverage Rules'!E10,Q490&gt;='Coverage Rules'!B16,R490&gt;='Coverage Rules'!B17,IF(S490="",FALSE,S490&gt;='Coverage Rules'!D24)),"Denied","OK"))</f>
        <v/>
      </c>
      <c r="L490">
        <f>IF(B490="","",IFERROR(SUMPRODUCT((LEN(Employees!$A$3:$A$500)&gt;0)*(Employees!$T$3:$T$500=1)*(COUNTIFS($B$3:$B$500,Employees!$A$3:$A$500,$H$3:$H$500,"Approved",$D$3:$D$500,"&lt;="&amp;E490,$E$3:$E$500,"&gt;="&amp;D490,$A$3:$A$500,"&lt;&gt;"&amp;A490)=0)),0))</f>
        <v/>
      </c>
      <c r="M490">
        <f>IF(B490="","",IFERROR(SUMPRODUCT((LEN(Employees!$A$3:$A$500)&gt;0)*(Employees!$U$3:$U$500=1)*(COUNTIFS($B$3:$B$500,Employees!$A$3:$A$500,$H$3:$H$500,"Approved",$D$3:$D$500,"&lt;="&amp;E490,$E$3:$E$500,"&gt;="&amp;D490,$A$3:$A$500,"&lt;&gt;"&amp;A490)=0)),0))</f>
        <v/>
      </c>
      <c r="N490">
        <f>IF(B490="","",IFERROR(SUMPRODUCT((LEN(Employees!$A$3:$A$500)&gt;0)*(Employees!$B$3:$B$500="Manager")*(Employees!$U$3:$U$500=1)*(COUNTIFS($B$3:$B$500,Employees!$A$3:$A$500,$H$3:$H$500,"Approved",$D$3:$D$500,"&lt;="&amp;E490,$E$3:$E$500,"&gt;="&amp;D490,$A$3:$A$500,"&lt;&gt;"&amp;A490)=0)),0))</f>
        <v/>
      </c>
      <c r="O490">
        <f>IF(B490="","",IFERROR(SUMPRODUCT((LEN(Employees!$A$3:$A$500)&gt;0)*(Employees!$V$3:$V$500=1)*(COUNTIFS($B$3:$B$500,Employees!$A$3:$A$500,$H$3:$H$500,"Approved",$D$3:$D$500,"&lt;="&amp;E490,$E$3:$E$500,"&gt;="&amp;D490,$A$3:$A$500,"&lt;&gt;"&amp;A490)=0)),0))</f>
        <v/>
      </c>
      <c r="P490">
        <f>IF(B490="","",IFERROR(SUMPRODUCT((LEN(Employees!$A$3:$A$500)&gt;0)*(Employees!$W$3:$W$500=1)*(COUNTIFS($B$3:$B$500,Employees!$A$3:$A$500,$H$3:$H$500,"Approved",$D$3:$D$500,"&lt;="&amp;E490,$E$3:$E$500,"&gt;="&amp;D490,$A$3:$A$500,"&lt;&gt;"&amp;A490)=0)),0))</f>
        <v/>
      </c>
      <c r="Q490">
        <f>IF(B490="","",IFERROR(SUMPRODUCT((LEN(Employees!$A$3:$A$500)&gt;0)*(Employees!$N$3:$N$500=1)*(COUNTIFS($B$3:$B$500,Employees!$A$3:$A$500,$H$3:$H$500,"Approved",$D$3:$D$500,"&lt;="&amp;E490,$E$3:$E$500,"&gt;="&amp;D490,$A$3:$A$500,"&lt;&gt;"&amp;A490)&gt;0)),0))</f>
        <v/>
      </c>
      <c r="R490">
        <f>IF(B490="","",IFERROR(SUMPRODUCT((LEN(Employees!$A$3:$A$500)&gt;0)*(Employees!$O$3:$O$500=1)*(COUNTIFS($B$3:$B$500,Employees!$A$3:$A$500,$H$3:$H$500,"Approved",$D$3:$D$500,"&lt;="&amp;E490,$E$3:$E$500,"&gt;="&amp;D490,$A$3:$A$500,"&lt;&gt;"&amp;A490)&gt;0)),0))</f>
        <v/>
      </c>
      <c r="S490">
        <f>IF(OR(B490="",IFERROR(XLOOKUP(B490,Employees!$A$3:$A$500,Employees!$G$3:$G$500,""),"")=""),"",IFERROR(SUMPRODUCT((LEN(Employees!$A$3:$A$500)&gt;0)*(Employees!$G$3:$G$500=IFERROR(XLOOKUP(B490,Employees!$A$3:$A$500,Employees!$G$3:$G$500,""),""))*(COUNTIFS($B$3:$B$500,Employees!$A$3:$A$500,$H$3:$H$500,"Approved",$D$3:$D$500,"&lt;="&amp;E490,$E$3:$E$500,"&gt;="&amp;D490,$A$3:$A$500,"&lt;&gt;"&amp;A490)&gt;0)),0))</f>
        <v/>
      </c>
    </row>
    <row r="491">
      <c r="C491">
        <f>IFERROR(XLOOKUP(B491,Employees!$A$3:$A$500,Employees!$B$3:$B$500,""),"")</f>
        <v/>
      </c>
      <c r="I491">
        <f>IF(AND(B491&lt;&gt;"",D491&lt;&gt;"",E491&lt;&gt;""),E491-D491+1,"")</f>
        <v/>
      </c>
      <c r="J491">
        <f>IF(OR(B491="",D491="",E491=""),"",IF(OR(L491&lt;'Coverage Rules'!E7,M491&lt;'Coverage Rules'!E8,N491&lt;'Coverage Rules'!C8,O491&lt;'Coverage Rules'!E9,P491&lt;'Coverage Rules'!E10,Q491&gt;='Coverage Rules'!B16,R491&gt;='Coverage Rules'!B17,IF(S491="",FALSE,S491&gt;='Coverage Rules'!D24)),"Denied","OK"))</f>
        <v/>
      </c>
      <c r="L491">
        <f>IF(B491="","",IFERROR(SUMPRODUCT((LEN(Employees!$A$3:$A$500)&gt;0)*(Employees!$T$3:$T$500=1)*(COUNTIFS($B$3:$B$500,Employees!$A$3:$A$500,$H$3:$H$500,"Approved",$D$3:$D$500,"&lt;="&amp;E491,$E$3:$E$500,"&gt;="&amp;D491,$A$3:$A$500,"&lt;&gt;"&amp;A491)=0)),0))</f>
        <v/>
      </c>
      <c r="M491">
        <f>IF(B491="","",IFERROR(SUMPRODUCT((LEN(Employees!$A$3:$A$500)&gt;0)*(Employees!$U$3:$U$500=1)*(COUNTIFS($B$3:$B$500,Employees!$A$3:$A$500,$H$3:$H$500,"Approved",$D$3:$D$500,"&lt;="&amp;E491,$E$3:$E$500,"&gt;="&amp;D491,$A$3:$A$500,"&lt;&gt;"&amp;A491)=0)),0))</f>
        <v/>
      </c>
      <c r="N491">
        <f>IF(B491="","",IFERROR(SUMPRODUCT((LEN(Employees!$A$3:$A$500)&gt;0)*(Employees!$B$3:$B$500="Manager")*(Employees!$U$3:$U$500=1)*(COUNTIFS($B$3:$B$500,Employees!$A$3:$A$500,$H$3:$H$500,"Approved",$D$3:$D$500,"&lt;="&amp;E491,$E$3:$E$500,"&gt;="&amp;D491,$A$3:$A$500,"&lt;&gt;"&amp;A491)=0)),0))</f>
        <v/>
      </c>
      <c r="O491">
        <f>IF(B491="","",IFERROR(SUMPRODUCT((LEN(Employees!$A$3:$A$500)&gt;0)*(Employees!$V$3:$V$500=1)*(COUNTIFS($B$3:$B$500,Employees!$A$3:$A$500,$H$3:$H$500,"Approved",$D$3:$D$500,"&lt;="&amp;E491,$E$3:$E$500,"&gt;="&amp;D491,$A$3:$A$500,"&lt;&gt;"&amp;A491)=0)),0))</f>
        <v/>
      </c>
      <c r="P491">
        <f>IF(B491="","",IFERROR(SUMPRODUCT((LEN(Employees!$A$3:$A$500)&gt;0)*(Employees!$W$3:$W$500=1)*(COUNTIFS($B$3:$B$500,Employees!$A$3:$A$500,$H$3:$H$500,"Approved",$D$3:$D$500,"&lt;="&amp;E491,$E$3:$E$500,"&gt;="&amp;D491,$A$3:$A$500,"&lt;&gt;"&amp;A491)=0)),0))</f>
        <v/>
      </c>
      <c r="Q491">
        <f>IF(B491="","",IFERROR(SUMPRODUCT((LEN(Employees!$A$3:$A$500)&gt;0)*(Employees!$N$3:$N$500=1)*(COUNTIFS($B$3:$B$500,Employees!$A$3:$A$500,$H$3:$H$500,"Approved",$D$3:$D$500,"&lt;="&amp;E491,$E$3:$E$500,"&gt;="&amp;D491,$A$3:$A$500,"&lt;&gt;"&amp;A491)&gt;0)),0))</f>
        <v/>
      </c>
      <c r="R491">
        <f>IF(B491="","",IFERROR(SUMPRODUCT((LEN(Employees!$A$3:$A$500)&gt;0)*(Employees!$O$3:$O$500=1)*(COUNTIFS($B$3:$B$500,Employees!$A$3:$A$500,$H$3:$H$500,"Approved",$D$3:$D$500,"&lt;="&amp;E491,$E$3:$E$500,"&gt;="&amp;D491,$A$3:$A$500,"&lt;&gt;"&amp;A491)&gt;0)),0))</f>
        <v/>
      </c>
      <c r="S491">
        <f>IF(OR(B491="",IFERROR(XLOOKUP(B491,Employees!$A$3:$A$500,Employees!$G$3:$G$500,""),"")=""),"",IFERROR(SUMPRODUCT((LEN(Employees!$A$3:$A$500)&gt;0)*(Employees!$G$3:$G$500=IFERROR(XLOOKUP(B491,Employees!$A$3:$A$500,Employees!$G$3:$G$500,""),""))*(COUNTIFS($B$3:$B$500,Employees!$A$3:$A$500,$H$3:$H$500,"Approved",$D$3:$D$500,"&lt;="&amp;E491,$E$3:$E$500,"&gt;="&amp;D491,$A$3:$A$500,"&lt;&gt;"&amp;A491)&gt;0)),0))</f>
        <v/>
      </c>
    </row>
    <row r="492">
      <c r="C492">
        <f>IFERROR(XLOOKUP(B492,Employees!$A$3:$A$500,Employees!$B$3:$B$500,""),"")</f>
        <v/>
      </c>
      <c r="I492">
        <f>IF(AND(B492&lt;&gt;"",D492&lt;&gt;"",E492&lt;&gt;""),E492-D492+1,"")</f>
        <v/>
      </c>
      <c r="J492">
        <f>IF(OR(B492="",D492="",E492=""),"",IF(OR(L492&lt;'Coverage Rules'!E7,M492&lt;'Coverage Rules'!E8,N492&lt;'Coverage Rules'!C8,O492&lt;'Coverage Rules'!E9,P492&lt;'Coverage Rules'!E10,Q492&gt;='Coverage Rules'!B16,R492&gt;='Coverage Rules'!B17,IF(S492="",FALSE,S492&gt;='Coverage Rules'!D24)),"Denied","OK"))</f>
        <v/>
      </c>
      <c r="L492">
        <f>IF(B492="","",IFERROR(SUMPRODUCT((LEN(Employees!$A$3:$A$500)&gt;0)*(Employees!$T$3:$T$500=1)*(COUNTIFS($B$3:$B$500,Employees!$A$3:$A$500,$H$3:$H$500,"Approved",$D$3:$D$500,"&lt;="&amp;E492,$E$3:$E$500,"&gt;="&amp;D492,$A$3:$A$500,"&lt;&gt;"&amp;A492)=0)),0))</f>
        <v/>
      </c>
      <c r="M492">
        <f>IF(B492="","",IFERROR(SUMPRODUCT((LEN(Employees!$A$3:$A$500)&gt;0)*(Employees!$U$3:$U$500=1)*(COUNTIFS($B$3:$B$500,Employees!$A$3:$A$500,$H$3:$H$500,"Approved",$D$3:$D$500,"&lt;="&amp;E492,$E$3:$E$500,"&gt;="&amp;D492,$A$3:$A$500,"&lt;&gt;"&amp;A492)=0)),0))</f>
        <v/>
      </c>
      <c r="N492">
        <f>IF(B492="","",IFERROR(SUMPRODUCT((LEN(Employees!$A$3:$A$500)&gt;0)*(Employees!$B$3:$B$500="Manager")*(Employees!$U$3:$U$500=1)*(COUNTIFS($B$3:$B$500,Employees!$A$3:$A$500,$H$3:$H$500,"Approved",$D$3:$D$500,"&lt;="&amp;E492,$E$3:$E$500,"&gt;="&amp;D492,$A$3:$A$500,"&lt;&gt;"&amp;A492)=0)),0))</f>
        <v/>
      </c>
      <c r="O492">
        <f>IF(B492="","",IFERROR(SUMPRODUCT((LEN(Employees!$A$3:$A$500)&gt;0)*(Employees!$V$3:$V$500=1)*(COUNTIFS($B$3:$B$500,Employees!$A$3:$A$500,$H$3:$H$500,"Approved",$D$3:$D$500,"&lt;="&amp;E492,$E$3:$E$500,"&gt;="&amp;D492,$A$3:$A$500,"&lt;&gt;"&amp;A492)=0)),0))</f>
        <v/>
      </c>
      <c r="P492">
        <f>IF(B492="","",IFERROR(SUMPRODUCT((LEN(Employees!$A$3:$A$500)&gt;0)*(Employees!$W$3:$W$500=1)*(COUNTIFS($B$3:$B$500,Employees!$A$3:$A$500,$H$3:$H$500,"Approved",$D$3:$D$500,"&lt;="&amp;E492,$E$3:$E$500,"&gt;="&amp;D492,$A$3:$A$500,"&lt;&gt;"&amp;A492)=0)),0))</f>
        <v/>
      </c>
      <c r="Q492">
        <f>IF(B492="","",IFERROR(SUMPRODUCT((LEN(Employees!$A$3:$A$500)&gt;0)*(Employees!$N$3:$N$500=1)*(COUNTIFS($B$3:$B$500,Employees!$A$3:$A$500,$H$3:$H$500,"Approved",$D$3:$D$500,"&lt;="&amp;E492,$E$3:$E$500,"&gt;="&amp;D492,$A$3:$A$500,"&lt;&gt;"&amp;A492)&gt;0)),0))</f>
        <v/>
      </c>
      <c r="R492">
        <f>IF(B492="","",IFERROR(SUMPRODUCT((LEN(Employees!$A$3:$A$500)&gt;0)*(Employees!$O$3:$O$500=1)*(COUNTIFS($B$3:$B$500,Employees!$A$3:$A$500,$H$3:$H$500,"Approved",$D$3:$D$500,"&lt;="&amp;E492,$E$3:$E$500,"&gt;="&amp;D492,$A$3:$A$500,"&lt;&gt;"&amp;A492)&gt;0)),0))</f>
        <v/>
      </c>
      <c r="S492">
        <f>IF(OR(B492="",IFERROR(XLOOKUP(B492,Employees!$A$3:$A$500,Employees!$G$3:$G$500,""),"")=""),"",IFERROR(SUMPRODUCT((LEN(Employees!$A$3:$A$500)&gt;0)*(Employees!$G$3:$G$500=IFERROR(XLOOKUP(B492,Employees!$A$3:$A$500,Employees!$G$3:$G$500,""),""))*(COUNTIFS($B$3:$B$500,Employees!$A$3:$A$500,$H$3:$H$500,"Approved",$D$3:$D$500,"&lt;="&amp;E492,$E$3:$E$500,"&gt;="&amp;D492,$A$3:$A$500,"&lt;&gt;"&amp;A492)&gt;0)),0))</f>
        <v/>
      </c>
    </row>
    <row r="493">
      <c r="C493">
        <f>IFERROR(XLOOKUP(B493,Employees!$A$3:$A$500,Employees!$B$3:$B$500,""),"")</f>
        <v/>
      </c>
      <c r="I493">
        <f>IF(AND(B493&lt;&gt;"",D493&lt;&gt;"",E493&lt;&gt;""),E493-D493+1,"")</f>
        <v/>
      </c>
      <c r="J493">
        <f>IF(OR(B493="",D493="",E493=""),"",IF(OR(L493&lt;'Coverage Rules'!E7,M493&lt;'Coverage Rules'!E8,N493&lt;'Coverage Rules'!C8,O493&lt;'Coverage Rules'!E9,P493&lt;'Coverage Rules'!E10,Q493&gt;='Coverage Rules'!B16,R493&gt;='Coverage Rules'!B17,IF(S493="",FALSE,S493&gt;='Coverage Rules'!D24)),"Denied","OK"))</f>
        <v/>
      </c>
      <c r="L493">
        <f>IF(B493="","",IFERROR(SUMPRODUCT((LEN(Employees!$A$3:$A$500)&gt;0)*(Employees!$T$3:$T$500=1)*(COUNTIFS($B$3:$B$500,Employees!$A$3:$A$500,$H$3:$H$500,"Approved",$D$3:$D$500,"&lt;="&amp;E493,$E$3:$E$500,"&gt;="&amp;D493,$A$3:$A$500,"&lt;&gt;"&amp;A493)=0)),0))</f>
        <v/>
      </c>
      <c r="M493">
        <f>IF(B493="","",IFERROR(SUMPRODUCT((LEN(Employees!$A$3:$A$500)&gt;0)*(Employees!$U$3:$U$500=1)*(COUNTIFS($B$3:$B$500,Employees!$A$3:$A$500,$H$3:$H$500,"Approved",$D$3:$D$500,"&lt;="&amp;E493,$E$3:$E$500,"&gt;="&amp;D493,$A$3:$A$500,"&lt;&gt;"&amp;A493)=0)),0))</f>
        <v/>
      </c>
      <c r="N493">
        <f>IF(B493="","",IFERROR(SUMPRODUCT((LEN(Employees!$A$3:$A$500)&gt;0)*(Employees!$B$3:$B$500="Manager")*(Employees!$U$3:$U$500=1)*(COUNTIFS($B$3:$B$500,Employees!$A$3:$A$500,$H$3:$H$500,"Approved",$D$3:$D$500,"&lt;="&amp;E493,$E$3:$E$500,"&gt;="&amp;D493,$A$3:$A$500,"&lt;&gt;"&amp;A493)=0)),0))</f>
        <v/>
      </c>
      <c r="O493">
        <f>IF(B493="","",IFERROR(SUMPRODUCT((LEN(Employees!$A$3:$A$500)&gt;0)*(Employees!$V$3:$V$500=1)*(COUNTIFS($B$3:$B$500,Employees!$A$3:$A$500,$H$3:$H$500,"Approved",$D$3:$D$500,"&lt;="&amp;E493,$E$3:$E$500,"&gt;="&amp;D493,$A$3:$A$500,"&lt;&gt;"&amp;A493)=0)),0))</f>
        <v/>
      </c>
      <c r="P493">
        <f>IF(B493="","",IFERROR(SUMPRODUCT((LEN(Employees!$A$3:$A$500)&gt;0)*(Employees!$W$3:$W$500=1)*(COUNTIFS($B$3:$B$500,Employees!$A$3:$A$500,$H$3:$H$500,"Approved",$D$3:$D$500,"&lt;="&amp;E493,$E$3:$E$500,"&gt;="&amp;D493,$A$3:$A$500,"&lt;&gt;"&amp;A493)=0)),0))</f>
        <v/>
      </c>
      <c r="Q493">
        <f>IF(B493="","",IFERROR(SUMPRODUCT((LEN(Employees!$A$3:$A$500)&gt;0)*(Employees!$N$3:$N$500=1)*(COUNTIFS($B$3:$B$500,Employees!$A$3:$A$500,$H$3:$H$500,"Approved",$D$3:$D$500,"&lt;="&amp;E493,$E$3:$E$500,"&gt;="&amp;D493,$A$3:$A$500,"&lt;&gt;"&amp;A493)&gt;0)),0))</f>
        <v/>
      </c>
      <c r="R493">
        <f>IF(B493="","",IFERROR(SUMPRODUCT((LEN(Employees!$A$3:$A$500)&gt;0)*(Employees!$O$3:$O$500=1)*(COUNTIFS($B$3:$B$500,Employees!$A$3:$A$500,$H$3:$H$500,"Approved",$D$3:$D$500,"&lt;="&amp;E493,$E$3:$E$500,"&gt;="&amp;D493,$A$3:$A$500,"&lt;&gt;"&amp;A493)&gt;0)),0))</f>
        <v/>
      </c>
      <c r="S493">
        <f>IF(OR(B493="",IFERROR(XLOOKUP(B493,Employees!$A$3:$A$500,Employees!$G$3:$G$500,""),"")=""),"",IFERROR(SUMPRODUCT((LEN(Employees!$A$3:$A$500)&gt;0)*(Employees!$G$3:$G$500=IFERROR(XLOOKUP(B493,Employees!$A$3:$A$500,Employees!$G$3:$G$500,""),""))*(COUNTIFS($B$3:$B$500,Employees!$A$3:$A$500,$H$3:$H$500,"Approved",$D$3:$D$500,"&lt;="&amp;E493,$E$3:$E$500,"&gt;="&amp;D493,$A$3:$A$500,"&lt;&gt;"&amp;A493)&gt;0)),0))</f>
        <v/>
      </c>
    </row>
    <row r="494">
      <c r="C494">
        <f>IFERROR(XLOOKUP(B494,Employees!$A$3:$A$500,Employees!$B$3:$B$500,""),"")</f>
        <v/>
      </c>
      <c r="I494">
        <f>IF(AND(B494&lt;&gt;"",D494&lt;&gt;"",E494&lt;&gt;""),E494-D494+1,"")</f>
        <v/>
      </c>
      <c r="J494">
        <f>IF(OR(B494="",D494="",E494=""),"",IF(OR(L494&lt;'Coverage Rules'!E7,M494&lt;'Coverage Rules'!E8,N494&lt;'Coverage Rules'!C8,O494&lt;'Coverage Rules'!E9,P494&lt;'Coverage Rules'!E10,Q494&gt;='Coverage Rules'!B16,R494&gt;='Coverage Rules'!B17,IF(S494="",FALSE,S494&gt;='Coverage Rules'!D24)),"Denied","OK"))</f>
        <v/>
      </c>
      <c r="L494">
        <f>IF(B494="","",IFERROR(SUMPRODUCT((LEN(Employees!$A$3:$A$500)&gt;0)*(Employees!$T$3:$T$500=1)*(COUNTIFS($B$3:$B$500,Employees!$A$3:$A$500,$H$3:$H$500,"Approved",$D$3:$D$500,"&lt;="&amp;E494,$E$3:$E$500,"&gt;="&amp;D494,$A$3:$A$500,"&lt;&gt;"&amp;A494)=0)),0))</f>
        <v/>
      </c>
      <c r="M494">
        <f>IF(B494="","",IFERROR(SUMPRODUCT((LEN(Employees!$A$3:$A$500)&gt;0)*(Employees!$U$3:$U$500=1)*(COUNTIFS($B$3:$B$500,Employees!$A$3:$A$500,$H$3:$H$500,"Approved",$D$3:$D$500,"&lt;="&amp;E494,$E$3:$E$500,"&gt;="&amp;D494,$A$3:$A$500,"&lt;&gt;"&amp;A494)=0)),0))</f>
        <v/>
      </c>
      <c r="N494">
        <f>IF(B494="","",IFERROR(SUMPRODUCT((LEN(Employees!$A$3:$A$500)&gt;0)*(Employees!$B$3:$B$500="Manager")*(Employees!$U$3:$U$500=1)*(COUNTIFS($B$3:$B$500,Employees!$A$3:$A$500,$H$3:$H$500,"Approved",$D$3:$D$500,"&lt;="&amp;E494,$E$3:$E$500,"&gt;="&amp;D494,$A$3:$A$500,"&lt;&gt;"&amp;A494)=0)),0))</f>
        <v/>
      </c>
      <c r="O494">
        <f>IF(B494="","",IFERROR(SUMPRODUCT((LEN(Employees!$A$3:$A$500)&gt;0)*(Employees!$V$3:$V$500=1)*(COUNTIFS($B$3:$B$500,Employees!$A$3:$A$500,$H$3:$H$500,"Approved",$D$3:$D$500,"&lt;="&amp;E494,$E$3:$E$500,"&gt;="&amp;D494,$A$3:$A$500,"&lt;&gt;"&amp;A494)=0)),0))</f>
        <v/>
      </c>
      <c r="P494">
        <f>IF(B494="","",IFERROR(SUMPRODUCT((LEN(Employees!$A$3:$A$500)&gt;0)*(Employees!$W$3:$W$500=1)*(COUNTIFS($B$3:$B$500,Employees!$A$3:$A$500,$H$3:$H$500,"Approved",$D$3:$D$500,"&lt;="&amp;E494,$E$3:$E$500,"&gt;="&amp;D494,$A$3:$A$500,"&lt;&gt;"&amp;A494)=0)),0))</f>
        <v/>
      </c>
      <c r="Q494">
        <f>IF(B494="","",IFERROR(SUMPRODUCT((LEN(Employees!$A$3:$A$500)&gt;0)*(Employees!$N$3:$N$500=1)*(COUNTIFS($B$3:$B$500,Employees!$A$3:$A$500,$H$3:$H$500,"Approved",$D$3:$D$500,"&lt;="&amp;E494,$E$3:$E$500,"&gt;="&amp;D494,$A$3:$A$500,"&lt;&gt;"&amp;A494)&gt;0)),0))</f>
        <v/>
      </c>
      <c r="R494">
        <f>IF(B494="","",IFERROR(SUMPRODUCT((LEN(Employees!$A$3:$A$500)&gt;0)*(Employees!$O$3:$O$500=1)*(COUNTIFS($B$3:$B$500,Employees!$A$3:$A$500,$H$3:$H$500,"Approved",$D$3:$D$500,"&lt;="&amp;E494,$E$3:$E$500,"&gt;="&amp;D494,$A$3:$A$500,"&lt;&gt;"&amp;A494)&gt;0)),0))</f>
        <v/>
      </c>
      <c r="S494">
        <f>IF(OR(B494="",IFERROR(XLOOKUP(B494,Employees!$A$3:$A$500,Employees!$G$3:$G$500,""),"")=""),"",IFERROR(SUMPRODUCT((LEN(Employees!$A$3:$A$500)&gt;0)*(Employees!$G$3:$G$500=IFERROR(XLOOKUP(B494,Employees!$A$3:$A$500,Employees!$G$3:$G$500,""),""))*(COUNTIFS($B$3:$B$500,Employees!$A$3:$A$500,$H$3:$H$500,"Approved",$D$3:$D$500,"&lt;="&amp;E494,$E$3:$E$500,"&gt;="&amp;D494,$A$3:$A$500,"&lt;&gt;"&amp;A494)&gt;0)),0))</f>
        <v/>
      </c>
    </row>
    <row r="495">
      <c r="C495">
        <f>IFERROR(XLOOKUP(B495,Employees!$A$3:$A$500,Employees!$B$3:$B$500,""),"")</f>
        <v/>
      </c>
      <c r="I495">
        <f>IF(AND(B495&lt;&gt;"",D495&lt;&gt;"",E495&lt;&gt;""),E495-D495+1,"")</f>
        <v/>
      </c>
      <c r="J495">
        <f>IF(OR(B495="",D495="",E495=""),"",IF(OR(L495&lt;'Coverage Rules'!E7,M495&lt;'Coverage Rules'!E8,N495&lt;'Coverage Rules'!C8,O495&lt;'Coverage Rules'!E9,P495&lt;'Coverage Rules'!E10,Q495&gt;='Coverage Rules'!B16,R495&gt;='Coverage Rules'!B17,IF(S495="",FALSE,S495&gt;='Coverage Rules'!D24)),"Denied","OK"))</f>
        <v/>
      </c>
      <c r="L495">
        <f>IF(B495="","",IFERROR(SUMPRODUCT((LEN(Employees!$A$3:$A$500)&gt;0)*(Employees!$T$3:$T$500=1)*(COUNTIFS($B$3:$B$500,Employees!$A$3:$A$500,$H$3:$H$500,"Approved",$D$3:$D$500,"&lt;="&amp;E495,$E$3:$E$500,"&gt;="&amp;D495,$A$3:$A$500,"&lt;&gt;"&amp;A495)=0)),0))</f>
        <v/>
      </c>
      <c r="M495">
        <f>IF(B495="","",IFERROR(SUMPRODUCT((LEN(Employees!$A$3:$A$500)&gt;0)*(Employees!$U$3:$U$500=1)*(COUNTIFS($B$3:$B$500,Employees!$A$3:$A$500,$H$3:$H$500,"Approved",$D$3:$D$500,"&lt;="&amp;E495,$E$3:$E$500,"&gt;="&amp;D495,$A$3:$A$500,"&lt;&gt;"&amp;A495)=0)),0))</f>
        <v/>
      </c>
      <c r="N495">
        <f>IF(B495="","",IFERROR(SUMPRODUCT((LEN(Employees!$A$3:$A$500)&gt;0)*(Employees!$B$3:$B$500="Manager")*(Employees!$U$3:$U$500=1)*(COUNTIFS($B$3:$B$500,Employees!$A$3:$A$500,$H$3:$H$500,"Approved",$D$3:$D$500,"&lt;="&amp;E495,$E$3:$E$500,"&gt;="&amp;D495,$A$3:$A$500,"&lt;&gt;"&amp;A495)=0)),0))</f>
        <v/>
      </c>
      <c r="O495">
        <f>IF(B495="","",IFERROR(SUMPRODUCT((LEN(Employees!$A$3:$A$500)&gt;0)*(Employees!$V$3:$V$500=1)*(COUNTIFS($B$3:$B$500,Employees!$A$3:$A$500,$H$3:$H$500,"Approved",$D$3:$D$500,"&lt;="&amp;E495,$E$3:$E$500,"&gt;="&amp;D495,$A$3:$A$500,"&lt;&gt;"&amp;A495)=0)),0))</f>
        <v/>
      </c>
      <c r="P495">
        <f>IF(B495="","",IFERROR(SUMPRODUCT((LEN(Employees!$A$3:$A$500)&gt;0)*(Employees!$W$3:$W$500=1)*(COUNTIFS($B$3:$B$500,Employees!$A$3:$A$500,$H$3:$H$500,"Approved",$D$3:$D$500,"&lt;="&amp;E495,$E$3:$E$500,"&gt;="&amp;D495,$A$3:$A$500,"&lt;&gt;"&amp;A495)=0)),0))</f>
        <v/>
      </c>
      <c r="Q495">
        <f>IF(B495="","",IFERROR(SUMPRODUCT((LEN(Employees!$A$3:$A$500)&gt;0)*(Employees!$N$3:$N$500=1)*(COUNTIFS($B$3:$B$500,Employees!$A$3:$A$500,$H$3:$H$500,"Approved",$D$3:$D$500,"&lt;="&amp;E495,$E$3:$E$500,"&gt;="&amp;D495,$A$3:$A$500,"&lt;&gt;"&amp;A495)&gt;0)),0))</f>
        <v/>
      </c>
      <c r="R495">
        <f>IF(B495="","",IFERROR(SUMPRODUCT((LEN(Employees!$A$3:$A$500)&gt;0)*(Employees!$O$3:$O$500=1)*(COUNTIFS($B$3:$B$500,Employees!$A$3:$A$500,$H$3:$H$500,"Approved",$D$3:$D$500,"&lt;="&amp;E495,$E$3:$E$500,"&gt;="&amp;D495,$A$3:$A$500,"&lt;&gt;"&amp;A495)&gt;0)),0))</f>
        <v/>
      </c>
      <c r="S495">
        <f>IF(OR(B495="",IFERROR(XLOOKUP(B495,Employees!$A$3:$A$500,Employees!$G$3:$G$500,""),"")=""),"",IFERROR(SUMPRODUCT((LEN(Employees!$A$3:$A$500)&gt;0)*(Employees!$G$3:$G$500=IFERROR(XLOOKUP(B495,Employees!$A$3:$A$500,Employees!$G$3:$G$500,""),""))*(COUNTIFS($B$3:$B$500,Employees!$A$3:$A$500,$H$3:$H$500,"Approved",$D$3:$D$500,"&lt;="&amp;E495,$E$3:$E$500,"&gt;="&amp;D495,$A$3:$A$500,"&lt;&gt;"&amp;A495)&gt;0)),0))</f>
        <v/>
      </c>
    </row>
    <row r="496">
      <c r="C496">
        <f>IFERROR(XLOOKUP(B496,Employees!$A$3:$A$500,Employees!$B$3:$B$500,""),"")</f>
        <v/>
      </c>
      <c r="I496">
        <f>IF(AND(B496&lt;&gt;"",D496&lt;&gt;"",E496&lt;&gt;""),E496-D496+1,"")</f>
        <v/>
      </c>
      <c r="J496">
        <f>IF(OR(B496="",D496="",E496=""),"",IF(OR(L496&lt;'Coverage Rules'!E7,M496&lt;'Coverage Rules'!E8,N496&lt;'Coverage Rules'!C8,O496&lt;'Coverage Rules'!E9,P496&lt;'Coverage Rules'!E10,Q496&gt;='Coverage Rules'!B16,R496&gt;='Coverage Rules'!B17,IF(S496="",FALSE,S496&gt;='Coverage Rules'!D24)),"Denied","OK"))</f>
        <v/>
      </c>
      <c r="L496">
        <f>IF(B496="","",IFERROR(SUMPRODUCT((LEN(Employees!$A$3:$A$500)&gt;0)*(Employees!$T$3:$T$500=1)*(COUNTIFS($B$3:$B$500,Employees!$A$3:$A$500,$H$3:$H$500,"Approved",$D$3:$D$500,"&lt;="&amp;E496,$E$3:$E$500,"&gt;="&amp;D496,$A$3:$A$500,"&lt;&gt;"&amp;A496)=0)),0))</f>
        <v/>
      </c>
      <c r="M496">
        <f>IF(B496="","",IFERROR(SUMPRODUCT((LEN(Employees!$A$3:$A$500)&gt;0)*(Employees!$U$3:$U$500=1)*(COUNTIFS($B$3:$B$500,Employees!$A$3:$A$500,$H$3:$H$500,"Approved",$D$3:$D$500,"&lt;="&amp;E496,$E$3:$E$500,"&gt;="&amp;D496,$A$3:$A$500,"&lt;&gt;"&amp;A496)=0)),0))</f>
        <v/>
      </c>
      <c r="N496">
        <f>IF(B496="","",IFERROR(SUMPRODUCT((LEN(Employees!$A$3:$A$500)&gt;0)*(Employees!$B$3:$B$500="Manager")*(Employees!$U$3:$U$500=1)*(COUNTIFS($B$3:$B$500,Employees!$A$3:$A$500,$H$3:$H$500,"Approved",$D$3:$D$500,"&lt;="&amp;E496,$E$3:$E$500,"&gt;="&amp;D496,$A$3:$A$500,"&lt;&gt;"&amp;A496)=0)),0))</f>
        <v/>
      </c>
      <c r="O496">
        <f>IF(B496="","",IFERROR(SUMPRODUCT((LEN(Employees!$A$3:$A$500)&gt;0)*(Employees!$V$3:$V$500=1)*(COUNTIFS($B$3:$B$500,Employees!$A$3:$A$500,$H$3:$H$500,"Approved",$D$3:$D$500,"&lt;="&amp;E496,$E$3:$E$500,"&gt;="&amp;D496,$A$3:$A$500,"&lt;&gt;"&amp;A496)=0)),0))</f>
        <v/>
      </c>
      <c r="P496">
        <f>IF(B496="","",IFERROR(SUMPRODUCT((LEN(Employees!$A$3:$A$500)&gt;0)*(Employees!$W$3:$W$500=1)*(COUNTIFS($B$3:$B$500,Employees!$A$3:$A$500,$H$3:$H$500,"Approved",$D$3:$D$500,"&lt;="&amp;E496,$E$3:$E$500,"&gt;="&amp;D496,$A$3:$A$500,"&lt;&gt;"&amp;A496)=0)),0))</f>
        <v/>
      </c>
      <c r="Q496">
        <f>IF(B496="","",IFERROR(SUMPRODUCT((LEN(Employees!$A$3:$A$500)&gt;0)*(Employees!$N$3:$N$500=1)*(COUNTIFS($B$3:$B$500,Employees!$A$3:$A$500,$H$3:$H$500,"Approved",$D$3:$D$500,"&lt;="&amp;E496,$E$3:$E$500,"&gt;="&amp;D496,$A$3:$A$500,"&lt;&gt;"&amp;A496)&gt;0)),0))</f>
        <v/>
      </c>
      <c r="R496">
        <f>IF(B496="","",IFERROR(SUMPRODUCT((LEN(Employees!$A$3:$A$500)&gt;0)*(Employees!$O$3:$O$500=1)*(COUNTIFS($B$3:$B$500,Employees!$A$3:$A$500,$H$3:$H$500,"Approved",$D$3:$D$500,"&lt;="&amp;E496,$E$3:$E$500,"&gt;="&amp;D496,$A$3:$A$500,"&lt;&gt;"&amp;A496)&gt;0)),0))</f>
        <v/>
      </c>
      <c r="S496">
        <f>IF(OR(B496="",IFERROR(XLOOKUP(B496,Employees!$A$3:$A$500,Employees!$G$3:$G$500,""),"")=""),"",IFERROR(SUMPRODUCT((LEN(Employees!$A$3:$A$500)&gt;0)*(Employees!$G$3:$G$500=IFERROR(XLOOKUP(B496,Employees!$A$3:$A$500,Employees!$G$3:$G$500,""),""))*(COUNTIFS($B$3:$B$500,Employees!$A$3:$A$500,$H$3:$H$500,"Approved",$D$3:$D$500,"&lt;="&amp;E496,$E$3:$E$500,"&gt;="&amp;D496,$A$3:$A$500,"&lt;&gt;"&amp;A496)&gt;0)),0))</f>
        <v/>
      </c>
    </row>
    <row r="497">
      <c r="C497">
        <f>IFERROR(XLOOKUP(B497,Employees!$A$3:$A$500,Employees!$B$3:$B$500,""),"")</f>
        <v/>
      </c>
      <c r="I497">
        <f>IF(AND(B497&lt;&gt;"",D497&lt;&gt;"",E497&lt;&gt;""),E497-D497+1,"")</f>
        <v/>
      </c>
      <c r="J497">
        <f>IF(OR(B497="",D497="",E497=""),"",IF(OR(L497&lt;'Coverage Rules'!E7,M497&lt;'Coverage Rules'!E8,N497&lt;'Coverage Rules'!C8,O497&lt;'Coverage Rules'!E9,P497&lt;'Coverage Rules'!E10,Q497&gt;='Coverage Rules'!B16,R497&gt;='Coverage Rules'!B17,IF(S497="",FALSE,S497&gt;='Coverage Rules'!D24)),"Denied","OK"))</f>
        <v/>
      </c>
      <c r="L497">
        <f>IF(B497="","",IFERROR(SUMPRODUCT((LEN(Employees!$A$3:$A$500)&gt;0)*(Employees!$T$3:$T$500=1)*(COUNTIFS($B$3:$B$500,Employees!$A$3:$A$500,$H$3:$H$500,"Approved",$D$3:$D$500,"&lt;="&amp;E497,$E$3:$E$500,"&gt;="&amp;D497,$A$3:$A$500,"&lt;&gt;"&amp;A497)=0)),0))</f>
        <v/>
      </c>
      <c r="M497">
        <f>IF(B497="","",IFERROR(SUMPRODUCT((LEN(Employees!$A$3:$A$500)&gt;0)*(Employees!$U$3:$U$500=1)*(COUNTIFS($B$3:$B$500,Employees!$A$3:$A$500,$H$3:$H$500,"Approved",$D$3:$D$500,"&lt;="&amp;E497,$E$3:$E$500,"&gt;="&amp;D497,$A$3:$A$500,"&lt;&gt;"&amp;A497)=0)),0))</f>
        <v/>
      </c>
      <c r="N497">
        <f>IF(B497="","",IFERROR(SUMPRODUCT((LEN(Employees!$A$3:$A$500)&gt;0)*(Employees!$B$3:$B$500="Manager")*(Employees!$U$3:$U$500=1)*(COUNTIFS($B$3:$B$500,Employees!$A$3:$A$500,$H$3:$H$500,"Approved",$D$3:$D$500,"&lt;="&amp;E497,$E$3:$E$500,"&gt;="&amp;D497,$A$3:$A$500,"&lt;&gt;"&amp;A497)=0)),0))</f>
        <v/>
      </c>
      <c r="O497">
        <f>IF(B497="","",IFERROR(SUMPRODUCT((LEN(Employees!$A$3:$A$500)&gt;0)*(Employees!$V$3:$V$500=1)*(COUNTIFS($B$3:$B$500,Employees!$A$3:$A$500,$H$3:$H$500,"Approved",$D$3:$D$500,"&lt;="&amp;E497,$E$3:$E$500,"&gt;="&amp;D497,$A$3:$A$500,"&lt;&gt;"&amp;A497)=0)),0))</f>
        <v/>
      </c>
      <c r="P497">
        <f>IF(B497="","",IFERROR(SUMPRODUCT((LEN(Employees!$A$3:$A$500)&gt;0)*(Employees!$W$3:$W$500=1)*(COUNTIFS($B$3:$B$500,Employees!$A$3:$A$500,$H$3:$H$500,"Approved",$D$3:$D$500,"&lt;="&amp;E497,$E$3:$E$500,"&gt;="&amp;D497,$A$3:$A$500,"&lt;&gt;"&amp;A497)=0)),0))</f>
        <v/>
      </c>
      <c r="Q497">
        <f>IF(B497="","",IFERROR(SUMPRODUCT((LEN(Employees!$A$3:$A$500)&gt;0)*(Employees!$N$3:$N$500=1)*(COUNTIFS($B$3:$B$500,Employees!$A$3:$A$500,$H$3:$H$500,"Approved",$D$3:$D$500,"&lt;="&amp;E497,$E$3:$E$500,"&gt;="&amp;D497,$A$3:$A$500,"&lt;&gt;"&amp;A497)&gt;0)),0))</f>
        <v/>
      </c>
      <c r="R497">
        <f>IF(B497="","",IFERROR(SUMPRODUCT((LEN(Employees!$A$3:$A$500)&gt;0)*(Employees!$O$3:$O$500=1)*(COUNTIFS($B$3:$B$500,Employees!$A$3:$A$500,$H$3:$H$500,"Approved",$D$3:$D$500,"&lt;="&amp;E497,$E$3:$E$500,"&gt;="&amp;D497,$A$3:$A$500,"&lt;&gt;"&amp;A497)&gt;0)),0))</f>
        <v/>
      </c>
      <c r="S497">
        <f>IF(OR(B497="",IFERROR(XLOOKUP(B497,Employees!$A$3:$A$500,Employees!$G$3:$G$500,""),"")=""),"",IFERROR(SUMPRODUCT((LEN(Employees!$A$3:$A$500)&gt;0)*(Employees!$G$3:$G$500=IFERROR(XLOOKUP(B497,Employees!$A$3:$A$500,Employees!$G$3:$G$500,""),""))*(COUNTIFS($B$3:$B$500,Employees!$A$3:$A$500,$H$3:$H$500,"Approved",$D$3:$D$500,"&lt;="&amp;E497,$E$3:$E$500,"&gt;="&amp;D497,$A$3:$A$500,"&lt;&gt;"&amp;A497)&gt;0)),0))</f>
        <v/>
      </c>
    </row>
    <row r="498">
      <c r="C498">
        <f>IFERROR(XLOOKUP(B498,Employees!$A$3:$A$500,Employees!$B$3:$B$500,""),"")</f>
        <v/>
      </c>
      <c r="I498">
        <f>IF(AND(B498&lt;&gt;"",D498&lt;&gt;"",E498&lt;&gt;""),E498-D498+1,"")</f>
        <v/>
      </c>
      <c r="J498">
        <f>IF(OR(B498="",D498="",E498=""),"",IF(OR(L498&lt;'Coverage Rules'!E7,M498&lt;'Coverage Rules'!E8,N498&lt;'Coverage Rules'!C8,O498&lt;'Coverage Rules'!E9,P498&lt;'Coverage Rules'!E10,Q498&gt;='Coverage Rules'!B16,R498&gt;='Coverage Rules'!B17,IF(S498="",FALSE,S498&gt;='Coverage Rules'!D24)),"Denied","OK"))</f>
        <v/>
      </c>
      <c r="L498">
        <f>IF(B498="","",IFERROR(SUMPRODUCT((LEN(Employees!$A$3:$A$500)&gt;0)*(Employees!$T$3:$T$500=1)*(COUNTIFS($B$3:$B$500,Employees!$A$3:$A$500,$H$3:$H$500,"Approved",$D$3:$D$500,"&lt;="&amp;E498,$E$3:$E$500,"&gt;="&amp;D498,$A$3:$A$500,"&lt;&gt;"&amp;A498)=0)),0))</f>
        <v/>
      </c>
      <c r="M498">
        <f>IF(B498="","",IFERROR(SUMPRODUCT((LEN(Employees!$A$3:$A$500)&gt;0)*(Employees!$U$3:$U$500=1)*(COUNTIFS($B$3:$B$500,Employees!$A$3:$A$500,$H$3:$H$500,"Approved",$D$3:$D$500,"&lt;="&amp;E498,$E$3:$E$500,"&gt;="&amp;D498,$A$3:$A$500,"&lt;&gt;"&amp;A498)=0)),0))</f>
        <v/>
      </c>
      <c r="N498">
        <f>IF(B498="","",IFERROR(SUMPRODUCT((LEN(Employees!$A$3:$A$500)&gt;0)*(Employees!$B$3:$B$500="Manager")*(Employees!$U$3:$U$500=1)*(COUNTIFS($B$3:$B$500,Employees!$A$3:$A$500,$H$3:$H$500,"Approved",$D$3:$D$500,"&lt;="&amp;E498,$E$3:$E$500,"&gt;="&amp;D498,$A$3:$A$500,"&lt;&gt;"&amp;A498)=0)),0))</f>
        <v/>
      </c>
      <c r="O498">
        <f>IF(B498="","",IFERROR(SUMPRODUCT((LEN(Employees!$A$3:$A$500)&gt;0)*(Employees!$V$3:$V$500=1)*(COUNTIFS($B$3:$B$500,Employees!$A$3:$A$500,$H$3:$H$500,"Approved",$D$3:$D$500,"&lt;="&amp;E498,$E$3:$E$500,"&gt;="&amp;D498,$A$3:$A$500,"&lt;&gt;"&amp;A498)=0)),0))</f>
        <v/>
      </c>
      <c r="P498">
        <f>IF(B498="","",IFERROR(SUMPRODUCT((LEN(Employees!$A$3:$A$500)&gt;0)*(Employees!$W$3:$W$500=1)*(COUNTIFS($B$3:$B$500,Employees!$A$3:$A$500,$H$3:$H$500,"Approved",$D$3:$D$500,"&lt;="&amp;E498,$E$3:$E$500,"&gt;="&amp;D498,$A$3:$A$500,"&lt;&gt;"&amp;A498)=0)),0))</f>
        <v/>
      </c>
      <c r="Q498">
        <f>IF(B498="","",IFERROR(SUMPRODUCT((LEN(Employees!$A$3:$A$500)&gt;0)*(Employees!$N$3:$N$500=1)*(COUNTIFS($B$3:$B$500,Employees!$A$3:$A$500,$H$3:$H$500,"Approved",$D$3:$D$500,"&lt;="&amp;E498,$E$3:$E$500,"&gt;="&amp;D498,$A$3:$A$500,"&lt;&gt;"&amp;A498)&gt;0)),0))</f>
        <v/>
      </c>
      <c r="R498">
        <f>IF(B498="","",IFERROR(SUMPRODUCT((LEN(Employees!$A$3:$A$500)&gt;0)*(Employees!$O$3:$O$500=1)*(COUNTIFS($B$3:$B$500,Employees!$A$3:$A$500,$H$3:$H$500,"Approved",$D$3:$D$500,"&lt;="&amp;E498,$E$3:$E$500,"&gt;="&amp;D498,$A$3:$A$500,"&lt;&gt;"&amp;A498)&gt;0)),0))</f>
        <v/>
      </c>
      <c r="S498">
        <f>IF(OR(B498="",IFERROR(XLOOKUP(B498,Employees!$A$3:$A$500,Employees!$G$3:$G$500,""),"")=""),"",IFERROR(SUMPRODUCT((LEN(Employees!$A$3:$A$500)&gt;0)*(Employees!$G$3:$G$500=IFERROR(XLOOKUP(B498,Employees!$A$3:$A$500,Employees!$G$3:$G$500,""),""))*(COUNTIFS($B$3:$B$500,Employees!$A$3:$A$500,$H$3:$H$500,"Approved",$D$3:$D$500,"&lt;="&amp;E498,$E$3:$E$500,"&gt;="&amp;D498,$A$3:$A$500,"&lt;&gt;"&amp;A498)&gt;0)),0))</f>
        <v/>
      </c>
    </row>
    <row r="499">
      <c r="C499">
        <f>IFERROR(XLOOKUP(B499,Employees!$A$3:$A$500,Employees!$B$3:$B$500,""),"")</f>
        <v/>
      </c>
      <c r="I499">
        <f>IF(AND(B499&lt;&gt;"",D499&lt;&gt;"",E499&lt;&gt;""),E499-D499+1,"")</f>
        <v/>
      </c>
      <c r="J499">
        <f>IF(OR(B499="",D499="",E499=""),"",IF(OR(L499&lt;'Coverage Rules'!E7,M499&lt;'Coverage Rules'!E8,N499&lt;'Coverage Rules'!C8,O499&lt;'Coverage Rules'!E9,P499&lt;'Coverage Rules'!E10,Q499&gt;='Coverage Rules'!B16,R499&gt;='Coverage Rules'!B17,IF(S499="",FALSE,S499&gt;='Coverage Rules'!D24)),"Denied","OK"))</f>
        <v/>
      </c>
      <c r="L499">
        <f>IF(B499="","",IFERROR(SUMPRODUCT((LEN(Employees!$A$3:$A$500)&gt;0)*(Employees!$T$3:$T$500=1)*(COUNTIFS($B$3:$B$500,Employees!$A$3:$A$500,$H$3:$H$500,"Approved",$D$3:$D$500,"&lt;="&amp;E499,$E$3:$E$500,"&gt;="&amp;D499,$A$3:$A$500,"&lt;&gt;"&amp;A499)=0)),0))</f>
        <v/>
      </c>
      <c r="M499">
        <f>IF(B499="","",IFERROR(SUMPRODUCT((LEN(Employees!$A$3:$A$500)&gt;0)*(Employees!$U$3:$U$500=1)*(COUNTIFS($B$3:$B$500,Employees!$A$3:$A$500,$H$3:$H$500,"Approved",$D$3:$D$500,"&lt;="&amp;E499,$E$3:$E$500,"&gt;="&amp;D499,$A$3:$A$500,"&lt;&gt;"&amp;A499)=0)),0))</f>
        <v/>
      </c>
      <c r="N499">
        <f>IF(B499="","",IFERROR(SUMPRODUCT((LEN(Employees!$A$3:$A$500)&gt;0)*(Employees!$B$3:$B$500="Manager")*(Employees!$U$3:$U$500=1)*(COUNTIFS($B$3:$B$500,Employees!$A$3:$A$500,$H$3:$H$500,"Approved",$D$3:$D$500,"&lt;="&amp;E499,$E$3:$E$500,"&gt;="&amp;D499,$A$3:$A$500,"&lt;&gt;"&amp;A499)=0)),0))</f>
        <v/>
      </c>
      <c r="O499">
        <f>IF(B499="","",IFERROR(SUMPRODUCT((LEN(Employees!$A$3:$A$500)&gt;0)*(Employees!$V$3:$V$500=1)*(COUNTIFS($B$3:$B$500,Employees!$A$3:$A$500,$H$3:$H$500,"Approved",$D$3:$D$500,"&lt;="&amp;E499,$E$3:$E$500,"&gt;="&amp;D499,$A$3:$A$500,"&lt;&gt;"&amp;A499)=0)),0))</f>
        <v/>
      </c>
      <c r="P499">
        <f>IF(B499="","",IFERROR(SUMPRODUCT((LEN(Employees!$A$3:$A$500)&gt;0)*(Employees!$W$3:$W$500=1)*(COUNTIFS($B$3:$B$500,Employees!$A$3:$A$500,$H$3:$H$500,"Approved",$D$3:$D$500,"&lt;="&amp;E499,$E$3:$E$500,"&gt;="&amp;D499,$A$3:$A$500,"&lt;&gt;"&amp;A499)=0)),0))</f>
        <v/>
      </c>
      <c r="Q499">
        <f>IF(B499="","",IFERROR(SUMPRODUCT((LEN(Employees!$A$3:$A$500)&gt;0)*(Employees!$N$3:$N$500=1)*(COUNTIFS($B$3:$B$500,Employees!$A$3:$A$500,$H$3:$H$500,"Approved",$D$3:$D$500,"&lt;="&amp;E499,$E$3:$E$500,"&gt;="&amp;D499,$A$3:$A$500,"&lt;&gt;"&amp;A499)&gt;0)),0))</f>
        <v/>
      </c>
      <c r="R499">
        <f>IF(B499="","",IFERROR(SUMPRODUCT((LEN(Employees!$A$3:$A$500)&gt;0)*(Employees!$O$3:$O$500=1)*(COUNTIFS($B$3:$B$500,Employees!$A$3:$A$500,$H$3:$H$500,"Approved",$D$3:$D$500,"&lt;="&amp;E499,$E$3:$E$500,"&gt;="&amp;D499,$A$3:$A$500,"&lt;&gt;"&amp;A499)&gt;0)),0))</f>
        <v/>
      </c>
      <c r="S499">
        <f>IF(OR(B499="",IFERROR(XLOOKUP(B499,Employees!$A$3:$A$500,Employees!$G$3:$G$500,""),"")=""),"",IFERROR(SUMPRODUCT((LEN(Employees!$A$3:$A$500)&gt;0)*(Employees!$G$3:$G$500=IFERROR(XLOOKUP(B499,Employees!$A$3:$A$500,Employees!$G$3:$G$500,""),""))*(COUNTIFS($B$3:$B$500,Employees!$A$3:$A$500,$H$3:$H$500,"Approved",$D$3:$D$500,"&lt;="&amp;E499,$E$3:$E$500,"&gt;="&amp;D499,$A$3:$A$500,"&lt;&gt;"&amp;A499)&gt;0)),0))</f>
        <v/>
      </c>
    </row>
    <row r="500">
      <c r="C500">
        <f>IFERROR(XLOOKUP(B500,Employees!$A$3:$A$500,Employees!$B$3:$B$500,""),"")</f>
        <v/>
      </c>
      <c r="I500">
        <f>IF(AND(B500&lt;&gt;"",D500&lt;&gt;"",E500&lt;&gt;""),E500-D500+1,"")</f>
        <v/>
      </c>
      <c r="J500">
        <f>IF(OR(B500="",D500="",E500=""),"",IF(OR(L500&lt;'Coverage Rules'!E7,M500&lt;'Coverage Rules'!E8,N500&lt;'Coverage Rules'!C8,O500&lt;'Coverage Rules'!E9,P500&lt;'Coverage Rules'!E10,Q500&gt;='Coverage Rules'!B16,R500&gt;='Coverage Rules'!B17,IF(S500="",FALSE,S500&gt;='Coverage Rules'!D24)),"Denied","OK"))</f>
        <v/>
      </c>
      <c r="L500">
        <f>IF(B500="","",IFERROR(SUMPRODUCT((LEN(Employees!$A$3:$A$500)&gt;0)*(Employees!$T$3:$T$500=1)*(COUNTIFS($B$3:$B$500,Employees!$A$3:$A$500,$H$3:$H$500,"Approved",$D$3:$D$500,"&lt;="&amp;E500,$E$3:$E$500,"&gt;="&amp;D500,$A$3:$A$500,"&lt;&gt;"&amp;A500)=0)),0))</f>
        <v/>
      </c>
      <c r="M500">
        <f>IF(B500="","",IFERROR(SUMPRODUCT((LEN(Employees!$A$3:$A$500)&gt;0)*(Employees!$U$3:$U$500=1)*(COUNTIFS($B$3:$B$500,Employees!$A$3:$A$500,$H$3:$H$500,"Approved",$D$3:$D$500,"&lt;="&amp;E500,$E$3:$E$500,"&gt;="&amp;D500,$A$3:$A$500,"&lt;&gt;"&amp;A500)=0)),0))</f>
        <v/>
      </c>
      <c r="N500">
        <f>IF(B500="","",IFERROR(SUMPRODUCT((LEN(Employees!$A$3:$A$500)&gt;0)*(Employees!$B$3:$B$500="Manager")*(Employees!$U$3:$U$500=1)*(COUNTIFS($B$3:$B$500,Employees!$A$3:$A$500,$H$3:$H$500,"Approved",$D$3:$D$500,"&lt;="&amp;E500,$E$3:$E$500,"&gt;="&amp;D500,$A$3:$A$500,"&lt;&gt;"&amp;A500)=0)),0))</f>
        <v/>
      </c>
      <c r="O500">
        <f>IF(B500="","",IFERROR(SUMPRODUCT((LEN(Employees!$A$3:$A$500)&gt;0)*(Employees!$V$3:$V$500=1)*(COUNTIFS($B$3:$B$500,Employees!$A$3:$A$500,$H$3:$H$500,"Approved",$D$3:$D$500,"&lt;="&amp;E500,$E$3:$E$500,"&gt;="&amp;D500,$A$3:$A$500,"&lt;&gt;"&amp;A500)=0)),0))</f>
        <v/>
      </c>
      <c r="P500">
        <f>IF(B500="","",IFERROR(SUMPRODUCT((LEN(Employees!$A$3:$A$500)&gt;0)*(Employees!$W$3:$W$500=1)*(COUNTIFS($B$3:$B$500,Employees!$A$3:$A$500,$H$3:$H$500,"Approved",$D$3:$D$500,"&lt;="&amp;E500,$E$3:$E$500,"&gt;="&amp;D500,$A$3:$A$500,"&lt;&gt;"&amp;A500)=0)),0))</f>
        <v/>
      </c>
      <c r="Q500">
        <f>IF(B500="","",IFERROR(SUMPRODUCT((LEN(Employees!$A$3:$A$500)&gt;0)*(Employees!$N$3:$N$500=1)*(COUNTIFS($B$3:$B$500,Employees!$A$3:$A$500,$H$3:$H$500,"Approved",$D$3:$D$500,"&lt;="&amp;E500,$E$3:$E$500,"&gt;="&amp;D500,$A$3:$A$500,"&lt;&gt;"&amp;A500)&gt;0)),0))</f>
        <v/>
      </c>
      <c r="R500">
        <f>IF(B500="","",IFERROR(SUMPRODUCT((LEN(Employees!$A$3:$A$500)&gt;0)*(Employees!$O$3:$O$500=1)*(COUNTIFS($B$3:$B$500,Employees!$A$3:$A$500,$H$3:$H$500,"Approved",$D$3:$D$500,"&lt;="&amp;E500,$E$3:$E$500,"&gt;="&amp;D500,$A$3:$A$500,"&lt;&gt;"&amp;A500)&gt;0)),0))</f>
        <v/>
      </c>
      <c r="S500">
        <f>IF(OR(B500="",IFERROR(XLOOKUP(B500,Employees!$A$3:$A$500,Employees!$G$3:$G$500,""),"")=""),"",IFERROR(SUMPRODUCT((LEN(Employees!$A$3:$A$500)&gt;0)*(Employees!$G$3:$G$500=IFERROR(XLOOKUP(B500,Employees!$A$3:$A$500,Employees!$G$3:$G$500,""),""))*(COUNTIFS($B$3:$B$500,Employees!$A$3:$A$500,$H$3:$H$500,"Approved",$D$3:$D$500,"&lt;="&amp;E500,$E$3:$E$500,"&gt;="&amp;D500,$A$3:$A$500,"&lt;&gt;"&amp;A500)&gt;0)),0))</f>
        <v/>
      </c>
    </row>
  </sheetData>
  <mergeCells count="1">
    <mergeCell ref="A1:K1"/>
  </mergeCells>
  <conditionalFormatting sqref="H3:H500">
    <cfRule type="cellIs" priority="1" operator="equal" dxfId="0">
      <formula>"Approved"</formula>
    </cfRule>
    <cfRule type="cellIs" priority="2" operator="equal" dxfId="1">
      <formula>"Denied"</formula>
    </cfRule>
    <cfRule type="cellIs" priority="3" operator="equal" dxfId="2">
      <formula>"Pending"</formula>
    </cfRule>
  </conditionalFormatting>
  <conditionalFormatting sqref="J3:J500">
    <cfRule type="cellIs" priority="4" operator="equal" dxfId="0">
      <formula>"OK"</formula>
    </cfRule>
    <cfRule type="cellIs" priority="5" operator="equal" dxfId="1">
      <formula>"Denied"</formula>
    </cfRule>
  </conditionalFormatting>
  <dataValidations count="2">
    <dataValidation sqref="F3:F500" showDropDown="0" showInputMessage="0" showErrorMessage="0" allowBlank="0" type="list">
      <formula1>"Vacation,Sick,Personal,Other"</formula1>
    </dataValidation>
    <dataValidation sqref="H3:H500" showDropDown="0" showInputMessage="0" showErrorMessage="0" allowBlank="0" type="list">
      <formula1>"Approved,Denied,Pending"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7706"/>
    <outlinePr summaryBelow="1" summaryRight="1"/>
    <pageSetUpPr/>
  </sheetPr>
  <dimension ref="A1:F2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6" customWidth="1" min="4" max="4"/>
    <col width="14" customWidth="1" min="5" max="5"/>
    <col width="40" customWidth="1" min="6" max="6"/>
  </cols>
  <sheetData>
    <row r="1">
      <c r="A1" s="24" t="inlineStr">
        <is>
          <t>Coverage Rules</t>
        </is>
      </c>
    </row>
    <row r="2">
      <c r="A2" s="11" t="inlineStr">
        <is>
          <t>Edit the blue values to adjust thresholds. These are referenced directly by the Coverage Check formula.</t>
        </is>
      </c>
    </row>
    <row r="4">
      <c r="A4" s="7" t="inlineStr">
        <is>
          <t>A. Weekday Shift Minimums</t>
        </is>
      </c>
    </row>
    <row r="5">
      <c r="A5" s="11" t="inlineStr">
        <is>
          <t>Managers counted Mon–Fri only. Formula checks remaining staff after removing employees on approved PTO.</t>
        </is>
      </c>
    </row>
    <row r="6" ht="28" customHeight="1">
      <c r="A6" s="8" t="inlineStr">
        <is>
          <t>Shift</t>
        </is>
      </c>
      <c r="B6" s="8" t="inlineStr">
        <is>
          <t>Hours (EST)</t>
        </is>
      </c>
      <c r="C6" s="8" t="inlineStr">
        <is>
          <t>Min Managers</t>
        </is>
      </c>
      <c r="D6" s="8" t="inlineStr">
        <is>
          <t>Min Researchers</t>
        </is>
      </c>
      <c r="E6" s="8" t="inlineStr">
        <is>
          <t>Min Total</t>
        </is>
      </c>
      <c r="F6" s="8" t="inlineStr">
        <is>
          <t>Notes</t>
        </is>
      </c>
    </row>
    <row r="7" ht="22" customHeight="1">
      <c r="A7" s="16" t="inlineStr">
        <is>
          <t>Morning</t>
        </is>
      </c>
      <c r="B7" s="16" t="inlineStr">
        <is>
          <t>Midnight – 9am</t>
        </is>
      </c>
      <c r="C7" s="15" t="n">
        <v>0</v>
      </c>
      <c r="D7" s="15" t="n">
        <v>3</v>
      </c>
      <c r="E7" s="15" t="n">
        <v>3</v>
      </c>
      <c r="F7" s="17" t="inlineStr">
        <is>
          <t>Overnight floor — HK team + early starters</t>
        </is>
      </c>
    </row>
    <row r="8" ht="22" customHeight="1">
      <c r="A8" s="20" t="inlineStr">
        <is>
          <t>Daytime</t>
        </is>
      </c>
      <c r="B8" s="20" t="inlineStr">
        <is>
          <t>9am – 5pm</t>
        </is>
      </c>
      <c r="C8" s="19" t="n">
        <v>2</v>
      </c>
      <c r="D8" s="19" t="n">
        <v>8</v>
      </c>
      <c r="E8" s="19" t="n">
        <v>10</v>
      </c>
      <c r="F8" s="21" t="inlineStr">
        <is>
          <t>Core hours — 2 managers required</t>
        </is>
      </c>
    </row>
    <row r="9" ht="22" customHeight="1">
      <c r="A9" s="16" t="inlineStr">
        <is>
          <t>Evening (EST)</t>
        </is>
      </c>
      <c r="B9" s="16" t="inlineStr">
        <is>
          <t>5pm – 9pm EST</t>
        </is>
      </c>
      <c r="C9" s="15" t="n">
        <v>0</v>
      </c>
      <c r="D9" s="15" t="n">
        <v>1</v>
      </c>
      <c r="E9" s="15" t="n">
        <v>1</v>
      </c>
      <c r="F9" s="17" t="inlineStr">
        <is>
          <t>Min 1 on 1pm–9pm EST shift</t>
        </is>
      </c>
    </row>
    <row r="10" ht="22" customHeight="1">
      <c r="A10" s="20" t="inlineStr">
        <is>
          <t>Evening (PST)</t>
        </is>
      </c>
      <c r="B10" s="20" t="inlineStr">
        <is>
          <t>5pm – Midnight</t>
        </is>
      </c>
      <c r="C10" s="19" t="n">
        <v>0</v>
      </c>
      <c r="D10" s="19" t="n">
        <v>2</v>
      </c>
      <c r="E10" s="19" t="n">
        <v>2</v>
      </c>
      <c r="F10" s="21" t="inlineStr">
        <is>
          <t>Min 2 on 1pm–9pm PST (4pm–midnight EST)</t>
        </is>
      </c>
    </row>
    <row r="12">
      <c r="A12" s="11" t="inlineStr">
        <is>
          <t>Formula row references: Morning=7, Daytime=8, Evening(EST)=9, Evening(PST)=10  |  Columns: Min Mgr=C, Min Res=D, Min Total=E</t>
        </is>
      </c>
    </row>
    <row r="14">
      <c r="A14" s="7" t="inlineStr">
        <is>
          <t>B. Weekend Rules</t>
        </is>
      </c>
    </row>
    <row r="15">
      <c r="A15" s="8" t="inlineStr">
        <is>
          <t>Day</t>
        </is>
      </c>
      <c r="B15" s="8" t="inlineStr">
        <is>
          <t>Max People Off</t>
        </is>
      </c>
      <c r="C15" s="8" t="inlineStr">
        <is>
          <t>Notes</t>
        </is>
      </c>
    </row>
    <row r="16" ht="22" customHeight="1">
      <c r="A16" s="16" t="inlineStr">
        <is>
          <t>Saturday</t>
        </is>
      </c>
      <c r="B16" s="15" t="n">
        <v>1</v>
      </c>
      <c r="C16" s="17" t="inlineStr">
        <is>
          <t>Only 1 employee may be off on any Saturday</t>
        </is>
      </c>
    </row>
    <row r="17" ht="22" customHeight="1">
      <c r="A17" s="20" t="inlineStr">
        <is>
          <t>Sunday</t>
        </is>
      </c>
      <c r="B17" s="19" t="n">
        <v>1</v>
      </c>
      <c r="C17" s="21" t="inlineStr">
        <is>
          <t>Only 1 employee may be off on any Sunday</t>
        </is>
      </c>
    </row>
    <row r="20">
      <c r="A20" s="7" t="inlineStr">
        <is>
          <t>C. Coverage Group Rules</t>
        </is>
      </c>
    </row>
    <row r="21">
      <c r="A21" s="11" t="inlineStr">
        <is>
          <t>For groups tagged in the Coverage Group column of Employees. Formula checks how many in the same group already have overlapping approved PTO.</t>
        </is>
      </c>
    </row>
    <row r="22">
      <c r="A22" s="8" t="inlineStr">
        <is>
          <t>Group Name</t>
        </is>
      </c>
      <c r="B22" s="8" t="inlineStr">
        <is>
          <t>Hours (EST)</t>
        </is>
      </c>
      <c r="C22" s="8" t="inlineStr">
        <is>
          <t>Group Size</t>
        </is>
      </c>
      <c r="D22" s="8" t="inlineStr">
        <is>
          <t>Max Out at Once</t>
        </is>
      </c>
      <c r="E22" s="8" t="inlineStr">
        <is>
          <t>Min Present</t>
        </is>
      </c>
      <c r="F22" s="8" t="inlineStr">
        <is>
          <t>Notes</t>
        </is>
      </c>
    </row>
    <row r="24" ht="36" customHeight="1">
      <c r="A24" s="16" t="inlineStr">
        <is>
          <t>Early Morning</t>
        </is>
      </c>
      <c r="B24" s="16" t="inlineStr">
        <is>
          <t>5am – 3:30pm EST</t>
        </is>
      </c>
      <c r="C24" s="15" t="n">
        <v>3</v>
      </c>
      <c r="D24" s="15" t="n">
        <v>2</v>
      </c>
      <c r="E24" s="15" t="n">
        <v>1</v>
      </c>
      <c r="F24" s="17" t="inlineStr">
        <is>
          <t>1 person 5am–1pm, 1 at 7am–3pm, 1 at 7:30am–3:30pm. Max 2 out at once.</t>
        </is>
      </c>
    </row>
    <row r="26">
      <c r="A26" s="11" t="inlineStr">
        <is>
          <t>Formula row reference: Group rule = row 24, Max Out at Once = column D</t>
        </is>
      </c>
    </row>
  </sheetData>
  <mergeCells count="5">
    <mergeCell ref="A2:F2"/>
    <mergeCell ref="A5:F5"/>
    <mergeCell ref="A12:F12"/>
    <mergeCell ref="A26:F26"/>
    <mergeCell ref="A21:F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6A34A"/>
    <outlinePr summaryBelow="1" summaryRight="1"/>
    <pageSetUpPr/>
  </sheetPr>
  <dimension ref="A1:I23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32" customWidth="1" min="9" max="9"/>
  </cols>
  <sheetData>
    <row r="1">
      <c r="A1" s="24" t="inlineStr">
        <is>
          <t>Coverage Summary</t>
        </is>
      </c>
    </row>
    <row r="3">
      <c r="A3" s="11" t="inlineStr">
        <is>
          <t>Manual day-by-day tracker for detailed coverage review. The Coverage Check formula on PTO Requests checks the full date range as a whole — use this sheet to verify specific days for longer requests.</t>
        </is>
      </c>
    </row>
    <row r="5">
      <c r="A5" s="25" t="inlineStr">
        <is>
          <t>Start Date:</t>
        </is>
      </c>
      <c r="B5" s="26" t="inlineStr">
        <is>
          <t>2026-05-10</t>
        </is>
      </c>
      <c r="D5" s="25" t="inlineStr">
        <is>
          <t>End Date:</t>
        </is>
      </c>
      <c r="E5" s="26" t="inlineStr">
        <is>
          <t>2026-05-16</t>
        </is>
      </c>
      <c r="G5" s="27" t="inlineStr">
        <is>
          <t>← Yellow cells are editable</t>
        </is>
      </c>
    </row>
    <row r="7">
      <c r="A7" s="5" t="inlineStr">
        <is>
          <t>Minimum Reference (live from Coverage Rules):</t>
        </is>
      </c>
    </row>
    <row r="8">
      <c r="A8" s="8" t="inlineStr">
        <is>
          <t>Shift</t>
        </is>
      </c>
      <c r="B8" s="8" t="inlineStr">
        <is>
          <t>Hours (EST)</t>
        </is>
      </c>
      <c r="C8" s="8" t="inlineStr">
        <is>
          <t>Min Mgr</t>
        </is>
      </c>
      <c r="D8" s="8" t="inlineStr">
        <is>
          <t>Min Res</t>
        </is>
      </c>
      <c r="E8" s="8" t="inlineStr">
        <is>
          <t>Min Total</t>
        </is>
      </c>
    </row>
    <row r="9">
      <c r="A9" s="16" t="inlineStr">
        <is>
          <t>Morning</t>
        </is>
      </c>
      <c r="B9" s="16" t="inlineStr">
        <is>
          <t>Midnight–9am</t>
        </is>
      </c>
      <c r="C9" s="16">
        <f>'Coverage Rules'!C7</f>
        <v/>
      </c>
      <c r="D9" s="16">
        <f>'Coverage Rules'!D7</f>
        <v/>
      </c>
      <c r="E9" s="16">
        <f>'Coverage Rules'!E7</f>
        <v/>
      </c>
    </row>
    <row r="10">
      <c r="A10" s="20" t="inlineStr">
        <is>
          <t>Daytime</t>
        </is>
      </c>
      <c r="B10" s="20" t="inlineStr">
        <is>
          <t>9am–5pm</t>
        </is>
      </c>
      <c r="C10" s="20">
        <f>'Coverage Rules'!C8</f>
        <v/>
      </c>
      <c r="D10" s="20">
        <f>'Coverage Rules'!D8</f>
        <v/>
      </c>
      <c r="E10" s="20">
        <f>'Coverage Rules'!E8</f>
        <v/>
      </c>
    </row>
    <row r="11">
      <c r="A11" s="16" t="inlineStr">
        <is>
          <t>Evening (EST)</t>
        </is>
      </c>
      <c r="B11" s="16" t="inlineStr">
        <is>
          <t>5pm–9pm EST</t>
        </is>
      </c>
      <c r="C11" s="16">
        <f>'Coverage Rules'!C9</f>
        <v/>
      </c>
      <c r="D11" s="16">
        <f>'Coverage Rules'!D9</f>
        <v/>
      </c>
      <c r="E11" s="16">
        <f>'Coverage Rules'!E9</f>
        <v/>
      </c>
    </row>
    <row r="12">
      <c r="A12" s="20" t="inlineStr">
        <is>
          <t>Evening (PST)</t>
        </is>
      </c>
      <c r="B12" s="20" t="inlineStr">
        <is>
          <t>5pm–Midnight</t>
        </is>
      </c>
      <c r="C12" s="20">
        <f>'Coverage Rules'!C10</f>
        <v/>
      </c>
      <c r="D12" s="20">
        <f>'Coverage Rules'!D10</f>
        <v/>
      </c>
      <c r="E12" s="20">
        <f>'Coverage Rules'!E10</f>
        <v/>
      </c>
    </row>
    <row r="15">
      <c r="A15" s="5" t="inlineStr">
        <is>
          <t>Daily Tracker</t>
        </is>
      </c>
    </row>
    <row r="16" ht="32" customHeight="1">
      <c r="A16" s="8" t="inlineStr">
        <is>
          <t>Date</t>
        </is>
      </c>
      <c r="B16" s="8" t="inlineStr">
        <is>
          <t>Day</t>
        </is>
      </c>
      <c r="C16" s="8" t="inlineStr">
        <is>
          <t>Morning
Staff</t>
        </is>
      </c>
      <c r="D16" s="8" t="inlineStr">
        <is>
          <t>Morning
Status</t>
        </is>
      </c>
      <c r="E16" s="8" t="inlineStr">
        <is>
          <t>Daytime
Staff</t>
        </is>
      </c>
      <c r="F16" s="8" t="inlineStr">
        <is>
          <t>Daytime
Status</t>
        </is>
      </c>
      <c r="G16" s="8" t="inlineStr">
        <is>
          <t>Evening
Staff</t>
        </is>
      </c>
      <c r="H16" s="8" t="inlineStr">
        <is>
          <t>Evening
Status</t>
        </is>
      </c>
      <c r="I16" s="8" t="inlineStr">
        <is>
          <t>Notes</t>
        </is>
      </c>
    </row>
    <row r="17" ht="20" customHeight="1">
      <c r="A17" s="15" t="inlineStr">
        <is>
          <t>2026-05-10</t>
        </is>
      </c>
      <c r="B17" s="16" t="inlineStr">
        <is>
          <t>Sunday</t>
        </is>
      </c>
      <c r="C17" s="15" t="n">
        <v>2</v>
      </c>
      <c r="D17" s="15" t="inlineStr">
        <is>
          <t>OK</t>
        </is>
      </c>
      <c r="E17" s="16" t="inlineStr"/>
      <c r="F17" s="16" t="inlineStr"/>
      <c r="G17" s="15" t="n">
        <v>2</v>
      </c>
      <c r="H17" s="15" t="inlineStr">
        <is>
          <t>OK</t>
        </is>
      </c>
      <c r="I17" s="17" t="inlineStr"/>
    </row>
    <row r="18" ht="20" customHeight="1">
      <c r="A18" s="19" t="inlineStr">
        <is>
          <t>2026-05-11</t>
        </is>
      </c>
      <c r="B18" s="20" t="inlineStr">
        <is>
          <t>Monday</t>
        </is>
      </c>
      <c r="C18" s="20" t="inlineStr"/>
      <c r="D18" s="20" t="inlineStr"/>
      <c r="E18" s="19" t="n">
        <v>32</v>
      </c>
      <c r="F18" s="19" t="inlineStr">
        <is>
          <t>OK</t>
        </is>
      </c>
      <c r="G18" s="19" t="n">
        <v>18</v>
      </c>
      <c r="H18" s="19" t="inlineStr">
        <is>
          <t>OK</t>
        </is>
      </c>
      <c r="I18" s="21" t="inlineStr"/>
    </row>
    <row r="19" ht="20" customHeight="1">
      <c r="A19" s="15" t="inlineStr">
        <is>
          <t>2026-05-12</t>
        </is>
      </c>
      <c r="B19" s="16" t="inlineStr">
        <is>
          <t>Tuesday</t>
        </is>
      </c>
      <c r="C19" s="16" t="inlineStr"/>
      <c r="D19" s="16" t="inlineStr"/>
      <c r="E19" s="15" t="n">
        <v>31</v>
      </c>
      <c r="F19" s="15" t="inlineStr">
        <is>
          <t>OK</t>
        </is>
      </c>
      <c r="G19" s="15" t="n">
        <v>20</v>
      </c>
      <c r="H19" s="15" t="inlineStr">
        <is>
          <t>OK</t>
        </is>
      </c>
      <c r="I19" s="17" t="inlineStr"/>
    </row>
    <row r="20" ht="20" customHeight="1">
      <c r="A20" s="19" t="inlineStr">
        <is>
          <t>2026-05-13</t>
        </is>
      </c>
      <c r="B20" s="20" t="inlineStr">
        <is>
          <t>Wednesday</t>
        </is>
      </c>
      <c r="C20" s="20" t="inlineStr"/>
      <c r="D20" s="20" t="inlineStr"/>
      <c r="E20" s="19" t="n">
        <v>29</v>
      </c>
      <c r="F20" s="19" t="inlineStr">
        <is>
          <t>REVIEW</t>
        </is>
      </c>
      <c r="G20" s="19" t="n">
        <v>19</v>
      </c>
      <c r="H20" s="19" t="inlineStr">
        <is>
          <t>OK</t>
        </is>
      </c>
      <c r="I20" s="21" t="inlineStr">
        <is>
          <t>Check daytime — approaching minimum</t>
        </is>
      </c>
    </row>
    <row r="21" ht="20" customHeight="1">
      <c r="A21" s="15" t="inlineStr">
        <is>
          <t>2026-05-14</t>
        </is>
      </c>
      <c r="B21" s="16" t="inlineStr">
        <is>
          <t>Thursday</t>
        </is>
      </c>
      <c r="C21" s="16" t="inlineStr"/>
      <c r="D21" s="16" t="inlineStr"/>
      <c r="E21" s="15" t="n">
        <v>33</v>
      </c>
      <c r="F21" s="15" t="inlineStr">
        <is>
          <t>OK</t>
        </is>
      </c>
      <c r="G21" s="15" t="n">
        <v>22</v>
      </c>
      <c r="H21" s="15" t="inlineStr">
        <is>
          <t>OK</t>
        </is>
      </c>
      <c r="I21" s="17" t="inlineStr"/>
    </row>
    <row r="22" ht="20" customHeight="1">
      <c r="A22" s="19" t="inlineStr">
        <is>
          <t>2026-05-15</t>
        </is>
      </c>
      <c r="B22" s="20" t="inlineStr">
        <is>
          <t>Friday</t>
        </is>
      </c>
      <c r="C22" s="20" t="inlineStr"/>
      <c r="D22" s="20" t="inlineStr"/>
      <c r="E22" s="19" t="n">
        <v>30</v>
      </c>
      <c r="F22" s="19" t="inlineStr">
        <is>
          <t>OK</t>
        </is>
      </c>
      <c r="G22" s="19" t="n">
        <v>17</v>
      </c>
      <c r="H22" s="19" t="inlineStr">
        <is>
          <t>OK</t>
        </is>
      </c>
      <c r="I22" s="21" t="inlineStr"/>
    </row>
    <row r="23" ht="20" customHeight="1">
      <c r="A23" s="15" t="inlineStr">
        <is>
          <t>2026-05-16</t>
        </is>
      </c>
      <c r="B23" s="16" t="inlineStr">
        <is>
          <t>Saturday</t>
        </is>
      </c>
      <c r="C23" s="15" t="n">
        <v>1</v>
      </c>
      <c r="D23" s="15" t="inlineStr">
        <is>
          <t>OK</t>
        </is>
      </c>
      <c r="E23" s="16" t="inlineStr"/>
      <c r="F23" s="16" t="inlineStr"/>
      <c r="G23" s="15" t="n">
        <v>1</v>
      </c>
      <c r="H23" s="15" t="inlineStr">
        <is>
          <t>OK</t>
        </is>
      </c>
      <c r="I23" s="17" t="inlineStr"/>
    </row>
  </sheetData>
  <mergeCells count="1">
    <mergeCell ref="A3:I3"/>
  </mergeCells>
  <conditionalFormatting sqref="D17:D200">
    <cfRule type="cellIs" priority="1" operator="equal" dxfId="0">
      <formula>"OK"</formula>
    </cfRule>
    <cfRule type="cellIs" priority="2" operator="equal" dxfId="2">
      <formula>"REVIEW"</formula>
    </cfRule>
  </conditionalFormatting>
  <conditionalFormatting sqref="F17:F200">
    <cfRule type="cellIs" priority="3" operator="equal" dxfId="0">
      <formula>"OK"</formula>
    </cfRule>
    <cfRule type="cellIs" priority="4" operator="equal" dxfId="2">
      <formula>"REVIEW"</formula>
    </cfRule>
  </conditionalFormatting>
  <conditionalFormatting sqref="H17:H200">
    <cfRule type="cellIs" priority="5" operator="equal" dxfId="0">
      <formula>"OK"</formula>
    </cfRule>
    <cfRule type="cellIs" priority="6" operator="equal" dxfId="2">
      <formula>"REVIEW"</formula>
    </cfRule>
  </conditionalFormatting>
  <dataValidations count="1">
    <dataValidation sqref="D17:D200 F17:F200 H17:H200" showDropDown="0" showInputMessage="0" showErrorMessage="0" allowBlank="0" type="list">
      <formula1>"OK,REVIEW"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2026-05-04T00:28:25Z</dcterms:created>
  <dcterms:modified xsi:type="dcterms:W3CDTF">2026-05-04T00:28:26Z</dcterms:modified>
</cp:coreProperties>
</file>